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yout\2026\ITEST\980FY-S071AA-1AH-A10\"/>
    </mc:Choice>
  </mc:AlternateContent>
  <bookViews>
    <workbookView xWindow="484" yWindow="275" windowWidth="14714" windowHeight="7737"/>
  </bookViews>
  <sheets>
    <sheet name="26L" sheetId="1" r:id="rId1"/>
    <sheet name="確認" sheetId="2" r:id="rId2"/>
  </sheets>
  <calcPr calcId="162913"/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1" i="2"/>
  <c r="G57" i="1"/>
  <c r="G58" i="1"/>
  <c r="C64" i="1"/>
  <c r="C66" i="1"/>
</calcChain>
</file>

<file path=xl/sharedStrings.xml><?xml version="1.0" encoding="utf-8"?>
<sst xmlns="http://schemas.openxmlformats.org/spreadsheetml/2006/main" count="222" uniqueCount="47">
  <si>
    <t>Dimension : mils</t>
    <phoneticPr fontId="2" type="noConversion"/>
  </si>
  <si>
    <t>silkscreen</t>
    <phoneticPr fontId="2" type="noConversion"/>
  </si>
  <si>
    <t>Thickness</t>
    <phoneticPr fontId="2" type="noConversion"/>
  </si>
  <si>
    <t>soldermask</t>
    <phoneticPr fontId="2" type="noConversion"/>
  </si>
  <si>
    <t>copper</t>
    <phoneticPr fontId="2" type="noConversion"/>
  </si>
  <si>
    <t>DGND</t>
  </si>
  <si>
    <t>TOP</t>
    <phoneticPr fontId="2" type="noConversion"/>
  </si>
  <si>
    <t>W/Gap</t>
    <phoneticPr fontId="1" type="noConversion"/>
  </si>
  <si>
    <t>Zimp</t>
    <phoneticPr fontId="1" type="noConversion"/>
  </si>
  <si>
    <t/>
  </si>
  <si>
    <t>FR4</t>
    <phoneticPr fontId="1" type="noConversion"/>
  </si>
  <si>
    <t>50</t>
  </si>
  <si>
    <t>pp</t>
    <phoneticPr fontId="2" type="noConversion"/>
  </si>
  <si>
    <t>FR4</t>
    <phoneticPr fontId="1" type="noConversion"/>
  </si>
  <si>
    <t>copper</t>
    <phoneticPr fontId="2" type="noConversion"/>
  </si>
  <si>
    <t>core</t>
    <phoneticPr fontId="2" type="noConversion"/>
  </si>
  <si>
    <t>DGND</t>
    <phoneticPr fontId="1" type="noConversion"/>
  </si>
  <si>
    <t>DPS</t>
    <phoneticPr fontId="1" type="noConversion"/>
  </si>
  <si>
    <t>DIG</t>
    <phoneticPr fontId="1" type="noConversion"/>
  </si>
  <si>
    <t>soldermask</t>
    <phoneticPr fontId="2" type="noConversion"/>
  </si>
  <si>
    <t>silkscreen</t>
    <phoneticPr fontId="2" type="noConversion"/>
  </si>
  <si>
    <t>Total</t>
    <phoneticPr fontId="2" type="noConversion"/>
  </si>
  <si>
    <t>5.2/15</t>
  </si>
  <si>
    <t>2116H</t>
  </si>
  <si>
    <t>DK</t>
    <phoneticPr fontId="1" type="noConversion"/>
  </si>
  <si>
    <t>FR4</t>
    <phoneticPr fontId="1" type="noConversion"/>
  </si>
  <si>
    <t>4.0@1GHz</t>
    <phoneticPr fontId="1" type="noConversion"/>
  </si>
  <si>
    <t>3.5@10GHz</t>
    <phoneticPr fontId="1" type="noConversion"/>
  </si>
  <si>
    <t>N4000-13</t>
  </si>
  <si>
    <t>3.6@1GHz</t>
    <phoneticPr fontId="1" type="noConversion"/>
  </si>
  <si>
    <t>PCB Thickness</t>
    <phoneticPr fontId="1" type="noConversion"/>
  </si>
  <si>
    <t>Via hole</t>
    <phoneticPr fontId="1" type="noConversion"/>
  </si>
  <si>
    <t>PCB/Via</t>
    <phoneticPr fontId="1" type="noConversion"/>
  </si>
  <si>
    <t>FR4</t>
  </si>
  <si>
    <t>pp+core+pp</t>
    <phoneticPr fontId="2" type="noConversion"/>
  </si>
  <si>
    <t>CBIT</t>
    <phoneticPr fontId="1" type="noConversion"/>
  </si>
  <si>
    <t>5V</t>
    <phoneticPr fontId="1" type="noConversion"/>
  </si>
  <si>
    <t>TOP</t>
  </si>
  <si>
    <t>DIG</t>
  </si>
  <si>
    <t>DPS</t>
  </si>
  <si>
    <t>CBIT</t>
  </si>
  <si>
    <t>5V</t>
  </si>
  <si>
    <t>BOT</t>
  </si>
  <si>
    <t>BOTTOM</t>
    <phoneticPr fontId="2" type="noConversion"/>
  </si>
  <si>
    <t>Drill</t>
    <phoneticPr fontId="1" type="noConversion"/>
  </si>
  <si>
    <t>mil</t>
    <phoneticPr fontId="1" type="noConversion"/>
  </si>
  <si>
    <t>6/18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</si>
</sst>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0.00_);[Red]\(0.00\)"/>
  </numFmts>
  <fonts count="23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1"/>
      <color indexed="8"/>
      <name val="Arial Unicode MS"/>
      <family val="2"/>
      <charset val="136"/>
    </font>
    <font>
      <b/>
      <sz val="11"/>
      <color indexed="10"/>
      <name val="Arial Unicode MS"/>
      <family val="2"/>
      <charset val="136"/>
    </font>
    <font>
      <b/>
      <sz val="11"/>
      <color indexed="8"/>
      <name val="Arial Unicode MS"/>
      <family val="2"/>
      <charset val="136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sz val="12"/>
      <color indexed="12"/>
      <name val="Times New Roman"/>
      <family val="1"/>
    </font>
    <font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sz val="9"/>
      <name val="新細明體"/>
      <family val="1"/>
      <charset val="136"/>
    </font>
    <font>
      <sz val="12"/>
      <name val="Calibri"/>
      <family val="2"/>
    </font>
    <font>
      <sz val="9"/>
      <name val="新細明體"/>
      <family val="1"/>
      <charset val="136"/>
    </font>
    <font>
      <sz val="11"/>
      <color rgb="FFFF0000"/>
      <name val="Arial Unicode MS"/>
      <family val="2"/>
      <charset val="136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7030A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7"/>
        <bgColor indexed="21"/>
      </patternFill>
    </fill>
    <fill>
      <patternFill patternType="solid">
        <fgColor indexed="48"/>
        <bgColor indexed="30"/>
      </patternFill>
    </fill>
    <fill>
      <patternFill patternType="solid">
        <fgColor indexed="42"/>
        <bgColor indexed="27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</cellStyleXfs>
  <cellXfs count="67">
    <xf numFmtId="0" fontId="0" fillId="0" borderId="0" xfId="0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7" fillId="0" borderId="0" xfId="0" applyFont="1" applyAlignment="1"/>
    <xf numFmtId="0" fontId="7" fillId="2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0" fontId="10" fillId="4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right" vertical="center"/>
    </xf>
    <xf numFmtId="49" fontId="18" fillId="0" borderId="0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  <xf numFmtId="0" fontId="19" fillId="6" borderId="0" xfId="0" applyFont="1" applyFill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19" fillId="7" borderId="0" xfId="0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 vertical="center"/>
    </xf>
    <xf numFmtId="49" fontId="19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49" fontId="19" fillId="0" borderId="0" xfId="0" applyNumberFormat="1" applyFont="1" applyFill="1" applyBorder="1" applyAlignment="1">
      <alignment horizontal="right" vertical="center"/>
    </xf>
    <xf numFmtId="0" fontId="19" fillId="5" borderId="0" xfId="0" applyFont="1" applyFill="1" applyBorder="1" applyAlignment="1">
      <alignment horizontal="right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9" fontId="21" fillId="0" borderId="0" xfId="0" applyNumberFormat="1" applyFont="1" applyBorder="1" applyAlignment="1">
      <alignment horizontal="right" vertical="center"/>
    </xf>
    <xf numFmtId="0" fontId="7" fillId="3" borderId="0" xfId="3" applyFont="1" applyFill="1" applyBorder="1" applyAlignment="1">
      <alignment vertical="center"/>
    </xf>
    <xf numFmtId="0" fontId="7" fillId="3" borderId="0" xfId="4" applyFont="1" applyFill="1" applyBorder="1" applyAlignment="1">
      <alignment horizontal="right" vertical="center"/>
    </xf>
    <xf numFmtId="0" fontId="8" fillId="0" borderId="0" xfId="0" quotePrefix="1" applyFont="1" applyBorder="1" applyAlignment="1">
      <alignment horizontal="center" vertical="center"/>
    </xf>
    <xf numFmtId="0" fontId="18" fillId="7" borderId="0" xfId="0" applyFont="1" applyFill="1" applyBorder="1" applyAlignment="1">
      <alignment horizontal="right" vertical="center"/>
    </xf>
    <xf numFmtId="0" fontId="13" fillId="0" borderId="0" xfId="0" quotePrefix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19" fillId="9" borderId="0" xfId="0" applyFont="1" applyFill="1" applyBorder="1" applyAlignment="1">
      <alignment horizontal="right" vertical="center"/>
    </xf>
    <xf numFmtId="0" fontId="22" fillId="0" borderId="0" xfId="0" applyFont="1" applyBorder="1" applyAlignment="1">
      <alignment horizontal="center" vertical="center"/>
    </xf>
    <xf numFmtId="0" fontId="19" fillId="0" borderId="0" xfId="0" applyFont="1" applyFill="1" applyBorder="1" applyAlignment="1">
      <alignment horizontal="right" vertical="center"/>
    </xf>
    <xf numFmtId="0" fontId="3" fillId="8" borderId="2" xfId="5" applyFill="1" applyBorder="1"/>
    <xf numFmtId="0" fontId="3" fillId="8" borderId="3" xfId="5" applyFill="1" applyBorder="1" applyAlignment="1">
      <alignment horizontal="center"/>
    </xf>
    <xf numFmtId="0" fontId="3" fillId="8" borderId="4" xfId="5" applyFill="1" applyBorder="1"/>
    <xf numFmtId="0" fontId="3" fillId="0" borderId="0" xfId="5"/>
    <xf numFmtId="0" fontId="3" fillId="8" borderId="5" xfId="5" applyFill="1" applyBorder="1"/>
    <xf numFmtId="0" fontId="3" fillId="5" borderId="0" xfId="5" applyFill="1" applyBorder="1" applyAlignment="1">
      <alignment horizontal="center"/>
    </xf>
    <xf numFmtId="0" fontId="3" fillId="8" borderId="6" xfId="5" applyFill="1" applyBorder="1"/>
    <xf numFmtId="0" fontId="3" fillId="5" borderId="5" xfId="5" applyFill="1" applyBorder="1" applyAlignment="1">
      <alignment horizontal="center"/>
    </xf>
    <xf numFmtId="0" fontId="3" fillId="5" borderId="6" xfId="5" applyFill="1" applyBorder="1" applyAlignment="1">
      <alignment horizontal="center"/>
    </xf>
    <xf numFmtId="49" fontId="3" fillId="0" borderId="0" xfId="5" applyNumberFormat="1" applyFont="1" applyFill="1"/>
    <xf numFmtId="183" fontId="0" fillId="0" borderId="0" xfId="0" applyNumberFormat="1" applyAlignment="1"/>
    <xf numFmtId="183" fontId="0" fillId="0" borderId="0" xfId="0" applyNumberFormat="1">
      <alignment vertical="center"/>
    </xf>
    <xf numFmtId="183" fontId="15" fillId="0" borderId="0" xfId="1" applyNumberFormat="1" applyFont="1" applyAlignment="1">
      <alignment horizontal="left"/>
    </xf>
    <xf numFmtId="183" fontId="15" fillId="10" borderId="0" xfId="1" applyNumberFormat="1" applyFont="1" applyFill="1" applyAlignment="1">
      <alignment horizontal="left"/>
    </xf>
    <xf numFmtId="183" fontId="0" fillId="10" borderId="0" xfId="0" applyNumberFormat="1" applyFill="1" applyAlignment="1"/>
    <xf numFmtId="0" fontId="3" fillId="6" borderId="5" xfId="5" applyFill="1" applyBorder="1"/>
    <xf numFmtId="0" fontId="3" fillId="6" borderId="0" xfId="5" applyFont="1" applyFill="1" applyBorder="1" applyAlignment="1">
      <alignment horizontal="center"/>
    </xf>
    <xf numFmtId="0" fontId="3" fillId="6" borderId="6" xfId="5" applyFill="1" applyBorder="1" applyAlignment="1">
      <alignment horizontal="right"/>
    </xf>
    <xf numFmtId="0" fontId="20" fillId="0" borderId="1" xfId="0" applyFont="1" applyBorder="1" applyAlignment="1">
      <alignment horizontal="center" vertical="center"/>
    </xf>
  </cellXfs>
  <cellStyles count="7">
    <cellStyle name="一般" xfId="0" builtinId="0"/>
    <cellStyle name="一般 2" xfId="1"/>
    <cellStyle name="一般 2 2" xfId="2"/>
    <cellStyle name="一般 27" xfId="3"/>
    <cellStyle name="一般 28" xfId="4"/>
    <cellStyle name="一般 3" xfId="5"/>
    <cellStyle name="一般 5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tabSelected="1" zoomScale="70" zoomScaleNormal="70" workbookViewId="0">
      <selection activeCell="L19" sqref="L19"/>
    </sheetView>
  </sheetViews>
  <sheetFormatPr defaultRowHeight="16.399999999999999" x14ac:dyDescent="0.35"/>
  <cols>
    <col min="1" max="1" width="12" style="18" bestFit="1" customWidth="1"/>
    <col min="2" max="2" width="12.25" style="20" bestFit="1" customWidth="1"/>
    <col min="3" max="3" width="13.5" style="20" bestFit="1" customWidth="1"/>
    <col min="4" max="4" width="8.625" style="20" customWidth="1"/>
    <col min="5" max="5" width="8.625" style="14" customWidth="1"/>
    <col min="6" max="6" width="8.625" style="21" customWidth="1"/>
    <col min="7" max="7" width="16.125" style="21" bestFit="1" customWidth="1"/>
    <col min="8" max="8" width="7.625" style="21" bestFit="1" customWidth="1"/>
    <col min="9" max="9" width="6" style="21" bestFit="1" customWidth="1"/>
    <col min="10" max="10" width="9.625" style="21" bestFit="1" customWidth="1"/>
    <col min="11" max="11" width="8.625" style="21" customWidth="1"/>
    <col min="12" max="12" width="10.25" style="1" customWidth="1"/>
    <col min="13" max="13" width="6.5" style="1" bestFit="1" customWidth="1"/>
    <col min="14" max="14" width="8.375" style="1" customWidth="1"/>
    <col min="15" max="15" width="5.875" style="1" bestFit="1" customWidth="1"/>
    <col min="16" max="17" width="9" style="1"/>
    <col min="18" max="18" width="6.75" style="1" customWidth="1"/>
    <col min="19" max="16384" width="9" style="1"/>
  </cols>
  <sheetData>
    <row r="1" spans="1:19" x14ac:dyDescent="0.35">
      <c r="B1" s="19"/>
      <c r="C1" s="19"/>
      <c r="G1" s="22" t="s">
        <v>0</v>
      </c>
      <c r="H1" s="43"/>
      <c r="I1" s="43"/>
      <c r="J1" s="43"/>
      <c r="K1" s="43"/>
    </row>
    <row r="2" spans="1:19" ht="17.55" customHeight="1" x14ac:dyDescent="0.35">
      <c r="A2" s="18" t="s">
        <v>1</v>
      </c>
      <c r="B2" s="19"/>
      <c r="C2" s="19"/>
      <c r="G2" s="22" t="s">
        <v>2</v>
      </c>
      <c r="H2" s="44" t="s">
        <v>7</v>
      </c>
      <c r="I2" s="43" t="s">
        <v>8</v>
      </c>
      <c r="J2" s="44"/>
      <c r="K2" s="43"/>
      <c r="L2" s="44"/>
      <c r="M2" s="43"/>
      <c r="N2" s="44"/>
      <c r="O2" s="43"/>
    </row>
    <row r="3" spans="1:19" ht="18" customHeight="1" x14ac:dyDescent="0.35">
      <c r="A3" s="18" t="s">
        <v>3</v>
      </c>
      <c r="B3" s="19"/>
      <c r="C3" s="19"/>
      <c r="D3" s="48"/>
      <c r="E3" s="49"/>
      <c r="F3" s="50"/>
      <c r="G3" s="51">
        <v>0.5</v>
      </c>
      <c r="H3" s="30"/>
      <c r="I3" s="30"/>
      <c r="J3" s="30"/>
      <c r="K3" s="30"/>
      <c r="L3" s="30"/>
      <c r="M3" s="30"/>
      <c r="N3" s="30"/>
      <c r="O3" s="30"/>
    </row>
    <row r="4" spans="1:19" ht="17.55" customHeight="1" x14ac:dyDescent="0.35">
      <c r="A4" s="18" t="s">
        <v>4</v>
      </c>
      <c r="B4" s="19">
        <v>1</v>
      </c>
      <c r="C4" s="24" t="s">
        <v>6</v>
      </c>
      <c r="D4" s="52"/>
      <c r="E4" s="53"/>
      <c r="F4" s="54"/>
      <c r="G4" s="51">
        <v>1.8</v>
      </c>
      <c r="H4" s="57" t="s">
        <v>46</v>
      </c>
      <c r="I4" s="57" t="s">
        <v>11</v>
      </c>
      <c r="J4" s="57"/>
      <c r="K4" s="19"/>
      <c r="L4" s="24"/>
      <c r="M4" s="57"/>
      <c r="N4" s="57"/>
      <c r="O4" s="57"/>
      <c r="Q4" s="59" t="s">
        <v>44</v>
      </c>
      <c r="R4" s="58">
        <v>6</v>
      </c>
      <c r="S4" s="60" t="s">
        <v>45</v>
      </c>
    </row>
    <row r="5" spans="1:19" ht="17.55" customHeight="1" x14ac:dyDescent="0.35">
      <c r="A5" s="18" t="s">
        <v>12</v>
      </c>
      <c r="B5" s="19"/>
      <c r="C5" s="19"/>
      <c r="D5" s="63"/>
      <c r="E5" s="64" t="s">
        <v>33</v>
      </c>
      <c r="F5" s="65"/>
      <c r="G5" s="51">
        <v>3.9</v>
      </c>
      <c r="H5" s="30"/>
      <c r="I5" s="30"/>
      <c r="J5" s="30"/>
      <c r="K5" s="19"/>
      <c r="L5" s="19"/>
      <c r="Q5" s="61"/>
      <c r="R5" s="62"/>
      <c r="S5" s="61"/>
    </row>
    <row r="6" spans="1:19" ht="18" customHeight="1" x14ac:dyDescent="0.35">
      <c r="A6" s="18" t="s">
        <v>14</v>
      </c>
      <c r="B6" s="19">
        <v>2</v>
      </c>
      <c r="C6" s="27" t="s">
        <v>16</v>
      </c>
      <c r="D6" s="55"/>
      <c r="E6" s="53"/>
      <c r="F6" s="56"/>
      <c r="G6" s="51">
        <v>0.7</v>
      </c>
      <c r="H6" s="30"/>
      <c r="I6" s="30"/>
      <c r="J6" s="30"/>
      <c r="K6" s="19"/>
      <c r="L6" s="27"/>
      <c r="Q6" s="60"/>
      <c r="R6" s="62"/>
      <c r="S6" s="60"/>
    </row>
    <row r="7" spans="1:19" ht="18" customHeight="1" x14ac:dyDescent="0.35">
      <c r="A7" s="18" t="s">
        <v>15</v>
      </c>
      <c r="B7" s="19"/>
      <c r="C7" s="19"/>
      <c r="D7" s="7"/>
      <c r="E7" s="7" t="s">
        <v>13</v>
      </c>
      <c r="F7" s="28"/>
      <c r="G7" s="29">
        <v>6</v>
      </c>
      <c r="H7" s="11"/>
      <c r="I7" s="30"/>
      <c r="J7" s="11"/>
      <c r="K7" s="19"/>
      <c r="L7" s="19"/>
      <c r="Q7" s="60"/>
      <c r="R7" s="62"/>
      <c r="S7" s="60"/>
    </row>
    <row r="8" spans="1:19" ht="17.55" customHeight="1" x14ac:dyDescent="0.35">
      <c r="A8" s="18" t="s">
        <v>14</v>
      </c>
      <c r="B8" s="19">
        <v>3</v>
      </c>
      <c r="C8" s="31" t="s">
        <v>18</v>
      </c>
      <c r="D8" s="6"/>
      <c r="E8" s="5"/>
      <c r="F8" s="26"/>
      <c r="G8" s="29">
        <v>0.7</v>
      </c>
      <c r="H8" s="32" t="s">
        <v>22</v>
      </c>
      <c r="I8" s="32" t="s">
        <v>11</v>
      </c>
      <c r="J8" s="32"/>
      <c r="K8" s="19"/>
      <c r="L8" s="31"/>
      <c r="M8" s="32"/>
      <c r="N8" s="32"/>
      <c r="O8" s="32"/>
      <c r="Q8" s="60"/>
      <c r="R8" s="62"/>
      <c r="S8" s="60"/>
    </row>
    <row r="9" spans="1:19" ht="17.55" customHeight="1" x14ac:dyDescent="0.35">
      <c r="A9" s="18" t="s">
        <v>12</v>
      </c>
      <c r="B9" s="19"/>
      <c r="C9" s="19"/>
      <c r="D9" s="6"/>
      <c r="E9" s="6" t="s">
        <v>13</v>
      </c>
      <c r="F9" s="26" t="s">
        <v>23</v>
      </c>
      <c r="G9" s="29">
        <v>5.4</v>
      </c>
      <c r="H9" s="30"/>
      <c r="I9" s="30"/>
      <c r="J9" s="30"/>
      <c r="K9" s="19"/>
      <c r="L9" s="19"/>
      <c r="Q9" s="60"/>
      <c r="R9" s="62"/>
      <c r="S9" s="60"/>
    </row>
    <row r="10" spans="1:19" ht="18" customHeight="1" x14ac:dyDescent="0.35">
      <c r="A10" s="18" t="s">
        <v>14</v>
      </c>
      <c r="B10" s="19">
        <v>4</v>
      </c>
      <c r="C10" s="27" t="s">
        <v>16</v>
      </c>
      <c r="D10" s="5"/>
      <c r="E10" s="5"/>
      <c r="F10" s="33"/>
      <c r="G10" s="29">
        <v>0.7</v>
      </c>
      <c r="H10" s="30"/>
      <c r="I10" s="30"/>
      <c r="J10" s="30"/>
      <c r="K10" s="19"/>
      <c r="L10" s="27"/>
      <c r="Q10" s="60"/>
      <c r="R10" s="62"/>
      <c r="S10" s="60"/>
    </row>
    <row r="11" spans="1:19" ht="18" customHeight="1" x14ac:dyDescent="0.35">
      <c r="A11" s="18" t="s">
        <v>15</v>
      </c>
      <c r="B11" s="19"/>
      <c r="C11" s="19"/>
      <c r="D11" s="7"/>
      <c r="E11" s="7" t="s">
        <v>13</v>
      </c>
      <c r="F11" s="28"/>
      <c r="G11" s="29">
        <v>6</v>
      </c>
      <c r="H11" s="11"/>
      <c r="I11" s="30"/>
      <c r="J11" s="11"/>
      <c r="K11" s="19"/>
      <c r="L11" s="19"/>
      <c r="R11" s="62"/>
    </row>
    <row r="12" spans="1:19" ht="17.55" customHeight="1" x14ac:dyDescent="0.35">
      <c r="A12" s="18" t="s">
        <v>14</v>
      </c>
      <c r="B12" s="19">
        <v>5</v>
      </c>
      <c r="C12" s="31" t="s">
        <v>18</v>
      </c>
      <c r="D12" s="6"/>
      <c r="E12" s="5"/>
      <c r="F12" s="26"/>
      <c r="G12" s="29">
        <v>0.7</v>
      </c>
      <c r="H12" s="32" t="s">
        <v>22</v>
      </c>
      <c r="I12" s="32" t="s">
        <v>11</v>
      </c>
      <c r="J12" s="32"/>
      <c r="K12" s="19"/>
      <c r="L12" s="24"/>
      <c r="M12" s="32"/>
      <c r="N12" s="31"/>
      <c r="O12" s="32"/>
      <c r="R12" s="62"/>
    </row>
    <row r="13" spans="1:19" ht="17.55" customHeight="1" x14ac:dyDescent="0.35">
      <c r="A13" s="18" t="s">
        <v>12</v>
      </c>
      <c r="B13" s="19"/>
      <c r="C13" s="19"/>
      <c r="D13" s="6"/>
      <c r="E13" s="6" t="s">
        <v>13</v>
      </c>
      <c r="F13" s="26" t="s">
        <v>23</v>
      </c>
      <c r="G13" s="29">
        <v>5.4</v>
      </c>
      <c r="H13" s="30"/>
      <c r="I13" s="30"/>
      <c r="J13" s="30"/>
      <c r="K13" s="19"/>
      <c r="N13" s="19"/>
      <c r="R13" s="62"/>
    </row>
    <row r="14" spans="1:19" ht="18" customHeight="1" x14ac:dyDescent="0.35">
      <c r="A14" s="18" t="s">
        <v>4</v>
      </c>
      <c r="B14" s="19">
        <v>6</v>
      </c>
      <c r="C14" s="27" t="s">
        <v>16</v>
      </c>
      <c r="D14" s="5"/>
      <c r="E14" s="5"/>
      <c r="F14" s="33"/>
      <c r="G14" s="29">
        <v>0.7</v>
      </c>
      <c r="H14" s="30"/>
      <c r="I14" s="30"/>
      <c r="J14" s="30"/>
      <c r="K14" s="19"/>
      <c r="N14" s="27"/>
      <c r="R14" s="62"/>
    </row>
    <row r="15" spans="1:19" ht="18" customHeight="1" x14ac:dyDescent="0.35">
      <c r="A15" s="18" t="s">
        <v>15</v>
      </c>
      <c r="B15" s="19"/>
      <c r="C15" s="34"/>
      <c r="D15" s="7"/>
      <c r="E15" s="7" t="s">
        <v>10</v>
      </c>
      <c r="F15" s="28"/>
      <c r="G15" s="29">
        <v>6</v>
      </c>
      <c r="H15" s="11"/>
      <c r="I15" s="30"/>
      <c r="J15" s="11"/>
      <c r="K15" s="19"/>
      <c r="N15" s="34"/>
      <c r="R15" s="62"/>
    </row>
    <row r="16" spans="1:19" ht="17.55" customHeight="1" x14ac:dyDescent="0.35">
      <c r="A16" s="18" t="s">
        <v>4</v>
      </c>
      <c r="B16" s="19">
        <v>7</v>
      </c>
      <c r="C16" s="31" t="s">
        <v>18</v>
      </c>
      <c r="D16" s="6"/>
      <c r="E16" s="5"/>
      <c r="F16" s="26"/>
      <c r="G16" s="29">
        <v>0.7</v>
      </c>
      <c r="H16" s="32" t="s">
        <v>22</v>
      </c>
      <c r="I16" s="32" t="s">
        <v>11</v>
      </c>
      <c r="J16" s="32"/>
      <c r="K16" s="19"/>
      <c r="L16" s="31"/>
      <c r="M16" s="32"/>
      <c r="N16" s="31"/>
      <c r="O16" s="32"/>
      <c r="R16" s="62"/>
    </row>
    <row r="17" spans="1:18" ht="17.55" customHeight="1" x14ac:dyDescent="0.35">
      <c r="A17" s="18" t="s">
        <v>12</v>
      </c>
      <c r="B17" s="19"/>
      <c r="C17" s="19"/>
      <c r="D17" s="6"/>
      <c r="E17" s="6" t="s">
        <v>10</v>
      </c>
      <c r="F17" s="26" t="s">
        <v>23</v>
      </c>
      <c r="G17" s="29">
        <v>5.4</v>
      </c>
      <c r="H17" s="30"/>
      <c r="I17" s="30"/>
      <c r="J17" s="30"/>
      <c r="K17" s="19"/>
      <c r="N17" s="19"/>
      <c r="R17" s="62"/>
    </row>
    <row r="18" spans="1:18" ht="18" customHeight="1" x14ac:dyDescent="0.35">
      <c r="A18" s="18" t="s">
        <v>4</v>
      </c>
      <c r="B18" s="19">
        <v>8</v>
      </c>
      <c r="C18" s="27" t="s">
        <v>16</v>
      </c>
      <c r="D18" s="5"/>
      <c r="E18" s="5"/>
      <c r="F18" s="33"/>
      <c r="G18" s="29">
        <v>0.7</v>
      </c>
      <c r="H18" s="30"/>
      <c r="I18" s="30"/>
      <c r="J18" s="30"/>
      <c r="K18" s="19"/>
      <c r="N18" s="27"/>
      <c r="R18" s="62"/>
    </row>
    <row r="19" spans="1:18" ht="18" customHeight="1" x14ac:dyDescent="0.35">
      <c r="A19" s="18" t="s">
        <v>15</v>
      </c>
      <c r="B19" s="19"/>
      <c r="C19" s="34"/>
      <c r="D19" s="7"/>
      <c r="E19" s="7" t="s">
        <v>10</v>
      </c>
      <c r="F19" s="28"/>
      <c r="G19" s="29">
        <v>6</v>
      </c>
      <c r="H19" s="11"/>
      <c r="I19" s="30"/>
      <c r="J19" s="11"/>
      <c r="K19" s="19"/>
      <c r="L19" s="31"/>
      <c r="N19" s="34"/>
      <c r="R19" s="62"/>
    </row>
    <row r="20" spans="1:18" ht="17.55" customHeight="1" x14ac:dyDescent="0.35">
      <c r="A20" s="18" t="s">
        <v>4</v>
      </c>
      <c r="B20" s="19">
        <v>9</v>
      </c>
      <c r="C20" s="24" t="s">
        <v>17</v>
      </c>
      <c r="D20" s="6"/>
      <c r="E20" s="5"/>
      <c r="F20" s="26"/>
      <c r="G20" s="29">
        <v>0.7</v>
      </c>
      <c r="H20" s="32"/>
      <c r="I20" s="32"/>
      <c r="J20" s="32"/>
      <c r="K20" s="19"/>
      <c r="L20" s="31"/>
      <c r="N20" s="24"/>
      <c r="R20" s="62"/>
    </row>
    <row r="21" spans="1:18" ht="17.55" customHeight="1" x14ac:dyDescent="0.35">
      <c r="A21" s="18" t="s">
        <v>12</v>
      </c>
      <c r="B21" s="19"/>
      <c r="C21" s="19"/>
      <c r="D21" s="6"/>
      <c r="E21" s="6" t="s">
        <v>10</v>
      </c>
      <c r="F21" s="26" t="s">
        <v>23</v>
      </c>
      <c r="G21" s="29">
        <v>5.4</v>
      </c>
      <c r="H21" s="30"/>
      <c r="I21" s="30"/>
      <c r="J21" s="30"/>
      <c r="K21" s="19"/>
      <c r="N21" s="19"/>
      <c r="R21" s="62"/>
    </row>
    <row r="22" spans="1:18" ht="18" customHeight="1" x14ac:dyDescent="0.35">
      <c r="A22" s="18" t="s">
        <v>14</v>
      </c>
      <c r="B22" s="19">
        <v>10</v>
      </c>
      <c r="C22" s="27" t="s">
        <v>16</v>
      </c>
      <c r="D22" s="5"/>
      <c r="E22" s="5"/>
      <c r="F22" s="33"/>
      <c r="G22" s="29">
        <v>0.7</v>
      </c>
      <c r="H22" s="30"/>
      <c r="I22" s="30"/>
      <c r="J22" s="30"/>
      <c r="K22" s="19"/>
      <c r="N22" s="27"/>
      <c r="R22" s="62"/>
    </row>
    <row r="23" spans="1:18" ht="18" customHeight="1" x14ac:dyDescent="0.35">
      <c r="A23" s="18" t="s">
        <v>15</v>
      </c>
      <c r="B23" s="19"/>
      <c r="C23" s="34"/>
      <c r="D23" s="7"/>
      <c r="E23" s="7" t="s">
        <v>13</v>
      </c>
      <c r="F23" s="28"/>
      <c r="G23" s="29">
        <v>6</v>
      </c>
      <c r="H23" s="11"/>
      <c r="I23" s="30"/>
      <c r="J23" s="11"/>
      <c r="K23" s="19"/>
      <c r="N23" s="34"/>
      <c r="R23" s="62"/>
    </row>
    <row r="24" spans="1:18" ht="17.55" customHeight="1" x14ac:dyDescent="0.35">
      <c r="A24" s="18" t="s">
        <v>14</v>
      </c>
      <c r="B24" s="19">
        <v>11</v>
      </c>
      <c r="C24" s="24" t="s">
        <v>17</v>
      </c>
      <c r="D24" s="6"/>
      <c r="E24" s="5"/>
      <c r="F24" s="26"/>
      <c r="G24" s="29">
        <v>0.7</v>
      </c>
      <c r="H24" s="32"/>
      <c r="I24" s="32"/>
      <c r="J24" s="32"/>
      <c r="K24" s="19"/>
      <c r="L24" s="24"/>
      <c r="N24" s="24"/>
      <c r="R24" s="62"/>
    </row>
    <row r="25" spans="1:18" ht="17.55" customHeight="1" x14ac:dyDescent="0.35">
      <c r="A25" s="18" t="s">
        <v>12</v>
      </c>
      <c r="B25" s="19"/>
      <c r="C25" s="19"/>
      <c r="D25" s="6"/>
      <c r="E25" s="6" t="s">
        <v>13</v>
      </c>
      <c r="F25" s="26" t="s">
        <v>23</v>
      </c>
      <c r="G25" s="29">
        <v>5.4</v>
      </c>
      <c r="H25" s="30"/>
      <c r="I25" s="30"/>
      <c r="J25" s="30"/>
      <c r="K25" s="19"/>
      <c r="N25" s="19"/>
      <c r="R25" s="62"/>
    </row>
    <row r="26" spans="1:18" ht="15.75" customHeight="1" x14ac:dyDescent="0.35">
      <c r="A26" s="18" t="s">
        <v>4</v>
      </c>
      <c r="B26" s="19">
        <v>12</v>
      </c>
      <c r="C26" s="27" t="s">
        <v>16</v>
      </c>
      <c r="D26" s="5"/>
      <c r="E26" s="5"/>
      <c r="F26" s="33"/>
      <c r="G26" s="29">
        <v>0.7</v>
      </c>
      <c r="H26" s="32"/>
      <c r="I26" s="32"/>
      <c r="J26" s="32"/>
      <c r="K26" s="19"/>
      <c r="N26" s="27"/>
      <c r="R26" s="62"/>
    </row>
    <row r="27" spans="1:18" ht="15.75" customHeight="1" x14ac:dyDescent="0.35">
      <c r="A27" s="18" t="s">
        <v>15</v>
      </c>
      <c r="B27" s="19"/>
      <c r="C27" s="14"/>
      <c r="D27" s="7"/>
      <c r="E27" s="7" t="s">
        <v>10</v>
      </c>
      <c r="F27" s="28"/>
      <c r="G27" s="47">
        <v>6</v>
      </c>
      <c r="H27" s="30"/>
      <c r="I27" s="30"/>
      <c r="J27" s="30"/>
      <c r="K27" s="19"/>
      <c r="N27" s="14"/>
      <c r="R27" s="62"/>
    </row>
    <row r="28" spans="1:18" ht="15.75" customHeight="1" x14ac:dyDescent="0.35">
      <c r="A28" s="18" t="s">
        <v>14</v>
      </c>
      <c r="B28" s="19">
        <v>13</v>
      </c>
      <c r="C28" s="46" t="s">
        <v>35</v>
      </c>
      <c r="D28" s="6"/>
      <c r="E28" s="5"/>
      <c r="F28" s="26"/>
      <c r="G28" s="29">
        <v>0.7</v>
      </c>
      <c r="H28" s="30"/>
      <c r="I28" s="30"/>
      <c r="J28" s="30"/>
      <c r="K28" s="19"/>
      <c r="L28" s="31"/>
      <c r="N28" s="46"/>
      <c r="R28" s="62"/>
    </row>
    <row r="29" spans="1:18" ht="17.55" customHeight="1" x14ac:dyDescent="0.35">
      <c r="A29" s="18" t="s">
        <v>12</v>
      </c>
      <c r="B29" s="19"/>
      <c r="C29" s="19"/>
      <c r="D29" s="6"/>
      <c r="E29" s="6" t="s">
        <v>10</v>
      </c>
      <c r="F29" s="26" t="s">
        <v>23</v>
      </c>
      <c r="G29" s="45">
        <v>44.8</v>
      </c>
      <c r="H29" s="30"/>
      <c r="I29" s="30"/>
      <c r="J29" s="30"/>
      <c r="K29" s="19"/>
      <c r="N29" s="19"/>
      <c r="R29" s="62"/>
    </row>
    <row r="30" spans="1:18" ht="15.75" customHeight="1" x14ac:dyDescent="0.35">
      <c r="A30" s="18" t="s">
        <v>14</v>
      </c>
      <c r="B30" s="19">
        <v>14</v>
      </c>
      <c r="C30" s="46" t="s">
        <v>36</v>
      </c>
      <c r="D30" s="6"/>
      <c r="E30" s="5"/>
      <c r="F30" s="26"/>
      <c r="G30" s="29">
        <v>0.7</v>
      </c>
      <c r="H30" s="32"/>
      <c r="I30" s="32"/>
      <c r="J30" s="32"/>
      <c r="K30" s="19"/>
      <c r="N30" s="46"/>
      <c r="R30" s="62"/>
    </row>
    <row r="31" spans="1:18" s="4" customFormat="1" ht="15.75" customHeight="1" x14ac:dyDescent="0.35">
      <c r="A31" s="18" t="s">
        <v>34</v>
      </c>
      <c r="B31" s="19"/>
      <c r="C31" s="14"/>
      <c r="D31" s="7"/>
      <c r="E31" s="7" t="s">
        <v>10</v>
      </c>
      <c r="F31" s="28"/>
      <c r="G31" s="29">
        <v>6</v>
      </c>
      <c r="H31" s="36"/>
      <c r="I31" s="36"/>
      <c r="J31" s="36"/>
      <c r="K31" s="19"/>
      <c r="N31" s="14"/>
      <c r="R31" s="62"/>
    </row>
    <row r="32" spans="1:18" ht="17.55" customHeight="1" x14ac:dyDescent="0.35">
      <c r="A32" s="18" t="s">
        <v>4</v>
      </c>
      <c r="B32" s="19">
        <v>15</v>
      </c>
      <c r="C32" s="27" t="s">
        <v>16</v>
      </c>
      <c r="D32" s="5"/>
      <c r="E32" s="5"/>
      <c r="F32" s="33"/>
      <c r="G32" s="29">
        <v>0.7</v>
      </c>
      <c r="H32" s="11"/>
      <c r="I32" s="11"/>
      <c r="J32" s="10"/>
      <c r="K32" s="19"/>
      <c r="L32" s="24"/>
      <c r="N32" s="27"/>
      <c r="R32" s="62"/>
    </row>
    <row r="33" spans="1:18" ht="18" customHeight="1" x14ac:dyDescent="0.35">
      <c r="A33" s="18" t="s">
        <v>15</v>
      </c>
      <c r="B33" s="19"/>
      <c r="C33" s="19"/>
      <c r="D33" s="6"/>
      <c r="E33" s="6" t="s">
        <v>10</v>
      </c>
      <c r="F33" s="26" t="s">
        <v>23</v>
      </c>
      <c r="G33" s="29">
        <v>5.4</v>
      </c>
      <c r="H33" s="11"/>
      <c r="I33" s="30"/>
      <c r="J33" s="11"/>
      <c r="K33" s="19"/>
      <c r="N33" s="19"/>
      <c r="R33" s="62"/>
    </row>
    <row r="34" spans="1:18" ht="17.55" customHeight="1" x14ac:dyDescent="0.35">
      <c r="A34" s="18" t="s">
        <v>4</v>
      </c>
      <c r="B34" s="19">
        <v>16</v>
      </c>
      <c r="C34" s="24" t="s">
        <v>17</v>
      </c>
      <c r="D34" s="37"/>
      <c r="E34" s="5"/>
      <c r="F34" s="38"/>
      <c r="G34" s="10">
        <v>0.7</v>
      </c>
      <c r="H34" s="32"/>
      <c r="I34" s="32"/>
      <c r="J34" s="32"/>
      <c r="K34" s="19"/>
      <c r="N34" s="24"/>
      <c r="R34" s="62"/>
    </row>
    <row r="35" spans="1:18" ht="17.55" customHeight="1" x14ac:dyDescent="0.35">
      <c r="A35" s="18" t="s">
        <v>12</v>
      </c>
      <c r="B35" s="19"/>
      <c r="C35" s="41" t="s">
        <v>9</v>
      </c>
      <c r="D35" s="9"/>
      <c r="E35" s="7" t="s">
        <v>10</v>
      </c>
      <c r="F35" s="40"/>
      <c r="G35" s="29">
        <v>6</v>
      </c>
      <c r="H35" s="30"/>
      <c r="I35" s="30"/>
      <c r="J35" s="30"/>
      <c r="K35" s="19"/>
      <c r="N35" s="41"/>
      <c r="R35" s="62"/>
    </row>
    <row r="36" spans="1:18" ht="15.75" customHeight="1" x14ac:dyDescent="0.35">
      <c r="A36" s="18" t="s">
        <v>4</v>
      </c>
      <c r="B36" s="19">
        <v>17</v>
      </c>
      <c r="C36" s="27" t="s">
        <v>16</v>
      </c>
      <c r="D36" s="5"/>
      <c r="E36" s="5"/>
      <c r="F36" s="33"/>
      <c r="G36" s="29">
        <v>0.7</v>
      </c>
      <c r="H36" s="32"/>
      <c r="I36" s="32"/>
      <c r="J36" s="32"/>
      <c r="K36" s="19"/>
      <c r="N36" s="27"/>
      <c r="R36" s="62"/>
    </row>
    <row r="37" spans="1:18" ht="17.55" customHeight="1" x14ac:dyDescent="0.35">
      <c r="A37" s="18" t="s">
        <v>12</v>
      </c>
      <c r="B37" s="19"/>
      <c r="C37" s="19"/>
      <c r="D37" s="6"/>
      <c r="E37" s="6" t="s">
        <v>10</v>
      </c>
      <c r="F37" s="26" t="s">
        <v>23</v>
      </c>
      <c r="G37" s="29">
        <v>5.4</v>
      </c>
      <c r="H37" s="11"/>
      <c r="I37" s="11"/>
      <c r="J37" s="10"/>
      <c r="K37" s="19"/>
      <c r="N37" s="19"/>
      <c r="R37" s="62"/>
    </row>
    <row r="38" spans="1:18" ht="17.7" customHeight="1" x14ac:dyDescent="0.35">
      <c r="A38" s="18" t="s">
        <v>4</v>
      </c>
      <c r="B38" s="19">
        <v>18</v>
      </c>
      <c r="C38" s="31" t="s">
        <v>18</v>
      </c>
      <c r="D38" s="37"/>
      <c r="E38" s="5"/>
      <c r="F38" s="38"/>
      <c r="G38" s="10">
        <v>0.7</v>
      </c>
      <c r="H38" s="32" t="s">
        <v>22</v>
      </c>
      <c r="I38" s="32" t="s">
        <v>11</v>
      </c>
      <c r="J38" s="32"/>
      <c r="K38" s="19"/>
      <c r="L38" s="31"/>
      <c r="M38" s="32"/>
      <c r="N38" s="31"/>
      <c r="O38" s="32"/>
      <c r="R38" s="62"/>
    </row>
    <row r="39" spans="1:18" s="2" customFormat="1" ht="18" customHeight="1" x14ac:dyDescent="0.35">
      <c r="A39" s="18" t="s">
        <v>15</v>
      </c>
      <c r="B39" s="19"/>
      <c r="C39" s="41" t="s">
        <v>9</v>
      </c>
      <c r="D39" s="9"/>
      <c r="E39" s="7" t="s">
        <v>10</v>
      </c>
      <c r="F39" s="40"/>
      <c r="G39" s="29">
        <v>6</v>
      </c>
      <c r="H39" s="12"/>
      <c r="I39" s="12"/>
      <c r="J39" s="13"/>
      <c r="K39" s="19"/>
      <c r="L39" s="1"/>
      <c r="N39" s="41"/>
      <c r="R39" s="62"/>
    </row>
    <row r="40" spans="1:18" ht="17.55" customHeight="1" x14ac:dyDescent="0.35">
      <c r="A40" s="18" t="s">
        <v>14</v>
      </c>
      <c r="B40" s="19">
        <v>19</v>
      </c>
      <c r="C40" s="35" t="s">
        <v>5</v>
      </c>
      <c r="D40" s="5"/>
      <c r="E40" s="5"/>
      <c r="F40" s="8"/>
      <c r="G40" s="29">
        <v>0.7</v>
      </c>
      <c r="H40" s="11"/>
      <c r="I40" s="11"/>
      <c r="J40" s="10"/>
      <c r="K40" s="19"/>
      <c r="N40" s="35"/>
      <c r="R40" s="62"/>
    </row>
    <row r="41" spans="1:18" ht="17.55" customHeight="1" x14ac:dyDescent="0.35">
      <c r="A41" s="18" t="s">
        <v>12</v>
      </c>
      <c r="B41" s="19"/>
      <c r="C41" s="19"/>
      <c r="D41" s="6"/>
      <c r="E41" s="6" t="s">
        <v>13</v>
      </c>
      <c r="F41" s="26" t="s">
        <v>23</v>
      </c>
      <c r="G41" s="29">
        <v>5.4</v>
      </c>
      <c r="H41" s="11"/>
      <c r="I41" s="11"/>
      <c r="J41" s="10"/>
      <c r="K41" s="19"/>
      <c r="L41" s="2"/>
      <c r="N41" s="19"/>
      <c r="R41" s="62"/>
    </row>
    <row r="42" spans="1:18" ht="17.7" customHeight="1" x14ac:dyDescent="0.35">
      <c r="A42" s="18" t="s">
        <v>14</v>
      </c>
      <c r="B42" s="19">
        <v>20</v>
      </c>
      <c r="C42" s="31" t="s">
        <v>18</v>
      </c>
      <c r="D42" s="37"/>
      <c r="E42" s="5"/>
      <c r="F42" s="38"/>
      <c r="G42" s="10">
        <v>0.7</v>
      </c>
      <c r="H42" s="32" t="s">
        <v>22</v>
      </c>
      <c r="I42" s="32" t="s">
        <v>11</v>
      </c>
      <c r="J42" s="32"/>
      <c r="K42" s="19"/>
      <c r="L42" s="24"/>
      <c r="M42" s="32"/>
      <c r="N42" s="31"/>
      <c r="O42" s="32"/>
      <c r="R42" s="62"/>
    </row>
    <row r="43" spans="1:18" s="2" customFormat="1" ht="18" customHeight="1" x14ac:dyDescent="0.35">
      <c r="A43" s="18" t="s">
        <v>15</v>
      </c>
      <c r="B43" s="19"/>
      <c r="C43" s="41" t="s">
        <v>9</v>
      </c>
      <c r="D43" s="9"/>
      <c r="E43" s="7" t="s">
        <v>13</v>
      </c>
      <c r="F43" s="40"/>
      <c r="G43" s="29">
        <v>6</v>
      </c>
      <c r="H43" s="12"/>
      <c r="I43" s="12"/>
      <c r="J43" s="13"/>
      <c r="K43" s="19"/>
      <c r="L43" s="1"/>
      <c r="N43" s="41"/>
      <c r="R43" s="62"/>
    </row>
    <row r="44" spans="1:18" ht="17.55" customHeight="1" x14ac:dyDescent="0.35">
      <c r="A44" s="18" t="s">
        <v>14</v>
      </c>
      <c r="B44" s="19">
        <v>21</v>
      </c>
      <c r="C44" s="35" t="s">
        <v>5</v>
      </c>
      <c r="D44" s="5"/>
      <c r="E44" s="5"/>
      <c r="F44" s="8"/>
      <c r="G44" s="29">
        <v>0.7</v>
      </c>
      <c r="H44" s="11"/>
      <c r="I44" s="11"/>
      <c r="J44" s="10"/>
      <c r="K44" s="19"/>
      <c r="L44" s="35"/>
      <c r="N44" s="35"/>
      <c r="R44" s="62"/>
    </row>
    <row r="45" spans="1:18" s="3" customFormat="1" ht="17.05" x14ac:dyDescent="0.35">
      <c r="A45" s="18" t="s">
        <v>12</v>
      </c>
      <c r="B45" s="19"/>
      <c r="C45" s="19"/>
      <c r="D45" s="6"/>
      <c r="E45" s="6" t="s">
        <v>13</v>
      </c>
      <c r="F45" s="26" t="s">
        <v>23</v>
      </c>
      <c r="G45" s="29">
        <v>5.4</v>
      </c>
      <c r="H45" s="11"/>
      <c r="I45" s="11"/>
      <c r="J45" s="10"/>
      <c r="K45" s="19"/>
      <c r="L45" s="2"/>
      <c r="N45" s="19"/>
      <c r="R45" s="62"/>
    </row>
    <row r="46" spans="1:18" ht="17.05" x14ac:dyDescent="0.35">
      <c r="A46" s="18" t="s">
        <v>14</v>
      </c>
      <c r="B46" s="19">
        <v>22</v>
      </c>
      <c r="C46" s="31" t="s">
        <v>18</v>
      </c>
      <c r="D46" s="37"/>
      <c r="E46" s="5"/>
      <c r="F46" s="38"/>
      <c r="G46" s="10">
        <v>0.7</v>
      </c>
      <c r="H46" s="32" t="s">
        <v>22</v>
      </c>
      <c r="I46" s="32" t="s">
        <v>11</v>
      </c>
      <c r="J46" s="32"/>
      <c r="K46" s="19"/>
      <c r="L46" s="31"/>
      <c r="M46" s="32"/>
      <c r="N46" s="31"/>
      <c r="O46" s="32"/>
      <c r="R46" s="62"/>
    </row>
    <row r="47" spans="1:18" ht="17.05" x14ac:dyDescent="0.35">
      <c r="A47" s="18" t="s">
        <v>15</v>
      </c>
      <c r="B47" s="19"/>
      <c r="C47" s="19"/>
      <c r="D47" s="7"/>
      <c r="E47" s="7" t="s">
        <v>13</v>
      </c>
      <c r="F47" s="40"/>
      <c r="G47" s="29">
        <v>6</v>
      </c>
      <c r="H47" s="12"/>
      <c r="I47" s="12"/>
      <c r="J47" s="13"/>
      <c r="K47" s="19"/>
      <c r="L47" s="3"/>
      <c r="N47" s="19"/>
      <c r="R47" s="62"/>
    </row>
    <row r="48" spans="1:18" ht="17.05" x14ac:dyDescent="0.35">
      <c r="A48" s="18" t="s">
        <v>14</v>
      </c>
      <c r="B48" s="19">
        <v>23</v>
      </c>
      <c r="C48" s="35" t="s">
        <v>5</v>
      </c>
      <c r="D48" s="5"/>
      <c r="E48" s="5"/>
      <c r="F48" s="8"/>
      <c r="G48" s="29">
        <v>0.7</v>
      </c>
      <c r="H48" s="11"/>
      <c r="I48" s="11"/>
      <c r="J48" s="10"/>
      <c r="K48" s="19"/>
      <c r="L48" s="35"/>
      <c r="N48" s="35"/>
      <c r="R48" s="62"/>
    </row>
    <row r="49" spans="1:19" ht="17.05" x14ac:dyDescent="0.35">
      <c r="A49" s="18" t="s">
        <v>12</v>
      </c>
      <c r="B49" s="19"/>
      <c r="C49" s="19"/>
      <c r="D49" s="6"/>
      <c r="E49" s="6" t="s">
        <v>13</v>
      </c>
      <c r="F49" s="26" t="s">
        <v>23</v>
      </c>
      <c r="G49" s="29">
        <v>5.4</v>
      </c>
      <c r="H49" s="11"/>
      <c r="I49" s="11"/>
      <c r="J49" s="10"/>
      <c r="K49" s="19"/>
      <c r="L49" s="19"/>
      <c r="N49" s="19"/>
      <c r="R49" s="62"/>
    </row>
    <row r="50" spans="1:19" ht="17.05" x14ac:dyDescent="0.35">
      <c r="A50" s="18" t="s">
        <v>14</v>
      </c>
      <c r="B50" s="19">
        <v>24</v>
      </c>
      <c r="C50" s="31" t="s">
        <v>18</v>
      </c>
      <c r="D50" s="37"/>
      <c r="E50" s="5"/>
      <c r="F50" s="38"/>
      <c r="G50" s="10">
        <v>0.7</v>
      </c>
      <c r="H50" s="32" t="s">
        <v>22</v>
      </c>
      <c r="I50" s="32" t="s">
        <v>11</v>
      </c>
      <c r="J50" s="32"/>
      <c r="K50" s="19"/>
      <c r="L50" s="31"/>
      <c r="M50" s="32"/>
      <c r="N50" s="31"/>
      <c r="O50" s="32"/>
      <c r="R50" s="62"/>
    </row>
    <row r="51" spans="1:19" ht="17.05" x14ac:dyDescent="0.35">
      <c r="A51" s="18" t="s">
        <v>15</v>
      </c>
      <c r="B51" s="19"/>
      <c r="C51" s="39" t="s">
        <v>9</v>
      </c>
      <c r="D51" s="7"/>
      <c r="E51" s="7" t="s">
        <v>13</v>
      </c>
      <c r="F51" s="28"/>
      <c r="G51" s="29">
        <v>6</v>
      </c>
      <c r="H51" s="11"/>
      <c r="I51" s="11"/>
      <c r="J51" s="10"/>
      <c r="K51" s="19"/>
      <c r="N51" s="39"/>
      <c r="R51" s="62"/>
    </row>
    <row r="52" spans="1:19" ht="17.05" x14ac:dyDescent="0.35">
      <c r="A52" s="18" t="s">
        <v>14</v>
      </c>
      <c r="B52" s="19">
        <v>25</v>
      </c>
      <c r="C52" s="27" t="s">
        <v>16</v>
      </c>
      <c r="D52" s="25"/>
      <c r="E52" s="25"/>
      <c r="F52" s="25"/>
      <c r="G52" s="16">
        <v>0.7</v>
      </c>
      <c r="H52" s="30"/>
      <c r="I52" s="30"/>
      <c r="J52" s="30"/>
      <c r="K52" s="19"/>
      <c r="N52" s="27"/>
      <c r="R52" s="62"/>
    </row>
    <row r="53" spans="1:19" ht="17.05" x14ac:dyDescent="0.35">
      <c r="A53" s="18" t="s">
        <v>12</v>
      </c>
      <c r="B53" s="19"/>
      <c r="C53" s="19"/>
      <c r="D53" s="63"/>
      <c r="E53" s="64" t="s">
        <v>33</v>
      </c>
      <c r="F53" s="65"/>
      <c r="G53" s="16">
        <v>3.9</v>
      </c>
      <c r="H53" s="30"/>
      <c r="I53" s="30"/>
      <c r="J53" s="30"/>
      <c r="K53" s="19"/>
      <c r="M53" s="30"/>
      <c r="N53" s="19"/>
      <c r="O53" s="30"/>
      <c r="R53" s="62"/>
    </row>
    <row r="54" spans="1:19" ht="17.05" x14ac:dyDescent="0.35">
      <c r="A54" s="18" t="s">
        <v>14</v>
      </c>
      <c r="B54" s="19">
        <v>26</v>
      </c>
      <c r="C54" s="24" t="s">
        <v>43</v>
      </c>
      <c r="D54" s="52"/>
      <c r="E54" s="53"/>
      <c r="F54" s="54"/>
      <c r="G54" s="16">
        <v>1.8</v>
      </c>
      <c r="H54" s="57" t="s">
        <v>46</v>
      </c>
      <c r="I54" s="57" t="s">
        <v>11</v>
      </c>
      <c r="J54" s="57"/>
      <c r="K54" s="19"/>
      <c r="M54" s="57"/>
      <c r="N54" s="24"/>
      <c r="O54" s="57"/>
      <c r="Q54" s="62"/>
      <c r="R54" s="62"/>
      <c r="S54" s="62"/>
    </row>
    <row r="55" spans="1:19" ht="17.05" x14ac:dyDescent="0.35">
      <c r="A55" s="18" t="s">
        <v>19</v>
      </c>
      <c r="B55" s="19"/>
      <c r="C55" s="19"/>
      <c r="D55" s="48"/>
      <c r="E55" s="49"/>
      <c r="F55" s="50"/>
      <c r="G55" s="51">
        <v>0.5</v>
      </c>
      <c r="H55" s="30"/>
      <c r="I55" s="30"/>
      <c r="J55" s="30"/>
      <c r="K55" s="32"/>
    </row>
    <row r="56" spans="1:19" x14ac:dyDescent="0.35">
      <c r="A56" s="18" t="s">
        <v>20</v>
      </c>
      <c r="B56" s="19"/>
      <c r="C56" s="19"/>
      <c r="H56" s="23"/>
      <c r="I56" s="23"/>
      <c r="J56" s="23"/>
      <c r="K56" s="23"/>
    </row>
    <row r="57" spans="1:19" x14ac:dyDescent="0.35">
      <c r="B57" s="19"/>
      <c r="C57" s="19"/>
      <c r="F57" s="10" t="s">
        <v>21</v>
      </c>
      <c r="G57" s="21">
        <f>SUM(G3:G55)</f>
        <v>199.99999999999994</v>
      </c>
      <c r="H57" s="23"/>
      <c r="I57" s="23"/>
      <c r="J57" s="23"/>
      <c r="K57" s="23"/>
    </row>
    <row r="58" spans="1:19" x14ac:dyDescent="0.35">
      <c r="B58" s="19"/>
      <c r="C58" s="19"/>
      <c r="G58" s="21">
        <f>G57/39.37</f>
        <v>5.0800101600203194</v>
      </c>
      <c r="H58" s="23"/>
      <c r="I58" s="23"/>
      <c r="J58" s="23"/>
      <c r="K58" s="23"/>
    </row>
    <row r="59" spans="1:19" x14ac:dyDescent="0.35">
      <c r="B59" s="19"/>
      <c r="C59" s="19"/>
      <c r="H59" s="23"/>
      <c r="I59" s="23"/>
      <c r="J59" s="23"/>
      <c r="K59" s="23"/>
    </row>
    <row r="60" spans="1:19" x14ac:dyDescent="0.35">
      <c r="A60" s="16" t="s">
        <v>24</v>
      </c>
      <c r="B60" s="42"/>
      <c r="C60" s="42"/>
      <c r="H60" s="23"/>
      <c r="I60" s="23"/>
      <c r="J60" s="23"/>
      <c r="K60" s="23"/>
    </row>
    <row r="61" spans="1:19" x14ac:dyDescent="0.35">
      <c r="A61" s="16" t="s">
        <v>25</v>
      </c>
      <c r="B61" s="16" t="s">
        <v>26</v>
      </c>
      <c r="C61" s="16" t="s">
        <v>27</v>
      </c>
    </row>
    <row r="62" spans="1:19" x14ac:dyDescent="0.35">
      <c r="A62" s="16" t="s">
        <v>28</v>
      </c>
      <c r="B62" s="16" t="s">
        <v>29</v>
      </c>
      <c r="C62" s="16" t="s">
        <v>27</v>
      </c>
    </row>
    <row r="63" spans="1:19" x14ac:dyDescent="0.35">
      <c r="A63" s="16"/>
      <c r="B63" s="16"/>
      <c r="C63" s="16"/>
      <c r="D63" s="15"/>
    </row>
    <row r="64" spans="1:19" x14ac:dyDescent="0.35">
      <c r="A64" s="66" t="s">
        <v>30</v>
      </c>
      <c r="B64" s="66"/>
      <c r="C64" s="17">
        <f>G57</f>
        <v>199.99999999999994</v>
      </c>
    </row>
    <row r="65" spans="1:11" x14ac:dyDescent="0.35">
      <c r="A65" s="66" t="s">
        <v>31</v>
      </c>
      <c r="B65" s="66"/>
      <c r="C65" s="17">
        <v>6</v>
      </c>
    </row>
    <row r="66" spans="1:11" x14ac:dyDescent="0.35">
      <c r="A66" s="66" t="s">
        <v>32</v>
      </c>
      <c r="B66" s="66"/>
      <c r="C66" s="17">
        <f>C64/C65</f>
        <v>33.333333333333321</v>
      </c>
    </row>
    <row r="75" spans="1:11" x14ac:dyDescent="0.35">
      <c r="B75" s="19"/>
      <c r="C75" s="19"/>
      <c r="H75" s="23"/>
      <c r="I75" s="23"/>
      <c r="J75" s="23"/>
      <c r="K75" s="23"/>
    </row>
    <row r="76" spans="1:11" x14ac:dyDescent="0.35">
      <c r="B76" s="19"/>
      <c r="C76" s="19"/>
      <c r="H76" s="23"/>
      <c r="I76" s="23"/>
      <c r="J76" s="23"/>
      <c r="K76" s="23"/>
    </row>
    <row r="86" spans="2:11" x14ac:dyDescent="0.35">
      <c r="B86" s="19"/>
      <c r="C86" s="19"/>
      <c r="F86" s="10"/>
      <c r="H86" s="23"/>
      <c r="I86" s="23"/>
      <c r="J86" s="23"/>
      <c r="K86" s="23"/>
    </row>
    <row r="87" spans="2:11" x14ac:dyDescent="0.35">
      <c r="B87" s="19"/>
      <c r="C87" s="19"/>
      <c r="H87" s="23"/>
      <c r="I87" s="23"/>
      <c r="J87" s="23"/>
      <c r="K87" s="23"/>
    </row>
  </sheetData>
  <mergeCells count="3">
    <mergeCell ref="A64:B64"/>
    <mergeCell ref="A65:B65"/>
    <mergeCell ref="A66:B66"/>
  </mergeCells>
  <phoneticPr fontId="1" type="noConversion"/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="85" zoomScaleNormal="85" workbookViewId="0">
      <selection activeCell="H30" sqref="H30"/>
    </sheetView>
  </sheetViews>
  <sheetFormatPr defaultRowHeight="16.399999999999999" x14ac:dyDescent="0.3"/>
  <sheetData>
    <row r="1" spans="1:15" x14ac:dyDescent="0.3">
      <c r="A1">
        <v>1</v>
      </c>
      <c r="G1">
        <v>0.5</v>
      </c>
      <c r="H1" t="b">
        <f>EXACT(G1,O1)</f>
        <v>1</v>
      </c>
      <c r="I1">
        <v>53</v>
      </c>
      <c r="O1">
        <v>0.5</v>
      </c>
    </row>
    <row r="2" spans="1:15" x14ac:dyDescent="0.3">
      <c r="A2">
        <v>2</v>
      </c>
      <c r="B2">
        <v>1</v>
      </c>
      <c r="C2" t="s">
        <v>37</v>
      </c>
      <c r="G2">
        <v>1.8</v>
      </c>
      <c r="H2" t="b">
        <f t="shared" ref="H2:H27" si="0">EXACT(G2,O2)</f>
        <v>1</v>
      </c>
      <c r="I2">
        <v>52</v>
      </c>
      <c r="J2">
        <v>26</v>
      </c>
      <c r="K2" t="s">
        <v>42</v>
      </c>
      <c r="O2">
        <v>1.8</v>
      </c>
    </row>
    <row r="3" spans="1:15" x14ac:dyDescent="0.3">
      <c r="A3">
        <v>3</v>
      </c>
      <c r="E3" t="s">
        <v>33</v>
      </c>
      <c r="F3">
        <v>2116</v>
      </c>
      <c r="G3">
        <v>4.5999999999999996</v>
      </c>
      <c r="H3" t="b">
        <f t="shared" si="0"/>
        <v>1</v>
      </c>
      <c r="I3">
        <v>51</v>
      </c>
      <c r="M3" t="s">
        <v>33</v>
      </c>
      <c r="N3">
        <v>2116</v>
      </c>
      <c r="O3">
        <v>4.5999999999999996</v>
      </c>
    </row>
    <row r="4" spans="1:15" x14ac:dyDescent="0.3">
      <c r="A4">
        <v>4</v>
      </c>
      <c r="B4">
        <v>2</v>
      </c>
      <c r="C4" t="s">
        <v>5</v>
      </c>
      <c r="G4">
        <v>0.7</v>
      </c>
      <c r="H4" t="b">
        <f t="shared" si="0"/>
        <v>1</v>
      </c>
      <c r="I4">
        <v>50</v>
      </c>
      <c r="J4">
        <v>25</v>
      </c>
      <c r="K4" t="s">
        <v>5</v>
      </c>
      <c r="O4">
        <v>0.7</v>
      </c>
    </row>
    <row r="5" spans="1:15" x14ac:dyDescent="0.3">
      <c r="A5">
        <v>5</v>
      </c>
      <c r="E5" t="s">
        <v>33</v>
      </c>
      <c r="G5">
        <v>6</v>
      </c>
      <c r="H5" t="b">
        <f t="shared" si="0"/>
        <v>1</v>
      </c>
      <c r="I5">
        <v>49</v>
      </c>
      <c r="K5" t="s">
        <v>9</v>
      </c>
      <c r="M5" t="s">
        <v>33</v>
      </c>
      <c r="O5">
        <v>6</v>
      </c>
    </row>
    <row r="6" spans="1:15" x14ac:dyDescent="0.3">
      <c r="A6">
        <v>6</v>
      </c>
      <c r="B6">
        <v>3</v>
      </c>
      <c r="C6" t="s">
        <v>38</v>
      </c>
      <c r="G6">
        <v>0.7</v>
      </c>
      <c r="H6" t="b">
        <f t="shared" si="0"/>
        <v>1</v>
      </c>
      <c r="I6">
        <v>48</v>
      </c>
      <c r="J6">
        <v>24</v>
      </c>
      <c r="K6" t="s">
        <v>38</v>
      </c>
      <c r="O6">
        <v>0.7</v>
      </c>
    </row>
    <row r="7" spans="1:15" x14ac:dyDescent="0.3">
      <c r="A7">
        <v>7</v>
      </c>
      <c r="E7" t="s">
        <v>33</v>
      </c>
      <c r="F7" t="s">
        <v>23</v>
      </c>
      <c r="G7">
        <v>5.4</v>
      </c>
      <c r="H7" t="b">
        <f t="shared" si="0"/>
        <v>1</v>
      </c>
      <c r="I7">
        <v>47</v>
      </c>
      <c r="M7" t="s">
        <v>33</v>
      </c>
      <c r="N7" t="s">
        <v>23</v>
      </c>
      <c r="O7">
        <v>5.4</v>
      </c>
    </row>
    <row r="8" spans="1:15" x14ac:dyDescent="0.3">
      <c r="A8">
        <v>8</v>
      </c>
      <c r="B8">
        <v>4</v>
      </c>
      <c r="C8" t="s">
        <v>5</v>
      </c>
      <c r="G8">
        <v>0.7</v>
      </c>
      <c r="H8" t="b">
        <f t="shared" si="0"/>
        <v>1</v>
      </c>
      <c r="I8">
        <v>46</v>
      </c>
      <c r="J8">
        <v>23</v>
      </c>
      <c r="K8" t="s">
        <v>5</v>
      </c>
      <c r="O8">
        <v>0.7</v>
      </c>
    </row>
    <row r="9" spans="1:15" x14ac:dyDescent="0.3">
      <c r="A9">
        <v>9</v>
      </c>
      <c r="E9" t="s">
        <v>33</v>
      </c>
      <c r="G9">
        <v>6</v>
      </c>
      <c r="H9" t="b">
        <f t="shared" si="0"/>
        <v>1</v>
      </c>
      <c r="I9">
        <v>45</v>
      </c>
      <c r="M9" t="s">
        <v>33</v>
      </c>
      <c r="O9">
        <v>6</v>
      </c>
    </row>
    <row r="10" spans="1:15" x14ac:dyDescent="0.3">
      <c r="A10">
        <v>10</v>
      </c>
      <c r="B10">
        <v>5</v>
      </c>
      <c r="C10" t="s">
        <v>38</v>
      </c>
      <c r="G10">
        <v>0.7</v>
      </c>
      <c r="H10" t="b">
        <f t="shared" si="0"/>
        <v>1</v>
      </c>
      <c r="I10">
        <v>44</v>
      </c>
      <c r="J10">
        <v>22</v>
      </c>
      <c r="K10" t="s">
        <v>38</v>
      </c>
      <c r="O10">
        <v>0.7</v>
      </c>
    </row>
    <row r="11" spans="1:15" x14ac:dyDescent="0.3">
      <c r="A11">
        <v>11</v>
      </c>
      <c r="E11" t="s">
        <v>33</v>
      </c>
      <c r="F11" t="s">
        <v>23</v>
      </c>
      <c r="G11">
        <v>5.4</v>
      </c>
      <c r="H11" t="b">
        <f t="shared" si="0"/>
        <v>1</v>
      </c>
      <c r="I11">
        <v>43</v>
      </c>
      <c r="M11" t="s">
        <v>33</v>
      </c>
      <c r="N11" t="s">
        <v>23</v>
      </c>
      <c r="O11">
        <v>5.4</v>
      </c>
    </row>
    <row r="12" spans="1:15" x14ac:dyDescent="0.3">
      <c r="A12">
        <v>12</v>
      </c>
      <c r="B12">
        <v>6</v>
      </c>
      <c r="C12" t="s">
        <v>5</v>
      </c>
      <c r="G12">
        <v>0.7</v>
      </c>
      <c r="H12" t="b">
        <f t="shared" si="0"/>
        <v>1</v>
      </c>
      <c r="I12">
        <v>42</v>
      </c>
      <c r="J12">
        <v>21</v>
      </c>
      <c r="K12" t="s">
        <v>5</v>
      </c>
      <c r="O12">
        <v>0.7</v>
      </c>
    </row>
    <row r="13" spans="1:15" x14ac:dyDescent="0.3">
      <c r="A13">
        <v>13</v>
      </c>
      <c r="E13" t="s">
        <v>33</v>
      </c>
      <c r="G13">
        <v>6</v>
      </c>
      <c r="H13" t="b">
        <f t="shared" si="0"/>
        <v>1</v>
      </c>
      <c r="I13">
        <v>41</v>
      </c>
      <c r="K13" t="s">
        <v>9</v>
      </c>
      <c r="M13" t="s">
        <v>33</v>
      </c>
      <c r="O13">
        <v>6</v>
      </c>
    </row>
    <row r="14" spans="1:15" x14ac:dyDescent="0.3">
      <c r="A14">
        <v>14</v>
      </c>
      <c r="B14">
        <v>7</v>
      </c>
      <c r="C14" t="s">
        <v>38</v>
      </c>
      <c r="G14">
        <v>0.7</v>
      </c>
      <c r="H14" t="b">
        <f t="shared" si="0"/>
        <v>1</v>
      </c>
      <c r="I14">
        <v>40</v>
      </c>
      <c r="J14">
        <v>20</v>
      </c>
      <c r="K14" t="s">
        <v>38</v>
      </c>
      <c r="O14">
        <v>0.7</v>
      </c>
    </row>
    <row r="15" spans="1:15" x14ac:dyDescent="0.3">
      <c r="A15">
        <v>15</v>
      </c>
      <c r="E15" t="s">
        <v>33</v>
      </c>
      <c r="F15" t="s">
        <v>23</v>
      </c>
      <c r="G15">
        <v>5.4</v>
      </c>
      <c r="H15" t="b">
        <f t="shared" si="0"/>
        <v>1</v>
      </c>
      <c r="I15">
        <v>39</v>
      </c>
      <c r="M15" t="s">
        <v>33</v>
      </c>
      <c r="N15" t="s">
        <v>23</v>
      </c>
      <c r="O15">
        <v>5.4</v>
      </c>
    </row>
    <row r="16" spans="1:15" x14ac:dyDescent="0.3">
      <c r="A16">
        <v>16</v>
      </c>
      <c r="B16">
        <v>8</v>
      </c>
      <c r="C16" t="s">
        <v>5</v>
      </c>
      <c r="G16">
        <v>0.7</v>
      </c>
      <c r="H16" t="b">
        <f t="shared" si="0"/>
        <v>1</v>
      </c>
      <c r="I16">
        <v>38</v>
      </c>
      <c r="J16">
        <v>19</v>
      </c>
      <c r="K16" t="s">
        <v>5</v>
      </c>
      <c r="O16">
        <v>0.7</v>
      </c>
    </row>
    <row r="17" spans="1:15" x14ac:dyDescent="0.3">
      <c r="A17">
        <v>17</v>
      </c>
      <c r="E17" t="s">
        <v>33</v>
      </c>
      <c r="G17">
        <v>6</v>
      </c>
      <c r="H17" t="b">
        <f t="shared" si="0"/>
        <v>1</v>
      </c>
      <c r="I17">
        <v>37</v>
      </c>
      <c r="K17" t="s">
        <v>9</v>
      </c>
      <c r="M17" t="s">
        <v>33</v>
      </c>
      <c r="O17">
        <v>6</v>
      </c>
    </row>
    <row r="18" spans="1:15" x14ac:dyDescent="0.3">
      <c r="A18">
        <v>18</v>
      </c>
      <c r="B18">
        <v>9</v>
      </c>
      <c r="C18" t="s">
        <v>39</v>
      </c>
      <c r="G18">
        <v>0.7</v>
      </c>
      <c r="H18" t="b">
        <f t="shared" si="0"/>
        <v>1</v>
      </c>
      <c r="I18">
        <v>36</v>
      </c>
      <c r="J18">
        <v>18</v>
      </c>
      <c r="K18" t="s">
        <v>39</v>
      </c>
      <c r="O18">
        <v>0.7</v>
      </c>
    </row>
    <row r="19" spans="1:15" x14ac:dyDescent="0.3">
      <c r="A19">
        <v>19</v>
      </c>
      <c r="E19" t="s">
        <v>33</v>
      </c>
      <c r="F19" t="s">
        <v>23</v>
      </c>
      <c r="G19">
        <v>5.4</v>
      </c>
      <c r="H19" t="b">
        <f t="shared" si="0"/>
        <v>1</v>
      </c>
      <c r="I19">
        <v>35</v>
      </c>
      <c r="M19" t="s">
        <v>33</v>
      </c>
      <c r="N19" t="s">
        <v>23</v>
      </c>
      <c r="O19">
        <v>5.4</v>
      </c>
    </row>
    <row r="20" spans="1:15" x14ac:dyDescent="0.3">
      <c r="A20">
        <v>20</v>
      </c>
      <c r="B20">
        <v>10</v>
      </c>
      <c r="C20" t="s">
        <v>5</v>
      </c>
      <c r="G20">
        <v>0.7</v>
      </c>
      <c r="H20" t="b">
        <f t="shared" si="0"/>
        <v>1</v>
      </c>
      <c r="I20">
        <v>34</v>
      </c>
      <c r="J20">
        <v>17</v>
      </c>
      <c r="K20" t="s">
        <v>5</v>
      </c>
      <c r="O20">
        <v>0.7</v>
      </c>
    </row>
    <row r="21" spans="1:15" x14ac:dyDescent="0.3">
      <c r="A21">
        <v>21</v>
      </c>
      <c r="E21" t="s">
        <v>33</v>
      </c>
      <c r="G21">
        <v>6</v>
      </c>
      <c r="H21" t="b">
        <f t="shared" si="0"/>
        <v>1</v>
      </c>
      <c r="I21">
        <v>33</v>
      </c>
      <c r="K21" t="s">
        <v>9</v>
      </c>
      <c r="M21" t="s">
        <v>33</v>
      </c>
      <c r="O21">
        <v>6</v>
      </c>
    </row>
    <row r="22" spans="1:15" x14ac:dyDescent="0.3">
      <c r="A22">
        <v>22</v>
      </c>
      <c r="B22">
        <v>11</v>
      </c>
      <c r="C22" t="s">
        <v>39</v>
      </c>
      <c r="G22">
        <v>0.7</v>
      </c>
      <c r="H22" t="b">
        <f t="shared" si="0"/>
        <v>1</v>
      </c>
      <c r="I22">
        <v>32</v>
      </c>
      <c r="J22">
        <v>16</v>
      </c>
      <c r="K22" t="s">
        <v>39</v>
      </c>
      <c r="O22">
        <v>0.7</v>
      </c>
    </row>
    <row r="23" spans="1:15" x14ac:dyDescent="0.3">
      <c r="A23">
        <v>23</v>
      </c>
      <c r="E23" t="s">
        <v>33</v>
      </c>
      <c r="F23" t="s">
        <v>23</v>
      </c>
      <c r="G23">
        <v>5.4</v>
      </c>
      <c r="H23" t="b">
        <f t="shared" si="0"/>
        <v>1</v>
      </c>
      <c r="I23">
        <v>31</v>
      </c>
      <c r="M23" t="s">
        <v>33</v>
      </c>
      <c r="N23" t="s">
        <v>23</v>
      </c>
      <c r="O23">
        <v>5.4</v>
      </c>
    </row>
    <row r="24" spans="1:15" x14ac:dyDescent="0.3">
      <c r="A24">
        <v>24</v>
      </c>
      <c r="B24">
        <v>12</v>
      </c>
      <c r="C24" t="s">
        <v>5</v>
      </c>
      <c r="G24">
        <v>0.7</v>
      </c>
      <c r="H24" t="b">
        <f t="shared" si="0"/>
        <v>1</v>
      </c>
      <c r="I24">
        <v>30</v>
      </c>
      <c r="J24">
        <v>15</v>
      </c>
      <c r="K24" t="s">
        <v>5</v>
      </c>
      <c r="O24">
        <v>0.7</v>
      </c>
    </row>
    <row r="25" spans="1:15" x14ac:dyDescent="0.3">
      <c r="A25">
        <v>25</v>
      </c>
      <c r="E25" t="s">
        <v>33</v>
      </c>
      <c r="G25">
        <v>6</v>
      </c>
      <c r="H25" t="b">
        <f t="shared" si="0"/>
        <v>1</v>
      </c>
      <c r="I25">
        <v>29</v>
      </c>
      <c r="M25" t="s">
        <v>33</v>
      </c>
      <c r="O25">
        <v>6</v>
      </c>
    </row>
    <row r="26" spans="1:15" x14ac:dyDescent="0.3">
      <c r="A26">
        <v>26</v>
      </c>
      <c r="B26">
        <v>13</v>
      </c>
      <c r="C26" t="s">
        <v>40</v>
      </c>
      <c r="G26">
        <v>0.7</v>
      </c>
      <c r="H26" t="b">
        <f t="shared" si="0"/>
        <v>1</v>
      </c>
      <c r="I26">
        <v>28</v>
      </c>
      <c r="J26">
        <v>14</v>
      </c>
      <c r="K26" t="s">
        <v>41</v>
      </c>
      <c r="O26">
        <v>0.7</v>
      </c>
    </row>
    <row r="27" spans="1:15" x14ac:dyDescent="0.3">
      <c r="H27" t="b">
        <f t="shared" si="0"/>
        <v>0</v>
      </c>
      <c r="I27">
        <v>27</v>
      </c>
      <c r="M27" t="s">
        <v>33</v>
      </c>
      <c r="N27" t="s">
        <v>23</v>
      </c>
      <c r="O27">
        <v>5.4</v>
      </c>
    </row>
  </sheetData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26L</vt:lpstr>
      <vt:lpstr>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ksmtadmin</cp:lastModifiedBy>
  <dcterms:created xsi:type="dcterms:W3CDTF">2010-03-26T05:13:10Z</dcterms:created>
  <dcterms:modified xsi:type="dcterms:W3CDTF">2026-04-13T10:02:15Z</dcterms:modified>
</cp:coreProperties>
</file>