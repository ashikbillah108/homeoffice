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F8ED51CB-8A14-4EFF-9AC9-5DFAD1459705}" xr6:coauthVersionLast="47" xr6:coauthVersionMax="47" xr10:uidLastSave="{00000000-0000-0000-0000-000000000000}"/>
  <bookViews>
    <workbookView xWindow="28680" yWindow="-840" windowWidth="29040" windowHeight="15720" xr2:uid="{00000000-000D-0000-FFFF-FFFF00000000}"/>
  </bookViews>
  <sheets>
    <sheet name="9071CJ channels" sheetId="1" r:id="rId1"/>
    <sheet name="DSIO" sheetId="2" r:id="rId2"/>
    <sheet name="DUT DSIO RULE CHECK" sheetId="3" r:id="rId3"/>
    <sheet name="GOLDEN DSIO RULE CHECK" sheetId="4" r:id="rId4"/>
  </sheets>
  <definedNames>
    <definedName name="_xlnm._FilterDatabase" localSheetId="0" hidden="1">'9071CJ channels'!$L$1:$L$484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4" l="1"/>
  <c r="A32" i="4"/>
  <c r="A31" i="4"/>
  <c r="A30" i="4"/>
  <c r="A29" i="4"/>
  <c r="A28" i="4"/>
  <c r="A27" i="4"/>
  <c r="A26" i="4"/>
  <c r="A33" i="3"/>
  <c r="A32" i="3"/>
  <c r="A31" i="3"/>
  <c r="A30" i="3"/>
  <c r="A29" i="3"/>
  <c r="A28" i="3"/>
  <c r="A27" i="3"/>
  <c r="A26" i="3"/>
  <c r="A17" i="4"/>
  <c r="A25" i="4" s="1"/>
  <c r="A16" i="4"/>
  <c r="A24" i="4" s="1"/>
  <c r="A15" i="4"/>
  <c r="A23" i="4" s="1"/>
  <c r="A14" i="4"/>
  <c r="A22" i="4" s="1"/>
  <c r="A13" i="4"/>
  <c r="A21" i="4" s="1"/>
  <c r="A12" i="4"/>
  <c r="A20" i="4" s="1"/>
  <c r="A11" i="4"/>
  <c r="A19" i="4" s="1"/>
  <c r="A10" i="4"/>
  <c r="A18" i="4" s="1"/>
  <c r="A17" i="3"/>
  <c r="A25" i="3" s="1"/>
  <c r="A16" i="3"/>
  <c r="A24" i="3" s="1"/>
  <c r="A15" i="3"/>
  <c r="A23" i="3" s="1"/>
  <c r="A14" i="3"/>
  <c r="A22" i="3" s="1"/>
  <c r="A13" i="3"/>
  <c r="A21" i="3" s="1"/>
  <c r="A12" i="3"/>
  <c r="A20" i="3" s="1"/>
  <c r="A11" i="3"/>
  <c r="A19" i="3" s="1"/>
  <c r="A10" i="3"/>
  <c r="A18" i="3" s="1"/>
  <c r="U4" i="3" l="1"/>
  <c r="U5" i="3"/>
  <c r="U6" i="3"/>
  <c r="U3" i="3"/>
  <c r="W3" i="3" s="1"/>
  <c r="W8" i="3" s="1"/>
  <c r="Q4" i="3"/>
  <c r="Q5" i="3"/>
  <c r="Q6" i="3"/>
  <c r="Q3" i="3"/>
  <c r="M4" i="3"/>
  <c r="M5" i="3"/>
  <c r="M6" i="3"/>
  <c r="M3" i="3"/>
  <c r="I4" i="3"/>
  <c r="I5" i="3"/>
  <c r="I6" i="3"/>
  <c r="I3" i="3"/>
  <c r="U4" i="4"/>
  <c r="U5" i="4"/>
  <c r="U6" i="4"/>
  <c r="U3" i="4"/>
  <c r="Q4" i="4"/>
  <c r="Q5" i="4"/>
  <c r="Q6" i="4"/>
  <c r="Q3" i="4"/>
  <c r="M4" i="4"/>
  <c r="M5" i="4"/>
  <c r="M6" i="4"/>
  <c r="M3" i="4"/>
  <c r="I4" i="4"/>
  <c r="I5" i="4"/>
  <c r="I6" i="4"/>
  <c r="I3" i="4"/>
  <c r="T8" i="4" l="1"/>
  <c r="P8" i="4"/>
  <c r="L8" i="4"/>
  <c r="H8" i="4"/>
  <c r="W6" i="4"/>
  <c r="S6" i="4"/>
  <c r="N6" i="4"/>
  <c r="K6" i="4"/>
  <c r="W5" i="4"/>
  <c r="S5" i="4"/>
  <c r="O5" i="4"/>
  <c r="O10" i="4" s="1"/>
  <c r="K5" i="4"/>
  <c r="K10" i="4" s="1"/>
  <c r="W4" i="4"/>
  <c r="S4" i="4"/>
  <c r="N4" i="4"/>
  <c r="K4" i="4"/>
  <c r="K9" i="4" s="1"/>
  <c r="W3" i="4"/>
  <c r="S3" i="4"/>
  <c r="O3" i="4"/>
  <c r="O8" i="4" s="1"/>
  <c r="K3" i="4"/>
  <c r="K8" i="4" s="1"/>
  <c r="T8" i="3"/>
  <c r="P8" i="3"/>
  <c r="L8" i="3"/>
  <c r="H8" i="3"/>
  <c r="W6" i="3"/>
  <c r="S6" i="3"/>
  <c r="S11" i="3" s="1"/>
  <c r="J38" i="3" s="1"/>
  <c r="O6" i="3"/>
  <c r="K6" i="3"/>
  <c r="K11" i="3" s="1"/>
  <c r="J22" i="3" s="1"/>
  <c r="W5" i="3"/>
  <c r="R5" i="3"/>
  <c r="O5" i="3"/>
  <c r="K5" i="3"/>
  <c r="K10" i="3" s="1"/>
  <c r="J21" i="3" s="1"/>
  <c r="W4" i="3"/>
  <c r="S4" i="3"/>
  <c r="S9" i="3" s="1"/>
  <c r="J36" i="3" s="1"/>
  <c r="O4" i="3"/>
  <c r="J4" i="3"/>
  <c r="V3" i="3"/>
  <c r="S3" i="3"/>
  <c r="S8" i="3" s="1"/>
  <c r="J35" i="3" s="1"/>
  <c r="O3" i="3"/>
  <c r="K3" i="3"/>
  <c r="K8" i="3" s="1"/>
  <c r="J19" i="3" s="1"/>
  <c r="O9" i="3" l="1"/>
  <c r="J28" i="3" s="1"/>
  <c r="O11" i="3"/>
  <c r="J30" i="3" s="1"/>
  <c r="O10" i="3"/>
  <c r="J29" i="3" s="1"/>
  <c r="W10" i="3"/>
  <c r="J45" i="3" s="1"/>
  <c r="O8" i="3"/>
  <c r="J27" i="3" s="1"/>
  <c r="W11" i="3"/>
  <c r="J46" i="3" s="1"/>
  <c r="W9" i="3"/>
  <c r="J44" i="3" s="1"/>
  <c r="W9" i="4"/>
  <c r="J44" i="4" s="1"/>
  <c r="W10" i="4"/>
  <c r="J45" i="4" s="1"/>
  <c r="W11" i="4"/>
  <c r="J46" i="4" s="1"/>
  <c r="W8" i="4"/>
  <c r="J43" i="4" s="1"/>
  <c r="S9" i="4"/>
  <c r="J36" i="4" s="1"/>
  <c r="S10" i="4"/>
  <c r="J37" i="4" s="1"/>
  <c r="S11" i="4"/>
  <c r="J38" i="4" s="1"/>
  <c r="S8" i="4"/>
  <c r="J35" i="4" s="1"/>
  <c r="V8" i="3"/>
  <c r="J39" i="3" s="1"/>
  <c r="R10" i="3"/>
  <c r="J33" i="3" s="1"/>
  <c r="V4" i="3"/>
  <c r="V9" i="3" s="1"/>
  <c r="J40" i="3" s="1"/>
  <c r="V6" i="3"/>
  <c r="V11" i="3" s="1"/>
  <c r="J42" i="3" s="1"/>
  <c r="O4" i="4"/>
  <c r="O9" i="4" s="1"/>
  <c r="J28" i="4" s="1"/>
  <c r="O6" i="4"/>
  <c r="K11" i="4"/>
  <c r="J22" i="4" s="1"/>
  <c r="J29" i="4"/>
  <c r="J27" i="4"/>
  <c r="J20" i="4"/>
  <c r="J21" i="4"/>
  <c r="J19" i="4"/>
  <c r="V4" i="4"/>
  <c r="V9" i="4" s="1"/>
  <c r="J40" i="4" s="1"/>
  <c r="V6" i="4"/>
  <c r="V11" i="4" s="1"/>
  <c r="J42" i="4" s="1"/>
  <c r="J3" i="4"/>
  <c r="J5" i="4"/>
  <c r="N3" i="4"/>
  <c r="N5" i="4"/>
  <c r="R3" i="4"/>
  <c r="R8" i="4" s="1"/>
  <c r="J31" i="4" s="1"/>
  <c r="R5" i="4"/>
  <c r="R10" i="4" s="1"/>
  <c r="J33" i="4" s="1"/>
  <c r="V3" i="4"/>
  <c r="V8" i="4" s="1"/>
  <c r="J39" i="4" s="1"/>
  <c r="V5" i="4"/>
  <c r="V10" i="4" s="1"/>
  <c r="J41" i="4" s="1"/>
  <c r="J4" i="4"/>
  <c r="J6" i="4"/>
  <c r="R4" i="4"/>
  <c r="R9" i="4" s="1"/>
  <c r="J32" i="4" s="1"/>
  <c r="R6" i="4"/>
  <c r="R11" i="4" s="1"/>
  <c r="J34" i="4" s="1"/>
  <c r="N9" i="3"/>
  <c r="J24" i="3" s="1"/>
  <c r="J9" i="3"/>
  <c r="J16" i="3" s="1"/>
  <c r="J5" i="3"/>
  <c r="N3" i="3"/>
  <c r="N5" i="3"/>
  <c r="R3" i="3"/>
  <c r="R8" i="3" s="1"/>
  <c r="J31" i="3" s="1"/>
  <c r="S5" i="3"/>
  <c r="S10" i="3" s="1"/>
  <c r="J37" i="3" s="1"/>
  <c r="J43" i="3"/>
  <c r="J6" i="3"/>
  <c r="K4" i="3"/>
  <c r="K9" i="3" s="1"/>
  <c r="J20" i="3" s="1"/>
  <c r="R4" i="3"/>
  <c r="R9" i="3" s="1"/>
  <c r="J32" i="3" s="1"/>
  <c r="R6" i="3"/>
  <c r="R11" i="3" s="1"/>
  <c r="J34" i="3" s="1"/>
  <c r="J3" i="3"/>
  <c r="V5" i="3"/>
  <c r="V10" i="3" s="1"/>
  <c r="J41" i="3" s="1"/>
  <c r="N4" i="3"/>
  <c r="N6" i="3"/>
  <c r="H4" i="1"/>
  <c r="H5" i="1"/>
  <c r="H6" i="1"/>
  <c r="H7" i="1"/>
  <c r="H8" i="1"/>
  <c r="H9" i="1"/>
  <c r="H10" i="1"/>
  <c r="H3" i="1"/>
  <c r="G12" i="1"/>
  <c r="G20" i="1" s="1"/>
  <c r="G13" i="1"/>
  <c r="H13" i="1" s="1"/>
  <c r="G14" i="1"/>
  <c r="G22" i="1" s="1"/>
  <c r="G15" i="1"/>
  <c r="G23" i="1" s="1"/>
  <c r="G16" i="1"/>
  <c r="G24" i="1" s="1"/>
  <c r="G17" i="1"/>
  <c r="G25" i="1" s="1"/>
  <c r="G18" i="1"/>
  <c r="G26" i="1" s="1"/>
  <c r="G11" i="1"/>
  <c r="G19" i="1" s="1"/>
  <c r="G27" i="1" s="1"/>
  <c r="H27" i="1" s="1"/>
  <c r="O11" i="4" l="1"/>
  <c r="J30" i="4" s="1"/>
  <c r="N11" i="4"/>
  <c r="J26" i="4" s="1"/>
  <c r="J11" i="4"/>
  <c r="J18" i="4" s="1"/>
  <c r="N9" i="4"/>
  <c r="J24" i="4" s="1"/>
  <c r="J9" i="4"/>
  <c r="J16" i="4" s="1"/>
  <c r="J10" i="4"/>
  <c r="J17" i="4" s="1"/>
  <c r="N10" i="4"/>
  <c r="J25" i="4" s="1"/>
  <c r="N8" i="4"/>
  <c r="J23" i="4" s="1"/>
  <c r="J8" i="4"/>
  <c r="J15" i="4" s="1"/>
  <c r="J10" i="3"/>
  <c r="J17" i="3" s="1"/>
  <c r="N10" i="3"/>
  <c r="J25" i="3" s="1"/>
  <c r="J8" i="3"/>
  <c r="J15" i="3" s="1"/>
  <c r="N8" i="3"/>
  <c r="J23" i="3" s="1"/>
  <c r="N11" i="3"/>
  <c r="J26" i="3" s="1"/>
  <c r="J11" i="3"/>
  <c r="J18" i="3" s="1"/>
  <c r="H11" i="1"/>
  <c r="H19" i="1"/>
  <c r="H15" i="1"/>
  <c r="G33" i="1"/>
  <c r="H33" i="1" s="1"/>
  <c r="H25" i="1"/>
  <c r="H24" i="1"/>
  <c r="G32" i="1"/>
  <c r="H32" i="1" s="1"/>
  <c r="G31" i="1"/>
  <c r="H31" i="1" s="1"/>
  <c r="H23" i="1"/>
  <c r="G28" i="1"/>
  <c r="H28" i="1" s="1"/>
  <c r="H20" i="1"/>
  <c r="G30" i="1"/>
  <c r="H30" i="1" s="1"/>
  <c r="H22" i="1"/>
  <c r="H26" i="1"/>
  <c r="G34" i="1"/>
  <c r="H34" i="1" s="1"/>
  <c r="H18" i="1"/>
  <c r="H16" i="1"/>
  <c r="H14" i="1"/>
  <c r="H17" i="1"/>
  <c r="H12" i="1"/>
  <c r="G21" i="1"/>
  <c r="M14" i="4" l="1"/>
  <c r="C15" i="4" s="1"/>
  <c r="M14" i="3"/>
  <c r="C15" i="3" s="1"/>
  <c r="H21" i="1"/>
  <c r="G29" i="1"/>
  <c r="H29" i="1" s="1"/>
</calcChain>
</file>

<file path=xl/sharedStrings.xml><?xml version="1.0" encoding="utf-8"?>
<sst xmlns="http://schemas.openxmlformats.org/spreadsheetml/2006/main" count="2654" uniqueCount="1051">
  <si>
    <t>all :</t>
    <phoneticPr fontId="1" type="noConversion"/>
  </si>
  <si>
    <t>S0_BPMUINH_HSD141</t>
  </si>
  <si>
    <t>SLOT2.CH118</t>
  </si>
  <si>
    <t>S0_DS_GP_HSD303</t>
  </si>
  <si>
    <t>SLOT0.CH58</t>
  </si>
  <si>
    <t>S0_DS_GP_HSD304</t>
  </si>
  <si>
    <t>SLOT0.CH47</t>
  </si>
  <si>
    <t>S0_DS_HSD085</t>
  </si>
  <si>
    <t>SLOT0.CH62</t>
  </si>
  <si>
    <t>S0_DS_HSD089</t>
  </si>
  <si>
    <t>SLOT0.CH59</t>
  </si>
  <si>
    <t>S0_DS_HSD998</t>
  </si>
  <si>
    <t>SLOT0.CH49</t>
  </si>
  <si>
    <t>S0_DS_HSD999</t>
  </si>
  <si>
    <t>SLOT0.CH52</t>
  </si>
  <si>
    <t>S0_HSD006+</t>
  </si>
  <si>
    <t>SLOT0.CH54</t>
  </si>
  <si>
    <t>S0_HSD006-</t>
  </si>
  <si>
    <t>SLOT0.CH55</t>
  </si>
  <si>
    <t>S0_HSD016+</t>
  </si>
  <si>
    <t>SLOT0.CH126</t>
  </si>
  <si>
    <t>S0_HSD016-</t>
  </si>
  <si>
    <t>SLOT0.CH127</t>
  </si>
  <si>
    <t>S0_HSD026+</t>
  </si>
  <si>
    <t>SLOT2.CH54</t>
  </si>
  <si>
    <t>S0_HSD026-</t>
  </si>
  <si>
    <t>SLOT2.CH55</t>
  </si>
  <si>
    <t>S0_HSD038+</t>
  </si>
  <si>
    <t>SLOT0.CH60</t>
  </si>
  <si>
    <t>S0_HSD038-</t>
  </si>
  <si>
    <t>SLOT0.CH61</t>
  </si>
  <si>
    <t>S0_HSD079</t>
  </si>
  <si>
    <t>SLOT2.CH48</t>
  </si>
  <si>
    <t>S0_HSD093</t>
  </si>
  <si>
    <t>SLOT2.CH122</t>
  </si>
  <si>
    <t>S0_HSD099</t>
  </si>
  <si>
    <t>SLOT2.CH51</t>
  </si>
  <si>
    <t>S0_HSD101</t>
  </si>
  <si>
    <t>SLOT0.CH113</t>
  </si>
  <si>
    <t>S0_HSD112</t>
  </si>
  <si>
    <t>SLOT2.CH44</t>
  </si>
  <si>
    <t>S0_HSD114</t>
  </si>
  <si>
    <t>SLOT0.CH48</t>
  </si>
  <si>
    <t>S0_HSD120</t>
  </si>
  <si>
    <t>SLOT0.CH125</t>
  </si>
  <si>
    <t>S0_HSD122+</t>
  </si>
  <si>
    <t>SLOT2.CH126</t>
  </si>
  <si>
    <t>S0_HSD122-</t>
  </si>
  <si>
    <t>SLOT2.CH127</t>
  </si>
  <si>
    <t>S0_HSD126+</t>
  </si>
  <si>
    <t>SLOT2.CH60</t>
  </si>
  <si>
    <t>S0_HSD126-</t>
  </si>
  <si>
    <t>SLOT2.CH61</t>
  </si>
  <si>
    <t>S0_HSD145</t>
  </si>
  <si>
    <t>SLOT0.CH42</t>
  </si>
  <si>
    <t>S0_HSD163+</t>
  </si>
  <si>
    <t>SLOT2.CH36</t>
  </si>
  <si>
    <t>S0_HSD163-</t>
  </si>
  <si>
    <t>SLOT2.CH37</t>
  </si>
  <si>
    <t>S0_HSD169+</t>
  </si>
  <si>
    <t>SLOT2.CH32</t>
  </si>
  <si>
    <t>S0_HSD169-</t>
  </si>
  <si>
    <t>SLOT2.CH33</t>
  </si>
  <si>
    <t>S0_HSD193</t>
  </si>
  <si>
    <t>SLOT2.CH114</t>
  </si>
  <si>
    <t>S0_HSD194</t>
  </si>
  <si>
    <t>SLOT2.CH39</t>
  </si>
  <si>
    <t>S0_HSD195</t>
  </si>
  <si>
    <t>SLOT2.CH106</t>
  </si>
  <si>
    <t>S0_HSD196</t>
  </si>
  <si>
    <t>SLOT2.CH43</t>
  </si>
  <si>
    <t>S0_HSD197</t>
  </si>
  <si>
    <t>SLOT2.CH108</t>
  </si>
  <si>
    <t>S0_HSD198</t>
  </si>
  <si>
    <t>SLOT2.CH102</t>
  </si>
  <si>
    <t>S0_HSD199</t>
  </si>
  <si>
    <t>SLOT2.CH100</t>
  </si>
  <si>
    <t>S0_HSD202</t>
  </si>
  <si>
    <t>SLOT2.CH117</t>
  </si>
  <si>
    <t>S0_HSD204</t>
  </si>
  <si>
    <t>SLOT2.CH103</t>
  </si>
  <si>
    <t>S0_HSD206</t>
  </si>
  <si>
    <t>SLOT2.CH111</t>
  </si>
  <si>
    <t>S0_HSD219</t>
  </si>
  <si>
    <t>SLOT2.CH40</t>
  </si>
  <si>
    <t>S0_HSD232+</t>
  </si>
  <si>
    <t>SLOT0.CH32</t>
  </si>
  <si>
    <t>S0_HSD232-</t>
  </si>
  <si>
    <t>SLOT0.CH33</t>
  </si>
  <si>
    <t>S0_HSD234+</t>
  </si>
  <si>
    <t>SLOT0.CH36</t>
  </si>
  <si>
    <t>S0_HSD234-</t>
  </si>
  <si>
    <t>SLOT0.CH37</t>
  </si>
  <si>
    <t>S0_HSD236+</t>
  </si>
  <si>
    <t>SLOT2.CH104</t>
  </si>
  <si>
    <t>S0_HSD236-</t>
  </si>
  <si>
    <t>SLOT2.CH105</t>
  </si>
  <si>
    <t>S0_HSD238+</t>
  </si>
  <si>
    <t>SLOT2.CH98</t>
  </si>
  <si>
    <t>S0_HSD238-</t>
  </si>
  <si>
    <t>SLOT2.CH99</t>
  </si>
  <si>
    <t>S0_HSD245+</t>
  </si>
  <si>
    <t>SLOT0.CH104</t>
  </si>
  <si>
    <t>S0_HSD245-</t>
  </si>
  <si>
    <t>SLOT0.CH105</t>
  </si>
  <si>
    <t>S0_HSD247+</t>
  </si>
  <si>
    <t>SLOT0.CH98</t>
  </si>
  <si>
    <t>S0_HSD247-</t>
  </si>
  <si>
    <t>SLOT0.CH99</t>
  </si>
  <si>
    <t>S0_HSD270</t>
  </si>
  <si>
    <t>SLOT0.CH43</t>
  </si>
  <si>
    <t>S0_HSD271</t>
  </si>
  <si>
    <t>SLOT0.CH117</t>
  </si>
  <si>
    <t>S0_HSD272</t>
  </si>
  <si>
    <t>SLOT0.CH114</t>
  </si>
  <si>
    <t>S0_HSD273</t>
  </si>
  <si>
    <t>SLOT0.CH111</t>
  </si>
  <si>
    <t>S0_HSD274</t>
  </si>
  <si>
    <t>SLOT0.CH108</t>
  </si>
  <si>
    <t>S0_HSD275</t>
  </si>
  <si>
    <t>SLOT0.CH120</t>
  </si>
  <si>
    <t>S0_HSD298</t>
  </si>
  <si>
    <t>SLOT0.CH124</t>
  </si>
  <si>
    <t>S0_HSD299</t>
  </si>
  <si>
    <t>SLOT0.CH97</t>
  </si>
  <si>
    <t>S0_HSD300</t>
  </si>
  <si>
    <t>SLOT2.CH45</t>
  </si>
  <si>
    <t>S0_HSD301</t>
  </si>
  <si>
    <t>SLOT2.CH42</t>
  </si>
  <si>
    <t>S0_HSD319</t>
  </si>
  <si>
    <t>SLOT0.CH122</t>
  </si>
  <si>
    <t>S0_HSD320</t>
  </si>
  <si>
    <t>SLOT0.CH45</t>
  </si>
  <si>
    <t>S0_NC_HSD359</t>
  </si>
  <si>
    <t>SLOT0.CH106</t>
  </si>
  <si>
    <t>S0_NC_HSD360</t>
  </si>
  <si>
    <t>SLOT0.CH109</t>
  </si>
  <si>
    <t>S0_NC_HSD361</t>
  </si>
  <si>
    <t>SLOT0.CH112</t>
  </si>
  <si>
    <t>S0_NC_HSD362</t>
  </si>
  <si>
    <t>SLOT0.CH115</t>
  </si>
  <si>
    <t>S0_NC_HSD363</t>
  </si>
  <si>
    <t>SLOT0.CH118</t>
  </si>
  <si>
    <t>S0_SCAN_HSD186</t>
  </si>
  <si>
    <t>SLOT2.CH57</t>
  </si>
  <si>
    <t>S0_SCAN_HSD187</t>
  </si>
  <si>
    <t>SLOT2.CH59</t>
  </si>
  <si>
    <t>S0_SCAN_HSD188</t>
  </si>
  <si>
    <t>SLOT2.CH119</t>
  </si>
  <si>
    <t>S0_SCIN_GPC2_HSD097</t>
  </si>
  <si>
    <t>SLOT0.CH38</t>
  </si>
  <si>
    <t>S0_SCIN_GPC2_HSD354</t>
  </si>
  <si>
    <t>SLOT0.CH63</t>
  </si>
  <si>
    <t>S0_SCIN_HSD184</t>
  </si>
  <si>
    <t>SLOT2.CH63</t>
  </si>
  <si>
    <t>S0_SCIN_HSD189</t>
  </si>
  <si>
    <t>SLOT2.CH116</t>
  </si>
  <si>
    <t>S0_SCIN_HSD190</t>
  </si>
  <si>
    <t>SLOT2.CH97</t>
  </si>
  <si>
    <t>S0_SCIN_HSD192</t>
  </si>
  <si>
    <t>SLOT2.CH107</t>
  </si>
  <si>
    <t>S0_SCIN_HSD200</t>
  </si>
  <si>
    <t>SLOT0.CH123</t>
  </si>
  <si>
    <t>S0_SCIN_HSD201</t>
  </si>
  <si>
    <t>SLOT2.CH58</t>
  </si>
  <si>
    <t>S0_SCIN_HSD203</t>
  </si>
  <si>
    <t>SLOT0.CH119</t>
  </si>
  <si>
    <t>S0_SCIN_HSD205</t>
  </si>
  <si>
    <t>SLOT2.CH38</t>
  </si>
  <si>
    <t>S0_SCIN_HSD210</t>
  </si>
  <si>
    <t>SLOT0.CH107</t>
  </si>
  <si>
    <t>S0_SCIN_HSD212</t>
  </si>
  <si>
    <t>SLOT2.CH101</t>
  </si>
  <si>
    <t>S0_SCIN_HSD213</t>
  </si>
  <si>
    <t>SLOT2.CH96</t>
  </si>
  <si>
    <t>S0_SCIN_HSD214</t>
  </si>
  <si>
    <t>SLOT2.CH123</t>
  </si>
  <si>
    <t>S0_SCIN_HSD215</t>
  </si>
  <si>
    <t>SLOT2.CH121</t>
  </si>
  <si>
    <t>S0_SCIN_HSD216</t>
  </si>
  <si>
    <t>SLOT2.CH41</t>
  </si>
  <si>
    <t>S0_SCIN_HSD218</t>
  </si>
  <si>
    <t>SLOT0.CH101</t>
  </si>
  <si>
    <t>S0_SCLK_DS_HSD063</t>
  </si>
  <si>
    <t>SLOT0.CH56</t>
  </si>
  <si>
    <t>S0_SCLK_DS_HSD064</t>
  </si>
  <si>
    <t>SLOT0.CH57</t>
  </si>
  <si>
    <t>S0_SCLK_HSD066</t>
  </si>
  <si>
    <t>SLOT0.CH96</t>
  </si>
  <si>
    <t>S0_SCLK_HSD072</t>
  </si>
  <si>
    <t>SLOT0.CH40</t>
  </si>
  <si>
    <t>S0_SCLK_HSD073</t>
  </si>
  <si>
    <t>SLOT0.CH100</t>
  </si>
  <si>
    <t>S0_SCLK_HSD081</t>
  </si>
  <si>
    <t>SLOT0.CH35</t>
  </si>
  <si>
    <t>S0_SCLK_HSD255</t>
  </si>
  <si>
    <t>SLOT0.CH39</t>
  </si>
  <si>
    <t>S0_SCLK_HSD256</t>
  </si>
  <si>
    <t>SLOT0.CH103</t>
  </si>
  <si>
    <t>S0_SCLK_HSD285</t>
  </si>
  <si>
    <t>SLOT0.CH44</t>
  </si>
  <si>
    <t>S0_SCLK_HSD353</t>
  </si>
  <si>
    <t>SLOT2.CH56</t>
  </si>
  <si>
    <t>S0_SCOT_HSD082</t>
  </si>
  <si>
    <t>SLOT0.CH34</t>
  </si>
  <si>
    <t>S0_SCOT_HSD109</t>
  </si>
  <si>
    <t>SLOT0.CH41</t>
  </si>
  <si>
    <t>S0_SCOT_HSD133</t>
  </si>
  <si>
    <t>SLOT0.CH53</t>
  </si>
  <si>
    <t>S0_SCOT_HSD134</t>
  </si>
  <si>
    <t>SLOT0.CH46</t>
  </si>
  <si>
    <t>S0_SCOT_HSD136</t>
  </si>
  <si>
    <t>SLOT0.CH50</t>
  </si>
  <si>
    <t>S0_SCOT_HSD181</t>
  </si>
  <si>
    <t>SLOT2.CH35</t>
  </si>
  <si>
    <t>S0_SCOT_HSD182</t>
  </si>
  <si>
    <t>SLOT2.CH113</t>
  </si>
  <si>
    <t>S0_SCOT_HSD183</t>
  </si>
  <si>
    <t>SLOT2.CH110</t>
  </si>
  <si>
    <t>S0_SCOT_HSD185</t>
  </si>
  <si>
    <t>SLOT2.CH62</t>
  </si>
  <si>
    <t>S0_SCOT_HSD191</t>
  </si>
  <si>
    <t>SLOT2.CH34</t>
  </si>
  <si>
    <t>S0_SCOT_HSD207</t>
  </si>
  <si>
    <t>SLOT0.CH121</t>
  </si>
  <si>
    <t>S0_SCOT_HSD208</t>
  </si>
  <si>
    <t>SLOT0.CH116</t>
  </si>
  <si>
    <t>S0_SCOT_HSD209</t>
  </si>
  <si>
    <t>SLOT0.CH110</t>
  </si>
  <si>
    <t>S0_SCOT_HSD211</t>
  </si>
  <si>
    <t>SLOT0.CH102</t>
  </si>
  <si>
    <t>S0_SCOT_HSD217</t>
  </si>
  <si>
    <t>SLOT2.CH53</t>
  </si>
  <si>
    <t>S0_SCOT_HSD284</t>
  </si>
  <si>
    <t>SLOT0.CH51</t>
  </si>
  <si>
    <t>S0_SW_HSD297</t>
  </si>
  <si>
    <t>SLOT2.CH52</t>
  </si>
  <si>
    <t>S0_U17_HSD302</t>
  </si>
  <si>
    <t>SLOT2.CH125</t>
  </si>
  <si>
    <t>S0_U18_HSD305</t>
  </si>
  <si>
    <t>SLOT2.CH124</t>
  </si>
  <si>
    <t>S1_BPMUINH_HSD141</t>
  </si>
  <si>
    <t>SLOT1.CH118</t>
  </si>
  <si>
    <t>S1_DS_GP_HSD303</t>
  </si>
  <si>
    <t>SLOT1.CH45</t>
  </si>
  <si>
    <t>S1_DS_GP_HSD304</t>
  </si>
  <si>
    <t>SLOT1.CH48</t>
  </si>
  <si>
    <t>S1_DS_HSD085</t>
  </si>
  <si>
    <t>SLOT1.CH63</t>
  </si>
  <si>
    <t>S1_DS_HSD089</t>
  </si>
  <si>
    <t>SLOT1.CH62</t>
  </si>
  <si>
    <t>S1_DS_HSD998</t>
  </si>
  <si>
    <t>SLOT1.CH51</t>
  </si>
  <si>
    <t>S1_DS_HSD999</t>
  </si>
  <si>
    <t>SLOT1.CH56</t>
  </si>
  <si>
    <t>S1_HSD006+</t>
  </si>
  <si>
    <t>SLOT3.CH126</t>
  </si>
  <si>
    <t>S1_HSD006-</t>
  </si>
  <si>
    <t>SLOT3.CH127</t>
  </si>
  <si>
    <t>S1_HSD016+</t>
  </si>
  <si>
    <t>SLOT1.CH60</t>
  </si>
  <si>
    <t>S1_HSD016-</t>
  </si>
  <si>
    <t>SLOT1.CH61</t>
  </si>
  <si>
    <t>S1_HSD026+</t>
  </si>
  <si>
    <t>SLOT1.CH126</t>
  </si>
  <si>
    <t>S1_HSD026-</t>
  </si>
  <si>
    <t>SLOT1.CH127</t>
  </si>
  <si>
    <t>S1_HSD038+</t>
  </si>
  <si>
    <t>SLOT1.CH54</t>
  </si>
  <si>
    <t>S1_HSD038-</t>
  </si>
  <si>
    <t>SLOT1.CH55</t>
  </si>
  <si>
    <t>S1_HSD079</t>
  </si>
  <si>
    <t>SLOT1.CH109</t>
  </si>
  <si>
    <t>S1_HSD093</t>
  </si>
  <si>
    <t>SLOT3.CH63</t>
  </si>
  <si>
    <t>S1_HSD099</t>
  </si>
  <si>
    <t>SLOT1.CH106</t>
  </si>
  <si>
    <t>S1_HSD101</t>
  </si>
  <si>
    <t>SLOT1.CH103</t>
  </si>
  <si>
    <t>S1_HSD112</t>
  </si>
  <si>
    <t>SLOT1.CH112</t>
  </si>
  <si>
    <t>S1_HSD114</t>
  </si>
  <si>
    <t>SLOT1.CH110</t>
  </si>
  <si>
    <t>S1_HSD120</t>
  </si>
  <si>
    <t>SLOT1.CH100</t>
  </si>
  <si>
    <t>S1_HSD122+</t>
  </si>
  <si>
    <t>SLOT3.CH60</t>
  </si>
  <si>
    <t>S1_HSD122-</t>
  </si>
  <si>
    <t>SLOT3.CH61</t>
  </si>
  <si>
    <t>S1_HSD126+</t>
  </si>
  <si>
    <t>SLOT3.CH54</t>
  </si>
  <si>
    <t>S1_HSD126-</t>
  </si>
  <si>
    <t>SLOT3.CH55</t>
  </si>
  <si>
    <t>S1_HSD145</t>
  </si>
  <si>
    <t>SLOT1.CH121</t>
  </si>
  <si>
    <t>S1_HSD163+</t>
  </si>
  <si>
    <t>SLOT1.CH104</t>
  </si>
  <si>
    <t>S1_HSD163-</t>
  </si>
  <si>
    <t>SLOT1.CH105</t>
  </si>
  <si>
    <t>S1_HSD169+</t>
  </si>
  <si>
    <t>SLOT1.CH98</t>
  </si>
  <si>
    <t>S1_HSD169-</t>
  </si>
  <si>
    <t>SLOT1.CH99</t>
  </si>
  <si>
    <t>S1_HSD193</t>
  </si>
  <si>
    <t>SLOT3.CH45</t>
  </si>
  <si>
    <t>S1_HSD194</t>
  </si>
  <si>
    <t>SLOT3.CH57</t>
  </si>
  <si>
    <t>S1_HSD195</t>
  </si>
  <si>
    <t>SLOT3.CH44</t>
  </si>
  <si>
    <t>S1_HSD196</t>
  </si>
  <si>
    <t>SLOT3.CH46</t>
  </si>
  <si>
    <t>S1_HSD197</t>
  </si>
  <si>
    <t>SLOT3.CH47</t>
  </si>
  <si>
    <t>S1_HSD198</t>
  </si>
  <si>
    <t>SLOT3.CH48</t>
  </si>
  <si>
    <t>S1_HSD199</t>
  </si>
  <si>
    <t>SLOT3.CH51</t>
  </si>
  <si>
    <t>S1_HSD202</t>
  </si>
  <si>
    <t>SLOT3.CH59</t>
  </si>
  <si>
    <t>S1_HSD204</t>
  </si>
  <si>
    <t>SLOT3.CH39</t>
  </si>
  <si>
    <t>S1_HSD206</t>
  </si>
  <si>
    <t>SLOT3.CH43</t>
  </si>
  <si>
    <t>S1_HSD219</t>
  </si>
  <si>
    <t>SLOT3.CH42</t>
  </si>
  <si>
    <t>S1_HSD232+</t>
  </si>
  <si>
    <t>SLOT3.CH104</t>
  </si>
  <si>
    <t>S1_HSD232-</t>
  </si>
  <si>
    <t>SLOT3.CH105</t>
  </si>
  <si>
    <t>S1_HSD234+</t>
  </si>
  <si>
    <t>SLOT3.CH98</t>
  </si>
  <si>
    <t>S1_HSD234-</t>
  </si>
  <si>
    <t>SLOT3.CH99</t>
  </si>
  <si>
    <t>S1_HSD236+</t>
  </si>
  <si>
    <t>SLOT3.CH36</t>
  </si>
  <si>
    <t>S1_HSD236-</t>
  </si>
  <si>
    <t>SLOT3.CH37</t>
  </si>
  <si>
    <t>S1_HSD238+</t>
  </si>
  <si>
    <t>SLOT3.CH32</t>
  </si>
  <si>
    <t>S1_HSD238-</t>
  </si>
  <si>
    <t>SLOT3.CH33</t>
  </si>
  <si>
    <t>S1_HSD245+</t>
  </si>
  <si>
    <t>SLOT1.CH32</t>
  </si>
  <si>
    <t>S1_HSD245-</t>
  </si>
  <si>
    <t>SLOT1.CH33</t>
  </si>
  <si>
    <t>S1_HSD247+</t>
  </si>
  <si>
    <t>SLOT1.CH36</t>
  </si>
  <si>
    <t>S1_HSD247-</t>
  </si>
  <si>
    <t>SLOT1.CH37</t>
  </si>
  <si>
    <t>S1_HSD270</t>
  </si>
  <si>
    <t>SLOT1.CH43</t>
  </si>
  <si>
    <t>S1_HSD271</t>
  </si>
  <si>
    <t>SLOT1.CH47</t>
  </si>
  <si>
    <t>S1_HSD272</t>
  </si>
  <si>
    <t>SLOT1.CH46</t>
  </si>
  <si>
    <t>S1_HSD273</t>
  </si>
  <si>
    <t>SLOT1.CH42</t>
  </si>
  <si>
    <t>S1_HSD274</t>
  </si>
  <si>
    <t>SLOT1.CH41</t>
  </si>
  <si>
    <t>S1_HSD275</t>
  </si>
  <si>
    <t>SLOT3.CH113</t>
  </si>
  <si>
    <t>S1_HSD298</t>
  </si>
  <si>
    <t>SLOT3.CH107</t>
  </si>
  <si>
    <t>S1_HSD299</t>
  </si>
  <si>
    <t>SLOT1.CH39</t>
  </si>
  <si>
    <t>S1_HSD300</t>
  </si>
  <si>
    <t>SLOT1.CH108</t>
  </si>
  <si>
    <t>S1_HSD301</t>
  </si>
  <si>
    <t>SLOT1.CH111</t>
  </si>
  <si>
    <t>S1_HSD319</t>
  </si>
  <si>
    <t>SLOT3.CH110</t>
  </si>
  <si>
    <t>S1_HSD320</t>
  </si>
  <si>
    <t>SLOT1.CH44</t>
  </si>
  <si>
    <t>S1_NC_HSD359</t>
  </si>
  <si>
    <t>SLOT3.CH100</t>
  </si>
  <si>
    <t>S1_NC_HSD360</t>
  </si>
  <si>
    <t>SLOT3.CH103</t>
  </si>
  <si>
    <t>S1_NC_HSD361</t>
  </si>
  <si>
    <t>SLOT3.CH106</t>
  </si>
  <si>
    <t>S1_NC_HSD362</t>
  </si>
  <si>
    <t>SLOT3.CH109</t>
  </si>
  <si>
    <t>S1_NC_HSD363</t>
  </si>
  <si>
    <t>SLOT3.CH112</t>
  </si>
  <si>
    <t>S1_SCAN_HSD186</t>
  </si>
  <si>
    <t>SLOT3.CH52</t>
  </si>
  <si>
    <t>S1_SCAN_HSD187</t>
  </si>
  <si>
    <t>SLOT3.CH53</t>
  </si>
  <si>
    <t>S1_SCAN_HSD188</t>
  </si>
  <si>
    <t>SLOT3.CH35</t>
  </si>
  <si>
    <t>S1_SCIN_GPC2_HSD097</t>
  </si>
  <si>
    <t>SLOT1.CH96</t>
  </si>
  <si>
    <t>S1_SCIN_GPC2_HSD354</t>
  </si>
  <si>
    <t>SLOT3.CH123</t>
  </si>
  <si>
    <t>S1_SCIN_HSD184</t>
  </si>
  <si>
    <t>SLOT1.CH97</t>
  </si>
  <si>
    <t>S1_SCIN_HSD189</t>
  </si>
  <si>
    <t>SLOT3.CH38</t>
  </si>
  <si>
    <t>S1_SCIN_HSD190</t>
  </si>
  <si>
    <t>SLOT1.CH52</t>
  </si>
  <si>
    <t>S1_SCIN_HSD192</t>
  </si>
  <si>
    <t>SLOT3.CH34</t>
  </si>
  <si>
    <t>S1_SCIN_HSD200</t>
  </si>
  <si>
    <t>SLOT3.CH122</t>
  </si>
  <si>
    <t>S1_SCIN_HSD201</t>
  </si>
  <si>
    <t>SLOT3.CH124</t>
  </si>
  <si>
    <t>S1_SCIN_HSD203</t>
  </si>
  <si>
    <t>SLOT1.CH49</t>
  </si>
  <si>
    <t>S1_SCIN_HSD205</t>
  </si>
  <si>
    <t>SLOT1.CH50</t>
  </si>
  <si>
    <t>S1_SCIN_HSD210</t>
  </si>
  <si>
    <t>SLOT3.CH49</t>
  </si>
  <si>
    <t>S1_SCIN_HSD212</t>
  </si>
  <si>
    <t>SLOT3.CH56</t>
  </si>
  <si>
    <t>S1_SCIN_HSD213</t>
  </si>
  <si>
    <t>SLOT3.CH58</t>
  </si>
  <si>
    <t>S1_SCIN_HSD214</t>
  </si>
  <si>
    <t>SLOT3.CH40</t>
  </si>
  <si>
    <t>S1_SCIN_HSD215</t>
  </si>
  <si>
    <t>SLOT3.CH41</t>
  </si>
  <si>
    <t>S1_SCIN_HSD216</t>
  </si>
  <si>
    <t>SLOT3.CH119</t>
  </si>
  <si>
    <t>S1_SCIN_HSD218</t>
  </si>
  <si>
    <t>SLOT3.CH101</t>
  </si>
  <si>
    <t>S1_SCLK_DS_HSD063</t>
  </si>
  <si>
    <t>SLOT1.CH57</t>
  </si>
  <si>
    <t>S1_SCLK_DS_HSD064</t>
  </si>
  <si>
    <t>SLOT1.CH59</t>
  </si>
  <si>
    <t>S1_SCLK_HSD066</t>
  </si>
  <si>
    <t>SLOT1.CH107</t>
  </si>
  <si>
    <t>S1_SCLK_HSD072</t>
  </si>
  <si>
    <t>SLOT1.CH119</t>
  </si>
  <si>
    <t>S1_SCLK_HSD073</t>
  </si>
  <si>
    <t>SLOT1.CH123</t>
  </si>
  <si>
    <t>S1_SCLK_HSD081</t>
  </si>
  <si>
    <t>SLOT1.CH124</t>
  </si>
  <si>
    <t>S1_SCLK_HSD255</t>
  </si>
  <si>
    <t>SLOT1.CH120</t>
  </si>
  <si>
    <t>S1_SCLK_HSD256</t>
  </si>
  <si>
    <t>SLOT1.CH122</t>
  </si>
  <si>
    <t>S1_SCLK_HSD285</t>
  </si>
  <si>
    <t>SLOT1.CH116</t>
  </si>
  <si>
    <t>S1_SCLK_HSD353</t>
  </si>
  <si>
    <t>SLOT3.CH125</t>
  </si>
  <si>
    <t>S1_SCOT_HSD082</t>
  </si>
  <si>
    <t>SLOT1.CH125</t>
  </si>
  <si>
    <t>S1_SCOT_HSD109</t>
  </si>
  <si>
    <t>SLOT1.CH117</t>
  </si>
  <si>
    <t>S1_SCOT_HSD133</t>
  </si>
  <si>
    <t>SLOT1.CH102</t>
  </si>
  <si>
    <t>S1_SCOT_HSD134</t>
  </si>
  <si>
    <t>SLOT1.CH114</t>
  </si>
  <si>
    <t>S1_SCOT_HSD136</t>
  </si>
  <si>
    <t>SLOT1.CH113</t>
  </si>
  <si>
    <t>S1_SCOT_HSD181</t>
  </si>
  <si>
    <t>SLOT3.CH121</t>
  </si>
  <si>
    <t>S1_SCOT_HSD182</t>
  </si>
  <si>
    <t>SLOT3.CH96</t>
  </si>
  <si>
    <t>S1_SCOT_HSD183</t>
  </si>
  <si>
    <t>SLOT3.CH97</t>
  </si>
  <si>
    <t>S1_SCOT_HSD185</t>
  </si>
  <si>
    <t>SLOT1.CH34</t>
  </si>
  <si>
    <t>S1_SCOT_HSD191</t>
  </si>
  <si>
    <t>SLOT1.CH53</t>
  </si>
  <si>
    <t>S1_SCOT_HSD207</t>
  </si>
  <si>
    <t>SLOT1.CH40</t>
  </si>
  <si>
    <t>S1_SCOT_HSD208</t>
  </si>
  <si>
    <t>SLOT1.CH35</t>
  </si>
  <si>
    <t>S1_SCOT_HSD209</t>
  </si>
  <si>
    <t>SLOT1.CH38</t>
  </si>
  <si>
    <t>S1_SCOT_HSD211</t>
  </si>
  <si>
    <t>SLOT3.CH50</t>
  </si>
  <si>
    <t>S1_SCOT_HSD217</t>
  </si>
  <si>
    <t>SLOT3.CH102</t>
  </si>
  <si>
    <t>S1_SCOT_HSD284</t>
  </si>
  <si>
    <t>SLOT1.CH101</t>
  </si>
  <si>
    <t>S1_SW_HSD297</t>
  </si>
  <si>
    <t>SLOT3.CH120</t>
  </si>
  <si>
    <t>S1_U17_HSD302</t>
  </si>
  <si>
    <t>SLOT3.CH62</t>
  </si>
  <si>
    <t>S1_U18_HSD305</t>
  </si>
  <si>
    <t>SLOT3.CH118</t>
  </si>
  <si>
    <t>S2_BPMUINH_HSD141</t>
  </si>
  <si>
    <t>SLOT0.CH65</t>
  </si>
  <si>
    <t>S2_DS_GP_HSD303</t>
  </si>
  <si>
    <t>SLOT0.CH17</t>
  </si>
  <si>
    <t>S2_DS_GP_HSD304</t>
  </si>
  <si>
    <t>SLOT0.CH14</t>
  </si>
  <si>
    <t>S2_DS_HSD085</t>
  </si>
  <si>
    <t>SLOT0.CH16</t>
  </si>
  <si>
    <t>S2_DS_HSD089</t>
  </si>
  <si>
    <t>SLOT0.CH2</t>
  </si>
  <si>
    <t>S2_DS_HSD998</t>
  </si>
  <si>
    <t>SLOT0.CH7</t>
  </si>
  <si>
    <t>S2_DS_HSD999</t>
  </si>
  <si>
    <t>SLOT0.CH8</t>
  </si>
  <si>
    <t>S2_HSD006+</t>
  </si>
  <si>
    <t>SLOT2.CH10</t>
  </si>
  <si>
    <t>S2_HSD006-</t>
  </si>
  <si>
    <t>SLOT2.CH11</t>
  </si>
  <si>
    <t>S2_HSD016+</t>
  </si>
  <si>
    <t>SLOT0.CH4</t>
  </si>
  <si>
    <t>S2_HSD016-</t>
  </si>
  <si>
    <t>SLOT0.CH5</t>
  </si>
  <si>
    <t>S2_HSD026+</t>
  </si>
  <si>
    <t>SLOT0.CH10</t>
  </si>
  <si>
    <t>S2_HSD026-</t>
  </si>
  <si>
    <t>SLOT0.CH11</t>
  </si>
  <si>
    <t>S2_HSD038+</t>
  </si>
  <si>
    <t>SLOT0.CH68</t>
  </si>
  <si>
    <t>S2_HSD038-</t>
  </si>
  <si>
    <t>SLOT0.CH69</t>
  </si>
  <si>
    <t>S2_HSD079</t>
  </si>
  <si>
    <t>SLOT2.CH17</t>
  </si>
  <si>
    <t>S2_HSD093</t>
  </si>
  <si>
    <t>SLOT2.CH67</t>
  </si>
  <si>
    <t>S2_HSD099</t>
  </si>
  <si>
    <t>SLOT2.CH15</t>
  </si>
  <si>
    <t>S2_HSD101</t>
  </si>
  <si>
    <t>SLOT2.CH13</t>
  </si>
  <si>
    <t>S2_HSD112</t>
  </si>
  <si>
    <t>SLOT2.CH19</t>
  </si>
  <si>
    <t>S2_HSD114</t>
  </si>
  <si>
    <t>SLOT0.CH15</t>
  </si>
  <si>
    <t>S2_HSD120</t>
  </si>
  <si>
    <t>SLOT2.CH9</t>
  </si>
  <si>
    <t>S2_HSD122+</t>
  </si>
  <si>
    <t>SLOT2.CH4</t>
  </si>
  <si>
    <t>S2_HSD122-</t>
  </si>
  <si>
    <t>SLOT2.CH5</t>
  </si>
  <si>
    <t>S2_HSD126+</t>
  </si>
  <si>
    <t>SLOT2.CH68</t>
  </si>
  <si>
    <t>S2_HSD126-</t>
  </si>
  <si>
    <t>SLOT2.CH69</t>
  </si>
  <si>
    <t>S2_HSD145</t>
  </si>
  <si>
    <t>SLOT0.CH19</t>
  </si>
  <si>
    <t>S2_HSD163+</t>
  </si>
  <si>
    <t>SLOT0.CH28</t>
  </si>
  <si>
    <t>S2_HSD163-</t>
  </si>
  <si>
    <t>SLOT0.CH29</t>
  </si>
  <si>
    <t>S2_HSD169+</t>
  </si>
  <si>
    <t>SLOT0.CH22</t>
  </si>
  <si>
    <t>S2_HSD169-</t>
  </si>
  <si>
    <t>SLOT0.CH23</t>
  </si>
  <si>
    <t>S2_HSD193</t>
  </si>
  <si>
    <t>SLOT2.CH20</t>
  </si>
  <si>
    <t>S2_HSD194</t>
  </si>
  <si>
    <t>SLOT2.CH21</t>
  </si>
  <si>
    <t>S2_HSD195</t>
  </si>
  <si>
    <t>SLOT2.CH85</t>
  </si>
  <si>
    <t>S2_HSD196</t>
  </si>
  <si>
    <t>SLOT2.CH82</t>
  </si>
  <si>
    <t>S2_HSD197</t>
  </si>
  <si>
    <t>SLOT2.CH87</t>
  </si>
  <si>
    <t>S2_HSD198</t>
  </si>
  <si>
    <t>SLOT2.CH84</t>
  </si>
  <si>
    <t>S2_HSD199</t>
  </si>
  <si>
    <t>SLOT2.CH75</t>
  </si>
  <si>
    <t>S2_HSD202</t>
  </si>
  <si>
    <t>SLOT2.CH72</t>
  </si>
  <si>
    <t>S2_HSD204</t>
  </si>
  <si>
    <t>SLOT2.CH81</t>
  </si>
  <si>
    <t>S2_HSD206</t>
  </si>
  <si>
    <t>SLOT2.CH78</t>
  </si>
  <si>
    <t>S2_HSD219</t>
  </si>
  <si>
    <t>SLOT2.CH77</t>
  </si>
  <si>
    <t>S2_HSD232+</t>
  </si>
  <si>
    <t>SLOT2.CH28</t>
  </si>
  <si>
    <t>S2_HSD232-</t>
  </si>
  <si>
    <t>SLOT2.CH29</t>
  </si>
  <si>
    <t>S2_HSD234+</t>
  </si>
  <si>
    <t>SLOT2.CH22</t>
  </si>
  <si>
    <t>S2_HSD234-</t>
  </si>
  <si>
    <t>SLOT2.CH23</t>
  </si>
  <si>
    <t>S2_HSD236+</t>
  </si>
  <si>
    <t>SLOT2.CH90</t>
  </si>
  <si>
    <t>S2_HSD236-</t>
  </si>
  <si>
    <t>SLOT2.CH91</t>
  </si>
  <si>
    <t>S2_HSD238+</t>
  </si>
  <si>
    <t>SLOT2.CH94</t>
  </si>
  <si>
    <t>S2_HSD238-</t>
  </si>
  <si>
    <t>SLOT2.CH95</t>
  </si>
  <si>
    <t>S2_HSD245+</t>
  </si>
  <si>
    <t>SLOT0.CH94</t>
  </si>
  <si>
    <t>S2_HSD245-</t>
  </si>
  <si>
    <t>SLOT0.CH95</t>
  </si>
  <si>
    <t>S2_HSD247+</t>
  </si>
  <si>
    <t>SLOT0.CH90</t>
  </si>
  <si>
    <t>S2_HSD247-</t>
  </si>
  <si>
    <t>SLOT0.CH91</t>
  </si>
  <si>
    <t>S2_HSD270</t>
  </si>
  <si>
    <t>SLOT2.CH6</t>
  </si>
  <si>
    <t>S2_HSD271</t>
  </si>
  <si>
    <t>SLOT0.CH81</t>
  </si>
  <si>
    <t>S2_HSD272</t>
  </si>
  <si>
    <t>SLOT0.CH75</t>
  </si>
  <si>
    <t>S2_HSD273</t>
  </si>
  <si>
    <t>SLOT2.CH7</t>
  </si>
  <si>
    <t>S2_HSD274</t>
  </si>
  <si>
    <t>SLOT0.CH89</t>
  </si>
  <si>
    <t>S2_HSD275</t>
  </si>
  <si>
    <t>SLOT0.CH84</t>
  </si>
  <si>
    <t>S2_HSD298</t>
  </si>
  <si>
    <t>SLOT0.CH64</t>
  </si>
  <si>
    <t>S2_HSD299</t>
  </si>
  <si>
    <t>SLOT0.CH87</t>
  </si>
  <si>
    <t>S2_HSD300</t>
  </si>
  <si>
    <t>SLOT2.CH16</t>
  </si>
  <si>
    <t>S2_HSD301</t>
  </si>
  <si>
    <t>SLOT2.CH18</t>
  </si>
  <si>
    <t>S2_HSD319</t>
  </si>
  <si>
    <t>SLOT0.CH67</t>
  </si>
  <si>
    <t>S2_HSD320</t>
  </si>
  <si>
    <t>SLOT0.CH72</t>
  </si>
  <si>
    <t>S2_NC_HSD359</t>
  </si>
  <si>
    <t>SLOT0.CH85</t>
  </si>
  <si>
    <t>S2_NC_HSD360</t>
  </si>
  <si>
    <t>SLOT0.CH82</t>
  </si>
  <si>
    <t>S2_NC_HSD361</t>
  </si>
  <si>
    <t>SLOT0.CH78</t>
  </si>
  <si>
    <t>S2_NC_HSD362</t>
  </si>
  <si>
    <t>SLOT0.CH66</t>
  </si>
  <si>
    <t>S2_NC_HSD363</t>
  </si>
  <si>
    <t>SLOT0.CH79</t>
  </si>
  <si>
    <t>S2_SCAN_HSD186</t>
  </si>
  <si>
    <t>SLOT2.CH92</t>
  </si>
  <si>
    <t>S2_SCAN_HSD187</t>
  </si>
  <si>
    <t>SLOT2.CH89</t>
  </si>
  <si>
    <t>S2_SCAN_HSD188</t>
  </si>
  <si>
    <t>SLOT0.CH86</t>
  </si>
  <si>
    <t>S2_SCIN_GPC2_HSD097</t>
  </si>
  <si>
    <t>SLOT0.CH13</t>
  </si>
  <si>
    <t>S2_SCIN_GPC2_HSD354</t>
  </si>
  <si>
    <t>SLOT2.CH0</t>
  </si>
  <si>
    <t>S2_SCIN_HSD184</t>
  </si>
  <si>
    <t>SLOT0.CH24</t>
  </si>
  <si>
    <t>S2_SCIN_HSD189</t>
  </si>
  <si>
    <t>SLOT0.CH88</t>
  </si>
  <si>
    <t>S2_SCIN_HSD190</t>
  </si>
  <si>
    <t>SLOT0.CH30</t>
  </si>
  <si>
    <t>S2_SCIN_HSD192</t>
  </si>
  <si>
    <t>SLOT0.CH92</t>
  </si>
  <si>
    <t>S2_SCIN_HSD200</t>
  </si>
  <si>
    <t>SLOT2.CH71</t>
  </si>
  <si>
    <t>S2_SCIN_HSD201</t>
  </si>
  <si>
    <t>SLOT2.CH66</t>
  </si>
  <si>
    <t>S2_SCIN_HSD203</t>
  </si>
  <si>
    <t>SLOT2.CH88</t>
  </si>
  <si>
    <t>S2_SCIN_HSD205</t>
  </si>
  <si>
    <t>SLOT2.CH86</t>
  </si>
  <si>
    <t>S2_SCIN_HSD210</t>
  </si>
  <si>
    <t>SLOT2.CH31</t>
  </si>
  <si>
    <t>S2_SCIN_HSD212</t>
  </si>
  <si>
    <t>SLOT2.CH65</t>
  </si>
  <si>
    <t>S2_SCIN_HSD213</t>
  </si>
  <si>
    <t>SLOT2.CH2</t>
  </si>
  <si>
    <t>S2_SCIN_HSD214</t>
  </si>
  <si>
    <t>SLOT2.CH83</t>
  </si>
  <si>
    <t>S2_SCIN_HSD215</t>
  </si>
  <si>
    <t>SLOT2.CH80</t>
  </si>
  <si>
    <t>S2_SCIN_HSD216</t>
  </si>
  <si>
    <t>SLOT2.CH12</t>
  </si>
  <si>
    <t>S2_SCIN_HSD218</t>
  </si>
  <si>
    <t>SLOT2.CH74</t>
  </si>
  <si>
    <t>S2_SCLK_DS_HSD063</t>
  </si>
  <si>
    <t>SLOT0.CH0</t>
  </si>
  <si>
    <t>S2_SCLK_DS_HSD064</t>
  </si>
  <si>
    <t>SLOT0.CH1</t>
  </si>
  <si>
    <t>S2_SCLK_HSD066</t>
  </si>
  <si>
    <t>SLOT0.CH27</t>
  </si>
  <si>
    <t>S2_SCLK_HSD072</t>
  </si>
  <si>
    <t>SLOT0.CH20</t>
  </si>
  <si>
    <t>S2_SCLK_HSD073</t>
  </si>
  <si>
    <t>SLOT0.CH25</t>
  </si>
  <si>
    <t>S2_SCLK_HSD081</t>
  </si>
  <si>
    <t>SLOT0.CH21</t>
  </si>
  <si>
    <t>S2_SCLK_HSD255</t>
  </si>
  <si>
    <t>SLOT0.CH18</t>
  </si>
  <si>
    <t>S2_SCLK_HSD256</t>
  </si>
  <si>
    <t>SLOT0.CH12</t>
  </si>
  <si>
    <t>S2_SCLK_HSD285</t>
  </si>
  <si>
    <t>SLOT0.CH76</t>
  </si>
  <si>
    <t>S2_SCLK_HSD353</t>
  </si>
  <si>
    <t>SLOT2.CH3</t>
  </si>
  <si>
    <t>S2_SCOT_HSD082</t>
  </si>
  <si>
    <t>SLOT0.CH31</t>
  </si>
  <si>
    <t>S2_SCOT_HSD109</t>
  </si>
  <si>
    <t>SLOT0.CH9</t>
  </si>
  <si>
    <t>S2_SCOT_HSD133</t>
  </si>
  <si>
    <t>SLOT0.CH70</t>
  </si>
  <si>
    <t>S2_SCOT_HSD134</t>
  </si>
  <si>
    <t>SLOT0.CH6</t>
  </si>
  <si>
    <t>S2_SCOT_HSD136</t>
  </si>
  <si>
    <t>SLOT0.CH73</t>
  </si>
  <si>
    <t>S2_SCOT_HSD181</t>
  </si>
  <si>
    <t>SLOT2.CH26</t>
  </si>
  <si>
    <t>S2_SCOT_HSD182</t>
  </si>
  <si>
    <t>SLOT2.CH27</t>
  </si>
  <si>
    <t>S2_SCOT_HSD183</t>
  </si>
  <si>
    <t>SLOT2.CH30</t>
  </si>
  <si>
    <t>S2_SCOT_HSD185</t>
  </si>
  <si>
    <t>SLOT0.CH93</t>
  </si>
  <si>
    <t>S2_SCOT_HSD191</t>
  </si>
  <si>
    <t>SLOT0.CH26</t>
  </si>
  <si>
    <t>S2_SCOT_HSD207</t>
  </si>
  <si>
    <t>SLOT0.CH83</t>
  </si>
  <si>
    <t>S2_SCOT_HSD208</t>
  </si>
  <si>
    <t>SLOT0.CH80</t>
  </si>
  <si>
    <t>S2_SCOT_HSD209</t>
  </si>
  <si>
    <t>SLOT0.CH77</t>
  </si>
  <si>
    <t>S2_SCOT_HSD211</t>
  </si>
  <si>
    <t>SLOT2.CH93</t>
  </si>
  <si>
    <t>S2_SCOT_HSD217</t>
  </si>
  <si>
    <t>SLOT2.CH14</t>
  </si>
  <si>
    <t>S2_SCOT_HSD284</t>
  </si>
  <si>
    <t>SLOT0.CH3</t>
  </si>
  <si>
    <t>S2_SW_HSD297</t>
  </si>
  <si>
    <t>SLOT0.CH71</t>
  </si>
  <si>
    <t>S2_U17_HSD302</t>
  </si>
  <si>
    <t>SLOT2.CH64</t>
  </si>
  <si>
    <t>S2_U18_HSD305</t>
  </si>
  <si>
    <t>SLOT2.CH1</t>
  </si>
  <si>
    <t>S3_BPMUINH_HSD141</t>
  </si>
  <si>
    <t>SLOT3.CH71</t>
  </si>
  <si>
    <t>S3_DS_GP_HSD303</t>
  </si>
  <si>
    <t>SLOT1.CH1</t>
  </si>
  <si>
    <t>S3_DS_GP_HSD304</t>
  </si>
  <si>
    <t>SLOT1.CH16</t>
  </si>
  <si>
    <t>S3_DS_HSD085</t>
  </si>
  <si>
    <t>SLOT1.CH0</t>
  </si>
  <si>
    <t>S3_DS_HSD089</t>
  </si>
  <si>
    <t>SLOT1.CH2</t>
  </si>
  <si>
    <t>S3_DS_HSD998</t>
  </si>
  <si>
    <t>SLOT1.CH13</t>
  </si>
  <si>
    <t>S3_DS_HSD999</t>
  </si>
  <si>
    <t>SLOT1.CH7</t>
  </si>
  <si>
    <t>S3_HSD006+</t>
  </si>
  <si>
    <t>SLOT1.CH68</t>
  </si>
  <si>
    <t>S3_HSD006-</t>
  </si>
  <si>
    <t>SLOT1.CH69</t>
  </si>
  <si>
    <t>S3_HSD016+</t>
  </si>
  <si>
    <t>SLOT1.CH10</t>
  </si>
  <si>
    <t>S3_HSD016-</t>
  </si>
  <si>
    <t>SLOT1.CH11</t>
  </si>
  <si>
    <t>S3_HSD026+</t>
  </si>
  <si>
    <t>SLOT3.CH68</t>
  </si>
  <si>
    <t>S3_HSD026-</t>
  </si>
  <si>
    <t>SLOT3.CH69</t>
  </si>
  <si>
    <t>S3_HSD038+</t>
  </si>
  <si>
    <t>SLOT1.CH4</t>
  </si>
  <si>
    <t>S3_HSD038-</t>
  </si>
  <si>
    <t>SLOT1.CH5</t>
  </si>
  <si>
    <t>S3_HSD079</t>
  </si>
  <si>
    <t>SLOT1.CH81</t>
  </si>
  <si>
    <t>S3_HSD093</t>
  </si>
  <si>
    <t>SLOT3.CH1</t>
  </si>
  <si>
    <t>S3_HSD099</t>
  </si>
  <si>
    <t>SLOT1.CH89</t>
  </si>
  <si>
    <t>S3_HSD101</t>
  </si>
  <si>
    <t>SLOT1.CH87</t>
  </si>
  <si>
    <t>S3_HSD112</t>
  </si>
  <si>
    <t>SLOT1.CH70</t>
  </si>
  <si>
    <t>S3_HSD114</t>
  </si>
  <si>
    <t>SLOT1.CH83</t>
  </si>
  <si>
    <t>S3_HSD120</t>
  </si>
  <si>
    <t>SLOT1.CH26</t>
  </si>
  <si>
    <t>S3_HSD122+</t>
  </si>
  <si>
    <t>SLOT3.CH10</t>
  </si>
  <si>
    <t>S3_HSD122-</t>
  </si>
  <si>
    <t>SLOT3.CH11</t>
  </si>
  <si>
    <t>S3_HSD126+</t>
  </si>
  <si>
    <t>SLOT3.CH4</t>
  </si>
  <si>
    <t>S3_HSD126-</t>
  </si>
  <si>
    <t>SLOT3.CH5</t>
  </si>
  <si>
    <t>S3_HSD145</t>
  </si>
  <si>
    <t>SLOT1.CH77</t>
  </si>
  <si>
    <t>S3_HSD163+</t>
  </si>
  <si>
    <t>SLOT1.CH94</t>
  </si>
  <si>
    <t>S3_HSD163-</t>
  </si>
  <si>
    <t>SLOT1.CH95</t>
  </si>
  <si>
    <t>S3_HSD169+</t>
  </si>
  <si>
    <t>SLOT1.CH90</t>
  </si>
  <si>
    <t>S3_HSD169-</t>
  </si>
  <si>
    <t>SLOT1.CH91</t>
  </si>
  <si>
    <t>S3_HSD193</t>
  </si>
  <si>
    <t>SLOT3.CH79</t>
  </si>
  <si>
    <t>S3_HSD194</t>
  </si>
  <si>
    <t>SLOT3.CH17</t>
  </si>
  <si>
    <t>S3_HSD195</t>
  </si>
  <si>
    <t>SLOT3.CH20</t>
  </si>
  <si>
    <t>S3_HSD196</t>
  </si>
  <si>
    <t>SLOT3.CH25</t>
  </si>
  <si>
    <t>S3_HSD197</t>
  </si>
  <si>
    <t>SLOT3.CH8</t>
  </si>
  <si>
    <t>S3_HSD198</t>
  </si>
  <si>
    <t>SLOT3.CH9</t>
  </si>
  <si>
    <t>S3_HSD199</t>
  </si>
  <si>
    <t>SLOT3.CH13</t>
  </si>
  <si>
    <t>S3_HSD202</t>
  </si>
  <si>
    <t>SLOT3.CH16</t>
  </si>
  <si>
    <t>S3_HSD204</t>
  </si>
  <si>
    <t>SLOT3.CH7</t>
  </si>
  <si>
    <t>S3_HSD206</t>
  </si>
  <si>
    <t>SLOT3.CH18</t>
  </si>
  <si>
    <t>S3_HSD219</t>
  </si>
  <si>
    <t>SLOT3.CH19</t>
  </si>
  <si>
    <t>S3_HSD232+</t>
  </si>
  <si>
    <t>SLOT1.CH22</t>
  </si>
  <si>
    <t>S3_HSD232-</t>
  </si>
  <si>
    <t>SLOT1.CH23</t>
  </si>
  <si>
    <t>S3_HSD234+</t>
  </si>
  <si>
    <t>SLOT1.CH28</t>
  </si>
  <si>
    <t>S3_HSD234-</t>
  </si>
  <si>
    <t>SLOT1.CH29</t>
  </si>
  <si>
    <t>S3_HSD236+</t>
  </si>
  <si>
    <t>SLOT3.CH28</t>
  </si>
  <si>
    <t>S3_HSD236-</t>
  </si>
  <si>
    <t>SLOT3.CH29</t>
  </si>
  <si>
    <t>S3_HSD238+</t>
  </si>
  <si>
    <t>SLOT3.CH22</t>
  </si>
  <si>
    <t>S3_HSD238-</t>
  </si>
  <si>
    <t>SLOT3.CH23</t>
  </si>
  <si>
    <t>S3_HSD245+</t>
  </si>
  <si>
    <t>SLOT3.CH94</t>
  </si>
  <si>
    <t>S3_HSD245-</t>
  </si>
  <si>
    <t>SLOT3.CH95</t>
  </si>
  <si>
    <t>S3_HSD247+</t>
  </si>
  <si>
    <t>SLOT3.CH90</t>
  </si>
  <si>
    <t>S3_HSD247-</t>
  </si>
  <si>
    <t>SLOT3.CH91</t>
  </si>
  <si>
    <t>S3_HSD270</t>
  </si>
  <si>
    <t>SLOT1.CH85</t>
  </si>
  <si>
    <t>S3_HSD271</t>
  </si>
  <si>
    <t>SLOT3.CH83</t>
  </si>
  <si>
    <t>S3_HSD272</t>
  </si>
  <si>
    <t>SLOT3.CH84</t>
  </si>
  <si>
    <t>S3_HSD273</t>
  </si>
  <si>
    <t>SLOT1.CH20</t>
  </si>
  <si>
    <t>S3_HSD274</t>
  </si>
  <si>
    <t>SLOT1.CH25</t>
  </si>
  <si>
    <t>S3_HSD275</t>
  </si>
  <si>
    <t>SLOT3.CH81</t>
  </si>
  <si>
    <t>S3_HSD298</t>
  </si>
  <si>
    <t>SLOT3.CH87</t>
  </si>
  <si>
    <t>S3_HSD299</t>
  </si>
  <si>
    <t>SLOT1.CH82</t>
  </si>
  <si>
    <t>S3_HSD300</t>
  </si>
  <si>
    <t>SLOT1.CH79</t>
  </si>
  <si>
    <t>S3_HSD301</t>
  </si>
  <si>
    <t>SLOT1.CH67</t>
  </si>
  <si>
    <t>S3_HSD319</t>
  </si>
  <si>
    <t>SLOT3.CH88</t>
  </si>
  <si>
    <t>S3_HSD320</t>
  </si>
  <si>
    <t>SLOT3.CH86</t>
  </si>
  <si>
    <t>S3_NC_HSD359</t>
  </si>
  <si>
    <t>SLOT1.CH21</t>
  </si>
  <si>
    <t>S3_NC_HSD360</t>
  </si>
  <si>
    <t>SLOT1.CH19</t>
  </si>
  <si>
    <t>S3_NC_HSD361</t>
  </si>
  <si>
    <t>SLOT3.CH78</t>
  </si>
  <si>
    <t>S3_NC_HSD362</t>
  </si>
  <si>
    <t>SLOT3.CH80</t>
  </si>
  <si>
    <t>S3_NC_HSD363</t>
  </si>
  <si>
    <t>SLOT3.CH77</t>
  </si>
  <si>
    <t>S3_SCAN_HSD186</t>
  </si>
  <si>
    <t>SLOT3.CH21</t>
  </si>
  <si>
    <t>S3_SCAN_HSD187</t>
  </si>
  <si>
    <t>SLOT3.CH24</t>
  </si>
  <si>
    <t>S3_SCAN_HSD188</t>
  </si>
  <si>
    <t>SLOT1.CH9</t>
  </si>
  <si>
    <t>S3_SCIN_GPC2_HSD097</t>
  </si>
  <si>
    <t>SLOT1.CH31</t>
  </si>
  <si>
    <t>S3_SCIN_GPC2_HSD354</t>
  </si>
  <si>
    <t>SLOT3.CH65</t>
  </si>
  <si>
    <t>S3_SCIN_HSD184</t>
  </si>
  <si>
    <t>SLOT3.CH72</t>
  </si>
  <si>
    <t>S3_SCIN_HSD189</t>
  </si>
  <si>
    <t>SLOT1.CH12</t>
  </si>
  <si>
    <t>S3_SCIN_HSD190</t>
  </si>
  <si>
    <t>SLOT3.CH15</t>
  </si>
  <si>
    <t>S3_SCIN_HSD192</t>
  </si>
  <si>
    <t>SLOT3.CH31</t>
  </si>
  <si>
    <t>S3_SCIN_HSD200</t>
  </si>
  <si>
    <t>SLOT3.CH30</t>
  </si>
  <si>
    <t>S3_SCIN_HSD201</t>
  </si>
  <si>
    <t>SLOT3.CH92</t>
  </si>
  <si>
    <t>S3_SCIN_HSD203</t>
  </si>
  <si>
    <t>SLOT3.CH14</t>
  </si>
  <si>
    <t>S3_SCIN_HSD205</t>
  </si>
  <si>
    <t>SLOT1.CH73</t>
  </si>
  <si>
    <t>S3_SCIN_HSD210</t>
  </si>
  <si>
    <t>SLOT1.CH14</t>
  </si>
  <si>
    <t>S3_SCIN_HSD212</t>
  </si>
  <si>
    <t>SLOT3.CH67</t>
  </si>
  <si>
    <t>S3_SCIN_HSD213</t>
  </si>
  <si>
    <t>SLOT3.CH3</t>
  </si>
  <si>
    <t>S3_SCIN_HSD214</t>
  </si>
  <si>
    <t>SLOT3.CH6</t>
  </si>
  <si>
    <t>S3_SCIN_HSD215</t>
  </si>
  <si>
    <t>SLOT3.CH12</t>
  </si>
  <si>
    <t>S3_SCIN_HSD216</t>
  </si>
  <si>
    <t>SLOT3.CH26</t>
  </si>
  <si>
    <t>S3_SCIN_HSD218</t>
  </si>
  <si>
    <t>SLOT1.CH24</t>
  </si>
  <si>
    <t>S3_SCLK_DS_HSD063</t>
  </si>
  <si>
    <t>SLOT1.CH18</t>
  </si>
  <si>
    <t>S3_SCLK_DS_HSD064</t>
  </si>
  <si>
    <t>SLOT1.CH17</t>
  </si>
  <si>
    <t>S3_SCLK_HSD066</t>
  </si>
  <si>
    <t>SLOT1.CH93</t>
  </si>
  <si>
    <t>S3_SCLK_HSD072</t>
  </si>
  <si>
    <t>SLOT1.CH72</t>
  </si>
  <si>
    <t>S3_SCLK_HSD073</t>
  </si>
  <si>
    <t>SLOT1.CH66</t>
  </si>
  <si>
    <t>S3_SCLK_HSD081</t>
  </si>
  <si>
    <t>SLOT1.CH71</t>
  </si>
  <si>
    <t>S3_SCLK_HSD255</t>
  </si>
  <si>
    <t>SLOT1.CH74</t>
  </si>
  <si>
    <t>S3_SCLK_HSD256</t>
  </si>
  <si>
    <t>SLOT1.CH75</t>
  </si>
  <si>
    <t>S3_SCLK_HSD285</t>
  </si>
  <si>
    <t>SLOT1.CH78</t>
  </si>
  <si>
    <t>S3_SCLK_HSD353</t>
  </si>
  <si>
    <t>SLOT3.CH66</t>
  </si>
  <si>
    <t>S3_SCOT_HSD082</t>
  </si>
  <si>
    <t>SLOT1.CH65</t>
  </si>
  <si>
    <t>S3_SCOT_HSD109</t>
  </si>
  <si>
    <t>SLOT1.CH80</t>
  </si>
  <si>
    <t>S3_SCOT_HSD133</t>
  </si>
  <si>
    <t>SLOT1.CH88</t>
  </si>
  <si>
    <t>S3_SCOT_HSD134</t>
  </si>
  <si>
    <t>SLOT1.CH86</t>
  </si>
  <si>
    <t>S3_SCOT_HSD136</t>
  </si>
  <si>
    <t>SLOT1.CH84</t>
  </si>
  <si>
    <t>S3_SCOT_HSD181</t>
  </si>
  <si>
    <t>SLOT1.CH76</t>
  </si>
  <si>
    <t>S3_SCOT_HSD182</t>
  </si>
  <si>
    <t>SLOT1.CH27</t>
  </si>
  <si>
    <t>S3_SCOT_HSD183</t>
  </si>
  <si>
    <t>SLOT1.CH30</t>
  </si>
  <si>
    <t>S3_SCOT_HSD185</t>
  </si>
  <si>
    <t>SLOT3.CH64</t>
  </si>
  <si>
    <t>S3_SCOT_HSD191</t>
  </si>
  <si>
    <t>SLOT3.CH85</t>
  </si>
  <si>
    <t>S3_SCOT_HSD207</t>
  </si>
  <si>
    <t>SLOT1.CH8</t>
  </si>
  <si>
    <t>S3_SCOT_HSD208</t>
  </si>
  <si>
    <t>SLOT3.CH89</t>
  </si>
  <si>
    <t>S3_SCOT_HSD209</t>
  </si>
  <si>
    <t>SLOT3.CH93</t>
  </si>
  <si>
    <t>S3_SCOT_HSD211</t>
  </si>
  <si>
    <t>SLOT1.CH15</t>
  </si>
  <si>
    <t>S3_SCOT_HSD217</t>
  </si>
  <si>
    <t>SLOT3.CH27</t>
  </si>
  <si>
    <t>S3_SCOT_HSD284</t>
  </si>
  <si>
    <t>SLOT1.CH92</t>
  </si>
  <si>
    <t>S3_SW_HSD297</t>
  </si>
  <si>
    <t>SLOT3.CH74</t>
  </si>
  <si>
    <t>S3_U17_HSD302</t>
  </si>
  <si>
    <t>SLOT3.CH2</t>
  </si>
  <si>
    <t>S3_U18_HSD305</t>
  </si>
  <si>
    <t>SLOT3.CH0</t>
  </si>
  <si>
    <t>SC_HSD070</t>
  </si>
  <si>
    <t>SLOT2.CH120</t>
  </si>
  <si>
    <t>SC_PWCT_HSD995</t>
  </si>
  <si>
    <t>SLOT0.CH74</t>
  </si>
  <si>
    <t xml:space="preserve">Serial number </t>
    <phoneticPr fontId="1" type="noConversion"/>
  </si>
  <si>
    <t xml:space="preserve">Channel assigned </t>
    <phoneticPr fontId="1" type="noConversion"/>
  </si>
  <si>
    <t>DSIO channel:</t>
    <phoneticPr fontId="1" type="noConversion"/>
  </si>
  <si>
    <t>SITE 0 DUT</t>
    <phoneticPr fontId="1" type="noConversion"/>
  </si>
  <si>
    <t>SITE 0 Golden</t>
    <phoneticPr fontId="1" type="noConversion"/>
  </si>
  <si>
    <t>SITE 1 DUT</t>
    <phoneticPr fontId="1" type="noConversion"/>
  </si>
  <si>
    <t>SITE 1 Golden</t>
    <phoneticPr fontId="1" type="noConversion"/>
  </si>
  <si>
    <t>SITE 2 DUT</t>
    <phoneticPr fontId="1" type="noConversion"/>
  </si>
  <si>
    <t>SITE 2 Golden</t>
    <phoneticPr fontId="1" type="noConversion"/>
  </si>
  <si>
    <t>SITE 3 DUT</t>
    <phoneticPr fontId="1" type="noConversion"/>
  </si>
  <si>
    <t>SITE 3 Golden</t>
    <phoneticPr fontId="1" type="noConversion"/>
  </si>
  <si>
    <t>SCAN channel:</t>
    <phoneticPr fontId="1" type="noConversion"/>
  </si>
  <si>
    <t>Free assign channel:</t>
    <phoneticPr fontId="1" type="noConversion"/>
  </si>
  <si>
    <t xml:space="preserve">Scan in Scan out </t>
    <phoneticPr fontId="1" type="noConversion"/>
  </si>
  <si>
    <t>Scan clk</t>
    <phoneticPr fontId="1" type="noConversion"/>
  </si>
  <si>
    <t xml:space="preserve">All digital channels </t>
    <phoneticPr fontId="1" type="noConversion"/>
  </si>
  <si>
    <t>DSIO channels</t>
    <phoneticPr fontId="1" type="noConversion"/>
  </si>
  <si>
    <t>Below channels are free assigned (diff even, even+1)</t>
    <phoneticPr fontId="1" type="noConversion"/>
  </si>
  <si>
    <t>Scan channels have matching length requirement</t>
    <phoneticPr fontId="1" type="noConversion"/>
  </si>
  <si>
    <t xml:space="preserve">Please reassign DSIO channels to fullfil requirements below : </t>
    <phoneticPr fontId="1" type="noConversion"/>
  </si>
  <si>
    <t>BPMU channel:</t>
    <phoneticPr fontId="1" type="noConversion"/>
  </si>
  <si>
    <t>BPMU, assigned only 1 per slot</t>
    <phoneticPr fontId="1" type="noConversion"/>
  </si>
  <si>
    <t>SITE 0 DUT assign to Slot 0 CH0~CH63</t>
    <phoneticPr fontId="1" type="noConversion"/>
  </si>
  <si>
    <t>SITE 2 DUT assign to Slot 1 CH0~CH63</t>
    <phoneticPr fontId="1" type="noConversion"/>
  </si>
  <si>
    <t>SITE 1 DUT assign to Slot 0 CH64~CH127</t>
    <phoneticPr fontId="1" type="noConversion"/>
  </si>
  <si>
    <t>SITE 3 DUT assign to Slot 1 CH64~CH127</t>
    <phoneticPr fontId="1" type="noConversion"/>
  </si>
  <si>
    <t>SITE 1 GOLDEN assign to Slot 0 CH0~CH63</t>
    <phoneticPr fontId="1" type="noConversion"/>
  </si>
  <si>
    <t>SITE 0 GOLDEN assign to Slot 0 CH64~CH127</t>
    <phoneticPr fontId="1" type="noConversion"/>
  </si>
  <si>
    <t>SITE 2 GOLDEN assign to Slot 1 CH64~CH127</t>
    <phoneticPr fontId="1" type="noConversion"/>
  </si>
  <si>
    <t>SITE 3 GOLDEN assign to Slot 1 CH0~CH63</t>
    <phoneticPr fontId="1" type="noConversion"/>
  </si>
  <si>
    <t>SLOT1.CH3</t>
  </si>
  <si>
    <t>SLOT1.CH6</t>
  </si>
  <si>
    <t>SLOT2.CH8</t>
  </si>
  <si>
    <t>SLOT2.CH24</t>
  </si>
  <si>
    <t>SLOT2.CH25</t>
  </si>
  <si>
    <t>SLOT2.CH46</t>
  </si>
  <si>
    <t>SLOT2.CH47</t>
  </si>
  <si>
    <t>SLOT2.CH49</t>
  </si>
  <si>
    <t>SLOT2.CH50</t>
  </si>
  <si>
    <t>SLOT1.CH58</t>
  </si>
  <si>
    <t>SLOT1.CH64</t>
  </si>
  <si>
    <t>SLOT2.CH70</t>
  </si>
  <si>
    <t>SLOT3.CH70</t>
  </si>
  <si>
    <t>SLOT2.CH73</t>
  </si>
  <si>
    <t>SLOT3.CH73</t>
  </si>
  <si>
    <t>SLOT3.CH75</t>
  </si>
  <si>
    <t>SLOT2.CH76</t>
  </si>
  <si>
    <t>SLOT3.CH76</t>
  </si>
  <si>
    <t>SLOT2.CH79</t>
  </si>
  <si>
    <t>SLOT3.CH82</t>
  </si>
  <si>
    <t>SLOT3.CH108</t>
  </si>
  <si>
    <t>SLOT2.CH109</t>
  </si>
  <si>
    <t>SLOT3.CH111</t>
  </si>
  <si>
    <t>SLOT2.CH112</t>
  </si>
  <si>
    <t>SLOT3.CH114</t>
  </si>
  <si>
    <t>SLOT1.CH115</t>
  </si>
  <si>
    <t>SLOT2.CH115</t>
  </si>
  <si>
    <t>SLOT3.CH115</t>
  </si>
  <si>
    <t>SLOT3.CH116</t>
  </si>
  <si>
    <t>SLOT3.CH117</t>
  </si>
  <si>
    <t>Serial Number</t>
    <phoneticPr fontId="5" type="noConversion"/>
  </si>
  <si>
    <t>Assigned Channel</t>
    <phoneticPr fontId="5" type="noConversion"/>
  </si>
  <si>
    <t>DSIO RULE</t>
    <phoneticPr fontId="5" type="noConversion"/>
  </si>
  <si>
    <t>DUT DSIO CHECK</t>
    <phoneticPr fontId="5" type="noConversion"/>
  </si>
  <si>
    <t>CHECK SLOT</t>
    <phoneticPr fontId="5" type="noConversion"/>
  </si>
  <si>
    <t>CHECK CHANNEL</t>
    <phoneticPr fontId="5" type="noConversion"/>
  </si>
  <si>
    <t>DUT SITE0 ASSIGN TO SLOT0 CH0~CH63</t>
    <phoneticPr fontId="5" type="noConversion"/>
  </si>
  <si>
    <t>SN</t>
    <phoneticPr fontId="5" type="noConversion"/>
  </si>
  <si>
    <t>SITE0</t>
    <phoneticPr fontId="5" type="noConversion"/>
  </si>
  <si>
    <t>SITE 1 SN</t>
    <phoneticPr fontId="5" type="noConversion"/>
  </si>
  <si>
    <t>SITE1 CH</t>
    <phoneticPr fontId="5" type="noConversion"/>
  </si>
  <si>
    <t>SITE2 SN</t>
    <phoneticPr fontId="5" type="noConversion"/>
  </si>
  <si>
    <t>SITE2 CH</t>
    <phoneticPr fontId="5" type="noConversion"/>
  </si>
  <si>
    <t>SITE 3 SN</t>
    <phoneticPr fontId="5" type="noConversion"/>
  </si>
  <si>
    <t>SITE3 CH</t>
    <phoneticPr fontId="5" type="noConversion"/>
  </si>
  <si>
    <t>DUT SITE1 ASSIGN TO SLOT0 CH64 127</t>
    <phoneticPr fontId="5" type="noConversion"/>
  </si>
  <si>
    <t>DUT SITE2 ASSIGN TO SLOT1 CH0 ~CH63</t>
    <phoneticPr fontId="5" type="noConversion"/>
  </si>
  <si>
    <t>DUT SITE3 ASSIGN TO SLOT1 CH64~CH127</t>
    <phoneticPr fontId="5" type="noConversion"/>
  </si>
  <si>
    <t>GOLDEN SITE0 ASSIGN TO SLOT0 CH64~CH127</t>
    <phoneticPr fontId="5" type="noConversion"/>
  </si>
  <si>
    <t>GOLDEN SITE1 ASSIGN TO SLOT0 CH0~CH63</t>
    <phoneticPr fontId="5" type="noConversion"/>
  </si>
  <si>
    <t>FINAL STATUS CHECK PASS OR FAIL</t>
    <phoneticPr fontId="5" type="noConversion"/>
  </si>
  <si>
    <t>EVERY COMPARISON</t>
    <phoneticPr fontId="5" type="noConversion"/>
  </si>
  <si>
    <t>IF ALL TRUE</t>
    <phoneticPr fontId="5" type="noConversion"/>
  </si>
  <si>
    <t>SITE0 SN</t>
    <phoneticPr fontId="5" type="noConversion"/>
  </si>
  <si>
    <t>GOLDEN SITE2 ASSIGN TO SLOT1 CH64~CH127</t>
    <phoneticPr fontId="5" type="noConversion"/>
  </si>
  <si>
    <t>GOLDEN SITE3 ASSIGN TO SLOT1 CH0~CH163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</si>
</sst>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1"/>
      <charset val="136"/>
      <scheme val="minor"/>
    </font>
    <font>
      <sz val="9"/>
      <name val="Calibri"/>
      <family val="2"/>
      <charset val="136"/>
      <scheme val="minor"/>
    </font>
    <font>
      <sz val="4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2">
    <xf numFmtId="0" fontId="0" fillId="0" borderId="0"/>
    <xf numFmtId="0" fontId="8" fillId="11" borderId="0" applyNumberFormat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4" borderId="0" xfId="0" applyFill="1"/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6" borderId="0" xfId="0" applyFill="1"/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7" borderId="0" xfId="0" applyFill="1"/>
    <xf numFmtId="0" fontId="0" fillId="7" borderId="5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0" fillId="8" borderId="0" xfId="0" applyFill="1"/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9" borderId="14" xfId="0" applyFill="1" applyBorder="1" applyAlignment="1">
      <alignment vertical="center"/>
    </xf>
    <xf numFmtId="0" fontId="0" fillId="9" borderId="15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9" borderId="18" xfId="0" applyFill="1" applyBorder="1" applyAlignment="1">
      <alignment vertical="center"/>
    </xf>
    <xf numFmtId="0" fontId="0" fillId="9" borderId="17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9" borderId="27" xfId="0" applyFill="1" applyBorder="1" applyAlignment="1">
      <alignment vertical="center"/>
    </xf>
    <xf numFmtId="0" fontId="0" fillId="9" borderId="26" xfId="0" applyFill="1" applyBorder="1" applyAlignment="1">
      <alignment vertical="center"/>
    </xf>
    <xf numFmtId="0" fontId="0" fillId="9" borderId="28" xfId="0" applyFill="1" applyBorder="1" applyAlignment="1">
      <alignment vertical="center"/>
    </xf>
    <xf numFmtId="0" fontId="0" fillId="9" borderId="30" xfId="0" applyFill="1" applyBorder="1" applyAlignment="1">
      <alignment vertical="center"/>
    </xf>
    <xf numFmtId="0" fontId="0" fillId="9" borderId="31" xfId="0" applyFill="1" applyBorder="1" applyAlignment="1">
      <alignment vertical="center"/>
    </xf>
    <xf numFmtId="0" fontId="7" fillId="0" borderId="0" xfId="0" applyFont="1"/>
    <xf numFmtId="0" fontId="0" fillId="9" borderId="32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10" borderId="6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8" fillId="11" borderId="0" xfId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9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4"/>
  <sheetViews>
    <sheetView tabSelected="1" workbookViewId="0">
      <selection activeCell="E6" sqref="E6"/>
    </sheetView>
  </sheetViews>
  <sheetFormatPr defaultRowHeight="15"/>
  <cols>
    <col min="2" max="2" width="24.85546875" bestFit="1" customWidth="1"/>
    <col min="3" max="3" width="14.5703125" bestFit="1" customWidth="1"/>
    <col min="6" max="6" width="14.42578125" customWidth="1"/>
    <col min="7" max="7" width="23" bestFit="1" customWidth="1"/>
    <col min="8" max="8" width="20.42578125" customWidth="1"/>
    <col min="9" max="9" width="19.140625" customWidth="1"/>
    <col min="10" max="10" width="21.42578125" customWidth="1"/>
    <col min="11" max="12" width="22.140625" customWidth="1"/>
    <col min="14" max="14" width="21.7109375" customWidth="1"/>
    <col min="15" max="15" width="35.85546875" customWidth="1"/>
    <col min="16" max="16" width="21.5703125" customWidth="1"/>
    <col min="18" max="18" width="16.85546875" customWidth="1"/>
    <col min="19" max="19" width="19.140625" bestFit="1" customWidth="1"/>
    <col min="20" max="20" width="16.85546875" bestFit="1" customWidth="1"/>
    <col min="22" max="22" width="16.85546875" bestFit="1" customWidth="1"/>
    <col min="23" max="23" width="23.5703125" bestFit="1" customWidth="1"/>
    <col min="24" max="24" width="16.85546875" bestFit="1" customWidth="1"/>
  </cols>
  <sheetData>
    <row r="1" spans="1:24">
      <c r="A1" s="68" t="s">
        <v>980</v>
      </c>
      <c r="B1" s="68"/>
      <c r="C1" s="68"/>
      <c r="F1" s="68" t="s">
        <v>981</v>
      </c>
      <c r="G1" s="68"/>
      <c r="H1" s="68"/>
      <c r="J1" s="68" t="s">
        <v>982</v>
      </c>
      <c r="K1" s="68"/>
      <c r="L1" s="68"/>
      <c r="N1" s="68" t="s">
        <v>983</v>
      </c>
      <c r="O1" s="68"/>
      <c r="P1" s="68"/>
      <c r="Q1" s="68"/>
      <c r="R1" s="68"/>
      <c r="S1" s="68"/>
      <c r="T1" s="68"/>
      <c r="V1" s="65" t="s">
        <v>986</v>
      </c>
      <c r="W1" s="66"/>
      <c r="X1" s="67"/>
    </row>
    <row r="2" spans="1:24">
      <c r="A2" t="s">
        <v>0</v>
      </c>
      <c r="B2" s="5" t="s">
        <v>965</v>
      </c>
      <c r="C2" s="5" t="s">
        <v>966</v>
      </c>
      <c r="F2" s="3" t="s">
        <v>967</v>
      </c>
      <c r="G2" s="1" t="s">
        <v>965</v>
      </c>
      <c r="H2" s="1" t="s">
        <v>966</v>
      </c>
      <c r="J2" s="3" t="s">
        <v>977</v>
      </c>
      <c r="K2" s="1" t="s">
        <v>965</v>
      </c>
      <c r="L2" s="1" t="s">
        <v>966</v>
      </c>
      <c r="N2" s="3" t="s">
        <v>976</v>
      </c>
      <c r="O2" s="1" t="s">
        <v>965</v>
      </c>
      <c r="P2" s="1" t="s">
        <v>966</v>
      </c>
      <c r="R2" s="3" t="s">
        <v>976</v>
      </c>
      <c r="S2" s="1" t="s">
        <v>965</v>
      </c>
      <c r="T2" s="1" t="s">
        <v>966</v>
      </c>
      <c r="V2" s="3" t="s">
        <v>985</v>
      </c>
      <c r="W2" s="1" t="s">
        <v>965</v>
      </c>
      <c r="X2" s="1" t="s">
        <v>966</v>
      </c>
    </row>
    <row r="3" spans="1:24">
      <c r="B3" t="s">
        <v>1</v>
      </c>
      <c r="C3" t="s">
        <v>2</v>
      </c>
      <c r="F3" s="69" t="s">
        <v>968</v>
      </c>
      <c r="G3" s="2" t="s">
        <v>7</v>
      </c>
      <c r="H3" s="64" t="str">
        <f t="shared" ref="H3:H34" si="0">VLOOKUP(G3,B:C,2,0)</f>
        <v>SLOT0.CH62</v>
      </c>
      <c r="I3" s="64" t="s">
        <v>8</v>
      </c>
      <c r="K3" t="s">
        <v>15</v>
      </c>
      <c r="L3" t="s">
        <v>16</v>
      </c>
      <c r="N3" s="4" t="s">
        <v>978</v>
      </c>
      <c r="O3" t="s">
        <v>149</v>
      </c>
      <c r="P3" t="s">
        <v>150</v>
      </c>
      <c r="R3" s="4" t="s">
        <v>979</v>
      </c>
      <c r="S3" t="s">
        <v>143</v>
      </c>
      <c r="T3" t="s">
        <v>144</v>
      </c>
      <c r="W3" t="s">
        <v>1</v>
      </c>
      <c r="X3" t="s">
        <v>2</v>
      </c>
    </row>
    <row r="4" spans="1:24">
      <c r="B4" t="s">
        <v>3</v>
      </c>
      <c r="C4" t="s">
        <v>4</v>
      </c>
      <c r="F4" s="69"/>
      <c r="G4" s="2" t="s">
        <v>9</v>
      </c>
      <c r="H4" s="64" t="str">
        <f t="shared" si="0"/>
        <v>SLOT0.CH59</v>
      </c>
      <c r="I4" s="64" t="s">
        <v>10</v>
      </c>
      <c r="K4" t="s">
        <v>17</v>
      </c>
      <c r="L4" t="s">
        <v>18</v>
      </c>
      <c r="O4" t="s">
        <v>151</v>
      </c>
      <c r="P4" t="s">
        <v>152</v>
      </c>
      <c r="S4" t="s">
        <v>145</v>
      </c>
      <c r="T4" t="s">
        <v>146</v>
      </c>
      <c r="W4" t="s">
        <v>241</v>
      </c>
      <c r="X4" t="s">
        <v>242</v>
      </c>
    </row>
    <row r="5" spans="1:24">
      <c r="B5" t="s">
        <v>5</v>
      </c>
      <c r="C5" t="s">
        <v>6</v>
      </c>
      <c r="F5" s="69"/>
      <c r="G5" s="2" t="s">
        <v>185</v>
      </c>
      <c r="H5" s="64" t="str">
        <f t="shared" si="0"/>
        <v>SLOT0.CH57</v>
      </c>
      <c r="I5" s="64" t="s">
        <v>186</v>
      </c>
      <c r="K5" t="s">
        <v>19</v>
      </c>
      <c r="L5" t="s">
        <v>20</v>
      </c>
      <c r="O5" t="s">
        <v>153</v>
      </c>
      <c r="P5" t="s">
        <v>154</v>
      </c>
      <c r="S5" t="s">
        <v>147</v>
      </c>
      <c r="T5" t="s">
        <v>148</v>
      </c>
      <c r="W5" t="s">
        <v>481</v>
      </c>
      <c r="X5" t="s">
        <v>482</v>
      </c>
    </row>
    <row r="6" spans="1:24">
      <c r="B6" t="s">
        <v>7</v>
      </c>
      <c r="C6" t="s">
        <v>8</v>
      </c>
      <c r="F6" s="69"/>
      <c r="G6" s="2" t="s">
        <v>183</v>
      </c>
      <c r="H6" s="64" t="str">
        <f t="shared" si="0"/>
        <v>SLOT0.CH56</v>
      </c>
      <c r="I6" s="64" t="s">
        <v>184</v>
      </c>
      <c r="K6" t="s">
        <v>21</v>
      </c>
      <c r="L6" t="s">
        <v>22</v>
      </c>
      <c r="O6" t="s">
        <v>155</v>
      </c>
      <c r="P6" t="s">
        <v>156</v>
      </c>
      <c r="S6" t="s">
        <v>187</v>
      </c>
      <c r="T6" t="s">
        <v>188</v>
      </c>
      <c r="W6" t="s">
        <v>721</v>
      </c>
      <c r="X6" t="s">
        <v>722</v>
      </c>
    </row>
    <row r="7" spans="1:24">
      <c r="B7" t="s">
        <v>9</v>
      </c>
      <c r="C7" t="s">
        <v>10</v>
      </c>
      <c r="F7" s="69" t="s">
        <v>969</v>
      </c>
      <c r="G7" s="2" t="s">
        <v>3</v>
      </c>
      <c r="H7" t="str">
        <f t="shared" si="0"/>
        <v>SLOT0.CH58</v>
      </c>
      <c r="I7" s="62" t="s">
        <v>130</v>
      </c>
      <c r="J7" s="63" t="s">
        <v>246</v>
      </c>
      <c r="K7" t="s">
        <v>23</v>
      </c>
      <c r="L7" t="s">
        <v>24</v>
      </c>
      <c r="O7" t="s">
        <v>157</v>
      </c>
      <c r="P7" t="s">
        <v>158</v>
      </c>
      <c r="S7" t="s">
        <v>189</v>
      </c>
      <c r="T7" t="s">
        <v>190</v>
      </c>
    </row>
    <row r="8" spans="1:24" ht="15.75" customHeight="1">
      <c r="B8" t="s">
        <v>11</v>
      </c>
      <c r="C8" t="s">
        <v>12</v>
      </c>
      <c r="F8" s="69"/>
      <c r="G8" s="2" t="s">
        <v>5</v>
      </c>
      <c r="H8" t="str">
        <f t="shared" si="0"/>
        <v>SLOT0.CH47</v>
      </c>
      <c r="I8" s="62" t="s">
        <v>38</v>
      </c>
      <c r="J8" s="62" t="s">
        <v>244</v>
      </c>
      <c r="K8" t="s">
        <v>25</v>
      </c>
      <c r="L8" t="s">
        <v>26</v>
      </c>
      <c r="O8" t="s">
        <v>159</v>
      </c>
      <c r="P8" t="s">
        <v>160</v>
      </c>
      <c r="S8" t="s">
        <v>191</v>
      </c>
      <c r="T8" t="s">
        <v>192</v>
      </c>
    </row>
    <row r="9" spans="1:24">
      <c r="B9" t="s">
        <v>13</v>
      </c>
      <c r="C9" t="s">
        <v>14</v>
      </c>
      <c r="F9" s="69"/>
      <c r="G9" s="2" t="s">
        <v>13</v>
      </c>
      <c r="H9" t="str">
        <f t="shared" si="0"/>
        <v>SLOT0.CH52</v>
      </c>
      <c r="I9" s="62" t="s">
        <v>112</v>
      </c>
      <c r="J9" s="63" t="s">
        <v>252</v>
      </c>
      <c r="K9" t="s">
        <v>27</v>
      </c>
      <c r="L9" t="s">
        <v>28</v>
      </c>
      <c r="O9" t="s">
        <v>161</v>
      </c>
      <c r="P9" t="s">
        <v>162</v>
      </c>
      <c r="S9" t="s">
        <v>193</v>
      </c>
      <c r="T9" t="s">
        <v>194</v>
      </c>
    </row>
    <row r="10" spans="1:24" ht="15.75" customHeight="1">
      <c r="B10" t="s">
        <v>15</v>
      </c>
      <c r="C10" t="s">
        <v>16</v>
      </c>
      <c r="F10" s="69"/>
      <c r="G10" s="2" t="s">
        <v>11</v>
      </c>
      <c r="H10" t="str">
        <f t="shared" si="0"/>
        <v>SLOT0.CH49</v>
      </c>
      <c r="I10" s="62" t="s">
        <v>114</v>
      </c>
      <c r="J10" s="63" t="s">
        <v>424</v>
      </c>
      <c r="K10" t="s">
        <v>29</v>
      </c>
      <c r="L10" t="s">
        <v>30</v>
      </c>
      <c r="O10" t="s">
        <v>163</v>
      </c>
      <c r="P10" t="s">
        <v>164</v>
      </c>
      <c r="S10" t="s">
        <v>195</v>
      </c>
      <c r="T10" t="s">
        <v>196</v>
      </c>
    </row>
    <row r="11" spans="1:24">
      <c r="B11" t="s">
        <v>17</v>
      </c>
      <c r="C11" t="s">
        <v>18</v>
      </c>
      <c r="F11" s="69" t="s">
        <v>970</v>
      </c>
      <c r="G11" s="2" t="str">
        <f>REPLACE(G3,2,1,1)</f>
        <v>S1_DS_HSD085</v>
      </c>
      <c r="H11" t="str">
        <f t="shared" si="0"/>
        <v>SLOT1.CH63</v>
      </c>
      <c r="I11" s="63" t="s">
        <v>134</v>
      </c>
      <c r="J11" s="62" t="s">
        <v>4</v>
      </c>
      <c r="K11" t="s">
        <v>31</v>
      </c>
      <c r="L11" t="s">
        <v>32</v>
      </c>
      <c r="O11" t="s">
        <v>165</v>
      </c>
      <c r="P11" t="s">
        <v>166</v>
      </c>
      <c r="S11" t="s">
        <v>197</v>
      </c>
      <c r="T11" t="s">
        <v>198</v>
      </c>
    </row>
    <row r="12" spans="1:24">
      <c r="B12" t="s">
        <v>19</v>
      </c>
      <c r="C12" t="s">
        <v>20</v>
      </c>
      <c r="F12" s="69"/>
      <c r="G12" s="2" t="str">
        <f t="shared" ref="G12:G18" si="1">REPLACE(G4,2,1,1)</f>
        <v>S1_DS_HSD089</v>
      </c>
      <c r="H12" t="str">
        <f t="shared" si="0"/>
        <v>SLOT1.CH62</v>
      </c>
      <c r="I12" s="62" t="s">
        <v>118</v>
      </c>
      <c r="J12" s="62" t="s">
        <v>250</v>
      </c>
      <c r="K12" t="s">
        <v>33</v>
      </c>
      <c r="L12" t="s">
        <v>34</v>
      </c>
      <c r="O12" t="s">
        <v>167</v>
      </c>
      <c r="P12" t="s">
        <v>168</v>
      </c>
      <c r="S12" t="s">
        <v>199</v>
      </c>
      <c r="T12" t="s">
        <v>200</v>
      </c>
    </row>
    <row r="13" spans="1:24">
      <c r="B13" t="s">
        <v>21</v>
      </c>
      <c r="C13" t="s">
        <v>22</v>
      </c>
      <c r="F13" s="69"/>
      <c r="G13" s="2" t="str">
        <f t="shared" si="1"/>
        <v>S1_SCLK_DS_HSD064</v>
      </c>
      <c r="H13" t="str">
        <f t="shared" si="0"/>
        <v>SLOT1.CH59</v>
      </c>
      <c r="I13" s="62" t="s">
        <v>136</v>
      </c>
      <c r="J13" s="62" t="s">
        <v>14</v>
      </c>
      <c r="K13" t="s">
        <v>35</v>
      </c>
      <c r="L13" t="s">
        <v>36</v>
      </c>
      <c r="O13" t="s">
        <v>169</v>
      </c>
      <c r="P13" t="s">
        <v>170</v>
      </c>
      <c r="S13" t="s">
        <v>201</v>
      </c>
      <c r="T13" t="s">
        <v>202</v>
      </c>
    </row>
    <row r="14" spans="1:24">
      <c r="B14" t="s">
        <v>23</v>
      </c>
      <c r="C14" t="s">
        <v>24</v>
      </c>
      <c r="F14" s="69"/>
      <c r="G14" s="2" t="str">
        <f t="shared" si="1"/>
        <v>S1_SCLK_DS_HSD063</v>
      </c>
      <c r="H14" t="str">
        <f t="shared" si="0"/>
        <v>SLOT1.CH57</v>
      </c>
      <c r="I14" s="62" t="s">
        <v>116</v>
      </c>
      <c r="J14" s="63" t="s">
        <v>254</v>
      </c>
      <c r="K14" t="s">
        <v>37</v>
      </c>
      <c r="L14" t="s">
        <v>38</v>
      </c>
      <c r="O14" t="s">
        <v>171</v>
      </c>
      <c r="P14" t="s">
        <v>172</v>
      </c>
      <c r="S14" t="s">
        <v>383</v>
      </c>
      <c r="T14" t="s">
        <v>384</v>
      </c>
    </row>
    <row r="15" spans="1:24" ht="15.75" customHeight="1">
      <c r="B15" t="s">
        <v>25</v>
      </c>
      <c r="C15" t="s">
        <v>26</v>
      </c>
      <c r="F15" s="69" t="s">
        <v>971</v>
      </c>
      <c r="G15" s="2" t="str">
        <f t="shared" si="1"/>
        <v>S1_DS_GP_HSD303</v>
      </c>
      <c r="H15" t="str">
        <f t="shared" si="0"/>
        <v>SLOT1.CH45</v>
      </c>
      <c r="I15" s="63" t="s">
        <v>110</v>
      </c>
      <c r="J15" s="62" t="s">
        <v>426</v>
      </c>
      <c r="K15" t="s">
        <v>39</v>
      </c>
      <c r="L15" t="s">
        <v>40</v>
      </c>
      <c r="O15" t="s">
        <v>173</v>
      </c>
      <c r="P15" t="s">
        <v>174</v>
      </c>
      <c r="S15" t="s">
        <v>385</v>
      </c>
      <c r="T15" t="s">
        <v>386</v>
      </c>
    </row>
    <row r="16" spans="1:24">
      <c r="B16" t="s">
        <v>27</v>
      </c>
      <c r="C16" t="s">
        <v>28</v>
      </c>
      <c r="F16" s="69"/>
      <c r="G16" s="2" t="str">
        <f t="shared" si="1"/>
        <v>S1_DS_GP_HSD304</v>
      </c>
      <c r="H16" t="str">
        <f t="shared" si="0"/>
        <v>SLOT1.CH48</v>
      </c>
      <c r="I16" s="62" t="s">
        <v>132</v>
      </c>
      <c r="J16" s="63" t="s">
        <v>248</v>
      </c>
      <c r="K16" t="s">
        <v>41</v>
      </c>
      <c r="L16" t="s">
        <v>42</v>
      </c>
      <c r="O16" t="s">
        <v>175</v>
      </c>
      <c r="P16" t="s">
        <v>176</v>
      </c>
      <c r="S16" t="s">
        <v>387</v>
      </c>
      <c r="T16" t="s">
        <v>388</v>
      </c>
    </row>
    <row r="17" spans="2:20">
      <c r="B17" t="s">
        <v>29</v>
      </c>
      <c r="C17" t="s">
        <v>30</v>
      </c>
      <c r="F17" s="69"/>
      <c r="G17" s="2" t="str">
        <f t="shared" si="1"/>
        <v>S1_DS_HSD999</v>
      </c>
      <c r="H17" t="str">
        <f t="shared" si="0"/>
        <v>SLOT1.CH56</v>
      </c>
      <c r="I17" s="63" t="s">
        <v>12</v>
      </c>
      <c r="K17" t="s">
        <v>43</v>
      </c>
      <c r="L17" t="s">
        <v>44</v>
      </c>
      <c r="O17" t="s">
        <v>177</v>
      </c>
      <c r="P17" t="s">
        <v>178</v>
      </c>
      <c r="S17" t="s">
        <v>427</v>
      </c>
      <c r="T17" t="s">
        <v>428</v>
      </c>
    </row>
    <row r="18" spans="2:20" ht="15.75" customHeight="1">
      <c r="B18" t="s">
        <v>31</v>
      </c>
      <c r="C18" t="s">
        <v>32</v>
      </c>
      <c r="F18" s="69"/>
      <c r="G18" s="2" t="str">
        <f t="shared" si="1"/>
        <v>S1_DS_HSD998</v>
      </c>
      <c r="H18" t="str">
        <f t="shared" si="0"/>
        <v>SLOT1.CH51</v>
      </c>
      <c r="I18" s="62" t="s">
        <v>6</v>
      </c>
      <c r="K18" t="s">
        <v>45</v>
      </c>
      <c r="L18" t="s">
        <v>46</v>
      </c>
      <c r="O18" t="s">
        <v>179</v>
      </c>
      <c r="P18" t="s">
        <v>180</v>
      </c>
      <c r="S18" t="s">
        <v>429</v>
      </c>
      <c r="T18" t="s">
        <v>430</v>
      </c>
    </row>
    <row r="19" spans="2:20">
      <c r="B19" t="s">
        <v>33</v>
      </c>
      <c r="C19" t="s">
        <v>34</v>
      </c>
      <c r="F19" s="69" t="s">
        <v>972</v>
      </c>
      <c r="G19" s="2" t="str">
        <f>REPLACE(G11,2,1,2)</f>
        <v>S2_DS_HSD085</v>
      </c>
      <c r="H19" t="str">
        <f t="shared" si="0"/>
        <v>SLOT0.CH16</v>
      </c>
      <c r="I19" s="62" t="s">
        <v>838</v>
      </c>
      <c r="J19" s="62" t="s">
        <v>664</v>
      </c>
      <c r="K19" t="s">
        <v>47</v>
      </c>
      <c r="L19" t="s">
        <v>48</v>
      </c>
      <c r="O19" t="s">
        <v>181</v>
      </c>
      <c r="P19" t="s">
        <v>182</v>
      </c>
      <c r="S19" t="s">
        <v>431</v>
      </c>
      <c r="T19" t="s">
        <v>432</v>
      </c>
    </row>
    <row r="20" spans="2:20">
      <c r="B20" t="s">
        <v>35</v>
      </c>
      <c r="C20" t="s">
        <v>36</v>
      </c>
      <c r="F20" s="69"/>
      <c r="G20" s="2" t="str">
        <f t="shared" ref="G20:G26" si="2">REPLACE(G12,2,1,2)</f>
        <v>S2_DS_HSD089</v>
      </c>
      <c r="H20" t="str">
        <f t="shared" si="0"/>
        <v>SLOT0.CH2</v>
      </c>
      <c r="I20" s="62" t="s">
        <v>764</v>
      </c>
      <c r="J20" s="62" t="s">
        <v>666</v>
      </c>
      <c r="K20" t="s">
        <v>49</v>
      </c>
      <c r="L20" t="s">
        <v>50</v>
      </c>
      <c r="O20" t="s">
        <v>389</v>
      </c>
      <c r="P20" t="s">
        <v>390</v>
      </c>
      <c r="S20" t="s">
        <v>433</v>
      </c>
      <c r="T20" t="s">
        <v>434</v>
      </c>
    </row>
    <row r="21" spans="2:20">
      <c r="B21" t="s">
        <v>37</v>
      </c>
      <c r="C21" t="s">
        <v>38</v>
      </c>
      <c r="F21" s="69"/>
      <c r="G21" s="2" t="str">
        <f t="shared" si="2"/>
        <v>S2_SCLK_DS_HSD064</v>
      </c>
      <c r="H21" t="str">
        <f t="shared" si="0"/>
        <v>SLOT0.CH1</v>
      </c>
      <c r="I21" s="62" t="s">
        <v>854</v>
      </c>
      <c r="J21" s="62" t="s">
        <v>906</v>
      </c>
      <c r="K21" t="s">
        <v>51</v>
      </c>
      <c r="L21" t="s">
        <v>52</v>
      </c>
      <c r="O21" t="s">
        <v>391</v>
      </c>
      <c r="P21" t="s">
        <v>392</v>
      </c>
      <c r="S21" t="s">
        <v>435</v>
      </c>
      <c r="T21" t="s">
        <v>436</v>
      </c>
    </row>
    <row r="22" spans="2:20">
      <c r="B22" t="s">
        <v>39</v>
      </c>
      <c r="C22" t="s">
        <v>40</v>
      </c>
      <c r="F22" s="69"/>
      <c r="G22" s="2" t="str">
        <f t="shared" si="2"/>
        <v>S2_SCLK_DS_HSD063</v>
      </c>
      <c r="H22" t="str">
        <f t="shared" si="0"/>
        <v>SLOT0.CH0</v>
      </c>
      <c r="I22" s="63" t="s">
        <v>856</v>
      </c>
      <c r="J22" s="62" t="s">
        <v>904</v>
      </c>
      <c r="K22" t="s">
        <v>53</v>
      </c>
      <c r="L22" t="s">
        <v>54</v>
      </c>
      <c r="O22" t="s">
        <v>393</v>
      </c>
      <c r="P22" t="s">
        <v>394</v>
      </c>
      <c r="S22" t="s">
        <v>437</v>
      </c>
      <c r="T22" t="s">
        <v>438</v>
      </c>
    </row>
    <row r="23" spans="2:20">
      <c r="B23" t="s">
        <v>41</v>
      </c>
      <c r="C23" t="s">
        <v>42</v>
      </c>
      <c r="F23" s="69" t="s">
        <v>973</v>
      </c>
      <c r="G23" s="2" t="str">
        <f t="shared" si="2"/>
        <v>S2_DS_GP_HSD303</v>
      </c>
      <c r="H23" t="str">
        <f t="shared" si="0"/>
        <v>SLOT0.CH17</v>
      </c>
      <c r="I23" s="62" t="s">
        <v>756</v>
      </c>
      <c r="J23" s="63" t="s">
        <v>492</v>
      </c>
      <c r="K23" t="s">
        <v>55</v>
      </c>
      <c r="L23" t="s">
        <v>56</v>
      </c>
      <c r="O23" t="s">
        <v>395</v>
      </c>
      <c r="P23" t="s">
        <v>396</v>
      </c>
      <c r="S23" t="s">
        <v>439</v>
      </c>
      <c r="T23" t="s">
        <v>440</v>
      </c>
    </row>
    <row r="24" spans="2:20">
      <c r="B24" t="s">
        <v>43</v>
      </c>
      <c r="C24" t="s">
        <v>44</v>
      </c>
      <c r="F24" s="69"/>
      <c r="G24" s="2" t="str">
        <f t="shared" si="2"/>
        <v>S2_DS_GP_HSD304</v>
      </c>
      <c r="H24" t="str">
        <f t="shared" si="0"/>
        <v>SLOT0.CH14</v>
      </c>
      <c r="I24" s="62" t="s">
        <v>758</v>
      </c>
      <c r="J24" s="63" t="s">
        <v>490</v>
      </c>
      <c r="K24" t="s">
        <v>57</v>
      </c>
      <c r="L24" t="s">
        <v>58</v>
      </c>
      <c r="O24" t="s">
        <v>397</v>
      </c>
      <c r="P24" t="s">
        <v>398</v>
      </c>
      <c r="S24" t="s">
        <v>441</v>
      </c>
      <c r="T24" t="s">
        <v>442</v>
      </c>
    </row>
    <row r="25" spans="2:20" ht="15.75" customHeight="1">
      <c r="B25" t="s">
        <v>45</v>
      </c>
      <c r="C25" t="s">
        <v>46</v>
      </c>
      <c r="F25" s="69"/>
      <c r="G25" s="2" t="str">
        <f t="shared" si="2"/>
        <v>S2_DS_HSD999</v>
      </c>
      <c r="H25" t="str">
        <f t="shared" si="0"/>
        <v>SLOT0.CH8</v>
      </c>
      <c r="I25" s="63" t="s">
        <v>844</v>
      </c>
      <c r="J25" s="62" t="s">
        <v>728</v>
      </c>
      <c r="K25" t="s">
        <v>59</v>
      </c>
      <c r="L25" t="s">
        <v>60</v>
      </c>
      <c r="O25" t="s">
        <v>399</v>
      </c>
      <c r="P25" t="s">
        <v>400</v>
      </c>
      <c r="S25" t="s">
        <v>623</v>
      </c>
      <c r="T25" t="s">
        <v>624</v>
      </c>
    </row>
    <row r="26" spans="2:20">
      <c r="B26" t="s">
        <v>47</v>
      </c>
      <c r="C26" t="s">
        <v>48</v>
      </c>
      <c r="F26" s="69"/>
      <c r="G26" s="2" t="str">
        <f t="shared" si="2"/>
        <v>S2_DS_HSD998</v>
      </c>
      <c r="H26" t="str">
        <f t="shared" si="0"/>
        <v>SLOT0.CH7</v>
      </c>
      <c r="I26" s="63" t="s">
        <v>830</v>
      </c>
      <c r="J26" s="62" t="s">
        <v>730</v>
      </c>
      <c r="K26" t="s">
        <v>61</v>
      </c>
      <c r="L26" t="s">
        <v>62</v>
      </c>
      <c r="O26" t="s">
        <v>401</v>
      </c>
      <c r="P26" t="s">
        <v>402</v>
      </c>
      <c r="S26" t="s">
        <v>625</v>
      </c>
      <c r="T26" t="s">
        <v>626</v>
      </c>
    </row>
    <row r="27" spans="2:20">
      <c r="B27" t="s">
        <v>49</v>
      </c>
      <c r="C27" t="s">
        <v>50</v>
      </c>
      <c r="F27" s="69" t="s">
        <v>974</v>
      </c>
      <c r="G27" s="2" t="str">
        <f>REPLACE(G19,2,1,3)</f>
        <v>S3_DS_HSD085</v>
      </c>
      <c r="H27" t="str">
        <f t="shared" si="0"/>
        <v>SLOT1.CH0</v>
      </c>
      <c r="I27" s="63" t="s">
        <v>848</v>
      </c>
      <c r="J27" s="63" t="s">
        <v>484</v>
      </c>
      <c r="K27" t="s">
        <v>63</v>
      </c>
      <c r="L27" t="s">
        <v>64</v>
      </c>
      <c r="O27" t="s">
        <v>403</v>
      </c>
      <c r="P27" t="s">
        <v>404</v>
      </c>
      <c r="S27" t="s">
        <v>627</v>
      </c>
      <c r="T27" t="s">
        <v>628</v>
      </c>
    </row>
    <row r="28" spans="2:20">
      <c r="B28" t="s">
        <v>51</v>
      </c>
      <c r="C28" t="s">
        <v>52</v>
      </c>
      <c r="F28" s="69"/>
      <c r="G28" s="2" t="str">
        <f t="shared" ref="G28:G34" si="3">REPLACE(G20,2,1,3)</f>
        <v>S3_DS_HSD089</v>
      </c>
      <c r="H28" t="str">
        <f t="shared" si="0"/>
        <v>SLOT1.CH2</v>
      </c>
      <c r="I28" s="62" t="s">
        <v>760</v>
      </c>
      <c r="J28" s="63" t="s">
        <v>488</v>
      </c>
      <c r="K28" t="s">
        <v>65</v>
      </c>
      <c r="L28" t="s">
        <v>66</v>
      </c>
      <c r="O28" t="s">
        <v>405</v>
      </c>
      <c r="P28" t="s">
        <v>406</v>
      </c>
      <c r="S28" t="s">
        <v>667</v>
      </c>
      <c r="T28" t="s">
        <v>668</v>
      </c>
    </row>
    <row r="29" spans="2:20">
      <c r="B29" t="s">
        <v>53</v>
      </c>
      <c r="C29" t="s">
        <v>54</v>
      </c>
      <c r="F29" s="69"/>
      <c r="G29" s="2" t="str">
        <f t="shared" si="3"/>
        <v>S3_SCLK_DS_HSD064</v>
      </c>
      <c r="H29" t="str">
        <f t="shared" si="0"/>
        <v>SLOT1.CH17</v>
      </c>
      <c r="I29" s="62" t="s">
        <v>846</v>
      </c>
      <c r="J29" s="62" t="s">
        <v>486</v>
      </c>
      <c r="K29" t="s">
        <v>67</v>
      </c>
      <c r="L29" t="s">
        <v>68</v>
      </c>
      <c r="O29" t="s">
        <v>407</v>
      </c>
      <c r="P29" t="s">
        <v>408</v>
      </c>
      <c r="S29" t="s">
        <v>669</v>
      </c>
      <c r="T29" t="s">
        <v>670</v>
      </c>
    </row>
    <row r="30" spans="2:20">
      <c r="B30" t="s">
        <v>55</v>
      </c>
      <c r="C30" t="s">
        <v>56</v>
      </c>
      <c r="F30" s="69"/>
      <c r="G30" s="2" t="str">
        <f t="shared" si="3"/>
        <v>S3_SCLK_DS_HSD063</v>
      </c>
      <c r="H30" t="str">
        <f t="shared" si="0"/>
        <v>SLOT1.CH18</v>
      </c>
      <c r="I30" s="62" t="s">
        <v>752</v>
      </c>
      <c r="J30" s="63" t="s">
        <v>494</v>
      </c>
      <c r="K30" t="s">
        <v>69</v>
      </c>
      <c r="L30" t="s">
        <v>70</v>
      </c>
      <c r="O30" t="s">
        <v>409</v>
      </c>
      <c r="P30" t="s">
        <v>410</v>
      </c>
      <c r="S30" t="s">
        <v>671</v>
      </c>
      <c r="T30" t="s">
        <v>672</v>
      </c>
    </row>
    <row r="31" spans="2:20">
      <c r="B31" t="s">
        <v>57</v>
      </c>
      <c r="C31" t="s">
        <v>58</v>
      </c>
      <c r="F31" s="69" t="s">
        <v>975</v>
      </c>
      <c r="G31" s="2" t="str">
        <f t="shared" si="3"/>
        <v>S3_DS_GP_HSD303</v>
      </c>
      <c r="H31" s="64" t="str">
        <f t="shared" si="0"/>
        <v>SLOT1.CH1</v>
      </c>
      <c r="I31" s="64" t="s">
        <v>724</v>
      </c>
      <c r="K31" t="s">
        <v>71</v>
      </c>
      <c r="L31" t="s">
        <v>72</v>
      </c>
      <c r="O31" t="s">
        <v>411</v>
      </c>
      <c r="P31" t="s">
        <v>412</v>
      </c>
      <c r="S31" t="s">
        <v>673</v>
      </c>
      <c r="T31" t="s">
        <v>674</v>
      </c>
    </row>
    <row r="32" spans="2:20">
      <c r="B32" t="s">
        <v>59</v>
      </c>
      <c r="C32" t="s">
        <v>60</v>
      </c>
      <c r="F32" s="69"/>
      <c r="G32" s="2" t="str">
        <f t="shared" si="3"/>
        <v>S3_DS_GP_HSD304</v>
      </c>
      <c r="H32" s="64" t="str">
        <f t="shared" si="0"/>
        <v>SLOT1.CH16</v>
      </c>
      <c r="I32" s="64" t="s">
        <v>726</v>
      </c>
      <c r="K32" t="s">
        <v>73</v>
      </c>
      <c r="L32" t="s">
        <v>74</v>
      </c>
      <c r="O32" t="s">
        <v>413</v>
      </c>
      <c r="P32" t="s">
        <v>414</v>
      </c>
      <c r="S32" t="s">
        <v>675</v>
      </c>
      <c r="T32" t="s">
        <v>676</v>
      </c>
    </row>
    <row r="33" spans="2:20">
      <c r="B33" t="s">
        <v>61</v>
      </c>
      <c r="C33" t="s">
        <v>62</v>
      </c>
      <c r="F33" s="69"/>
      <c r="G33" s="2" t="str">
        <f t="shared" si="3"/>
        <v>S3_DS_HSD999</v>
      </c>
      <c r="H33" s="64" t="str">
        <f t="shared" si="0"/>
        <v>SLOT1.CH7</v>
      </c>
      <c r="I33" s="64" t="s">
        <v>734</v>
      </c>
      <c r="K33" t="s">
        <v>75</v>
      </c>
      <c r="L33" t="s">
        <v>76</v>
      </c>
      <c r="O33" t="s">
        <v>415</v>
      </c>
      <c r="P33" t="s">
        <v>416</v>
      </c>
      <c r="S33" t="s">
        <v>677</v>
      </c>
      <c r="T33" t="s">
        <v>678</v>
      </c>
    </row>
    <row r="34" spans="2:20">
      <c r="B34" t="s">
        <v>63</v>
      </c>
      <c r="C34" t="s">
        <v>64</v>
      </c>
      <c r="F34" s="69"/>
      <c r="G34" s="2" t="str">
        <f t="shared" si="3"/>
        <v>S3_DS_HSD998</v>
      </c>
      <c r="H34" s="64" t="str">
        <f t="shared" si="0"/>
        <v>SLOT1.CH13</v>
      </c>
      <c r="I34" s="64" t="s">
        <v>732</v>
      </c>
      <c r="K34" t="s">
        <v>77</v>
      </c>
      <c r="L34" t="s">
        <v>78</v>
      </c>
      <c r="O34" t="s">
        <v>417</v>
      </c>
      <c r="P34" t="s">
        <v>418</v>
      </c>
      <c r="S34" t="s">
        <v>679</v>
      </c>
      <c r="T34" t="s">
        <v>680</v>
      </c>
    </row>
    <row r="35" spans="2:20">
      <c r="B35" t="s">
        <v>65</v>
      </c>
      <c r="C35" t="s">
        <v>66</v>
      </c>
      <c r="K35" t="s">
        <v>79</v>
      </c>
      <c r="L35" t="s">
        <v>80</v>
      </c>
      <c r="O35" t="s">
        <v>419</v>
      </c>
      <c r="P35" t="s">
        <v>420</v>
      </c>
      <c r="S35" t="s">
        <v>681</v>
      </c>
      <c r="T35" t="s">
        <v>682</v>
      </c>
    </row>
    <row r="36" spans="2:20">
      <c r="B36" t="s">
        <v>67</v>
      </c>
      <c r="C36" t="s">
        <v>68</v>
      </c>
      <c r="K36" t="s">
        <v>81</v>
      </c>
      <c r="L36" t="s">
        <v>82</v>
      </c>
      <c r="O36" t="s">
        <v>421</v>
      </c>
      <c r="P36" t="s">
        <v>422</v>
      </c>
      <c r="S36" t="s">
        <v>863</v>
      </c>
      <c r="T36" t="s">
        <v>864</v>
      </c>
    </row>
    <row r="37" spans="2:20">
      <c r="B37" t="s">
        <v>69</v>
      </c>
      <c r="C37" t="s">
        <v>70</v>
      </c>
      <c r="K37" t="s">
        <v>83</v>
      </c>
      <c r="L37" t="s">
        <v>84</v>
      </c>
      <c r="O37" t="s">
        <v>629</v>
      </c>
      <c r="P37" t="s">
        <v>630</v>
      </c>
      <c r="S37" t="s">
        <v>865</v>
      </c>
      <c r="T37" t="s">
        <v>866</v>
      </c>
    </row>
    <row r="38" spans="2:20">
      <c r="B38" t="s">
        <v>71</v>
      </c>
      <c r="C38" t="s">
        <v>72</v>
      </c>
      <c r="K38" t="s">
        <v>85</v>
      </c>
      <c r="L38" t="s">
        <v>86</v>
      </c>
      <c r="O38" t="s">
        <v>631</v>
      </c>
      <c r="P38" t="s">
        <v>632</v>
      </c>
      <c r="S38" t="s">
        <v>867</v>
      </c>
      <c r="T38" t="s">
        <v>868</v>
      </c>
    </row>
    <row r="39" spans="2:20">
      <c r="B39" t="s">
        <v>73</v>
      </c>
      <c r="C39" t="s">
        <v>74</v>
      </c>
      <c r="K39" t="s">
        <v>87</v>
      </c>
      <c r="L39" t="s">
        <v>88</v>
      </c>
      <c r="O39" t="s">
        <v>633</v>
      </c>
      <c r="P39" t="s">
        <v>634</v>
      </c>
      <c r="S39" t="s">
        <v>907</v>
      </c>
      <c r="T39" t="s">
        <v>908</v>
      </c>
    </row>
    <row r="40" spans="2:20">
      <c r="B40" t="s">
        <v>75</v>
      </c>
      <c r="C40" t="s">
        <v>76</v>
      </c>
      <c r="K40" t="s">
        <v>89</v>
      </c>
      <c r="L40" t="s">
        <v>90</v>
      </c>
      <c r="O40" t="s">
        <v>635</v>
      </c>
      <c r="P40" t="s">
        <v>636</v>
      </c>
      <c r="S40" t="s">
        <v>909</v>
      </c>
      <c r="T40" t="s">
        <v>910</v>
      </c>
    </row>
    <row r="41" spans="2:20">
      <c r="B41" t="s">
        <v>77</v>
      </c>
      <c r="C41" t="s">
        <v>78</v>
      </c>
      <c r="K41" t="s">
        <v>91</v>
      </c>
      <c r="L41" t="s">
        <v>92</v>
      </c>
      <c r="O41" t="s">
        <v>637</v>
      </c>
      <c r="P41" t="s">
        <v>638</v>
      </c>
      <c r="S41" t="s">
        <v>911</v>
      </c>
      <c r="T41" t="s">
        <v>912</v>
      </c>
    </row>
    <row r="42" spans="2:20">
      <c r="B42" t="s">
        <v>79</v>
      </c>
      <c r="C42" t="s">
        <v>80</v>
      </c>
      <c r="K42" t="s">
        <v>93</v>
      </c>
      <c r="L42" t="s">
        <v>94</v>
      </c>
      <c r="O42" t="s">
        <v>639</v>
      </c>
      <c r="P42" t="s">
        <v>640</v>
      </c>
      <c r="S42" t="s">
        <v>913</v>
      </c>
      <c r="T42" t="s">
        <v>914</v>
      </c>
    </row>
    <row r="43" spans="2:20">
      <c r="B43" t="s">
        <v>81</v>
      </c>
      <c r="C43" t="s">
        <v>82</v>
      </c>
      <c r="K43" t="s">
        <v>95</v>
      </c>
      <c r="L43" t="s">
        <v>96</v>
      </c>
      <c r="O43" t="s">
        <v>641</v>
      </c>
      <c r="P43" t="s">
        <v>642</v>
      </c>
      <c r="S43" t="s">
        <v>915</v>
      </c>
      <c r="T43" t="s">
        <v>916</v>
      </c>
    </row>
    <row r="44" spans="2:20">
      <c r="B44" t="s">
        <v>83</v>
      </c>
      <c r="C44" t="s">
        <v>84</v>
      </c>
      <c r="K44" t="s">
        <v>97</v>
      </c>
      <c r="L44" t="s">
        <v>98</v>
      </c>
      <c r="O44" t="s">
        <v>643</v>
      </c>
      <c r="P44" t="s">
        <v>644</v>
      </c>
      <c r="S44" t="s">
        <v>917</v>
      </c>
      <c r="T44" t="s">
        <v>918</v>
      </c>
    </row>
    <row r="45" spans="2:20">
      <c r="B45" t="s">
        <v>85</v>
      </c>
      <c r="C45" t="s">
        <v>86</v>
      </c>
      <c r="K45" t="s">
        <v>99</v>
      </c>
      <c r="L45" t="s">
        <v>100</v>
      </c>
      <c r="O45" t="s">
        <v>645</v>
      </c>
      <c r="P45" t="s">
        <v>646</v>
      </c>
      <c r="S45" t="s">
        <v>919</v>
      </c>
      <c r="T45" t="s">
        <v>920</v>
      </c>
    </row>
    <row r="46" spans="2:20">
      <c r="B46" t="s">
        <v>87</v>
      </c>
      <c r="C46" t="s">
        <v>88</v>
      </c>
      <c r="K46" t="s">
        <v>101</v>
      </c>
      <c r="L46" t="s">
        <v>102</v>
      </c>
      <c r="O46" t="s">
        <v>647</v>
      </c>
      <c r="P46" t="s">
        <v>648</v>
      </c>
      <c r="S46" t="s">
        <v>921</v>
      </c>
      <c r="T46" t="s">
        <v>922</v>
      </c>
    </row>
    <row r="47" spans="2:20">
      <c r="B47" t="s">
        <v>89</v>
      </c>
      <c r="C47" t="s">
        <v>90</v>
      </c>
      <c r="K47" t="s">
        <v>103</v>
      </c>
      <c r="L47" t="s">
        <v>104</v>
      </c>
      <c r="O47" t="s">
        <v>649</v>
      </c>
      <c r="P47" t="s">
        <v>650</v>
      </c>
    </row>
    <row r="48" spans="2:20">
      <c r="B48" t="s">
        <v>91</v>
      </c>
      <c r="C48" t="s">
        <v>92</v>
      </c>
      <c r="K48" t="s">
        <v>105</v>
      </c>
      <c r="L48" t="s">
        <v>106</v>
      </c>
      <c r="O48" t="s">
        <v>651</v>
      </c>
      <c r="P48" t="s">
        <v>652</v>
      </c>
    </row>
    <row r="49" spans="2:16">
      <c r="B49" t="s">
        <v>93</v>
      </c>
      <c r="C49" t="s">
        <v>94</v>
      </c>
      <c r="K49" t="s">
        <v>107</v>
      </c>
      <c r="L49" t="s">
        <v>108</v>
      </c>
      <c r="O49" t="s">
        <v>653</v>
      </c>
      <c r="P49" t="s">
        <v>654</v>
      </c>
    </row>
    <row r="50" spans="2:16">
      <c r="B50" t="s">
        <v>95</v>
      </c>
      <c r="C50" t="s">
        <v>96</v>
      </c>
      <c r="K50" t="s">
        <v>109</v>
      </c>
      <c r="L50" t="s">
        <v>110</v>
      </c>
      <c r="O50" t="s">
        <v>655</v>
      </c>
      <c r="P50" t="s">
        <v>656</v>
      </c>
    </row>
    <row r="51" spans="2:16">
      <c r="B51" t="s">
        <v>97</v>
      </c>
      <c r="C51" t="s">
        <v>98</v>
      </c>
      <c r="K51" t="s">
        <v>111</v>
      </c>
      <c r="L51" t="s">
        <v>112</v>
      </c>
      <c r="O51" t="s">
        <v>657</v>
      </c>
      <c r="P51" t="s">
        <v>658</v>
      </c>
    </row>
    <row r="52" spans="2:16">
      <c r="B52" t="s">
        <v>99</v>
      </c>
      <c r="C52" t="s">
        <v>100</v>
      </c>
      <c r="K52" t="s">
        <v>113</v>
      </c>
      <c r="L52" t="s">
        <v>114</v>
      </c>
      <c r="O52" t="s">
        <v>659</v>
      </c>
      <c r="P52" t="s">
        <v>660</v>
      </c>
    </row>
    <row r="53" spans="2:16">
      <c r="B53" t="s">
        <v>101</v>
      </c>
      <c r="C53" t="s">
        <v>102</v>
      </c>
      <c r="K53" t="s">
        <v>115</v>
      </c>
      <c r="L53" t="s">
        <v>116</v>
      </c>
      <c r="O53" t="s">
        <v>661</v>
      </c>
      <c r="P53" t="s">
        <v>662</v>
      </c>
    </row>
    <row r="54" spans="2:16">
      <c r="B54" t="s">
        <v>103</v>
      </c>
      <c r="C54" t="s">
        <v>104</v>
      </c>
      <c r="K54" t="s">
        <v>117</v>
      </c>
      <c r="L54" t="s">
        <v>118</v>
      </c>
      <c r="O54" t="s">
        <v>869</v>
      </c>
      <c r="P54" t="s">
        <v>870</v>
      </c>
    </row>
    <row r="55" spans="2:16">
      <c r="B55" t="s">
        <v>105</v>
      </c>
      <c r="C55" t="s">
        <v>106</v>
      </c>
      <c r="K55" t="s">
        <v>119</v>
      </c>
      <c r="L55" t="s">
        <v>120</v>
      </c>
      <c r="O55" t="s">
        <v>871</v>
      </c>
      <c r="P55" t="s">
        <v>872</v>
      </c>
    </row>
    <row r="56" spans="2:16">
      <c r="B56" t="s">
        <v>107</v>
      </c>
      <c r="C56" t="s">
        <v>108</v>
      </c>
      <c r="K56" t="s">
        <v>121</v>
      </c>
      <c r="L56" t="s">
        <v>122</v>
      </c>
      <c r="O56" t="s">
        <v>873</v>
      </c>
      <c r="P56" t="s">
        <v>874</v>
      </c>
    </row>
    <row r="57" spans="2:16">
      <c r="B57" t="s">
        <v>109</v>
      </c>
      <c r="C57" t="s">
        <v>110</v>
      </c>
      <c r="K57" t="s">
        <v>123</v>
      </c>
      <c r="L57" t="s">
        <v>124</v>
      </c>
      <c r="O57" t="s">
        <v>875</v>
      </c>
      <c r="P57" t="s">
        <v>876</v>
      </c>
    </row>
    <row r="58" spans="2:16">
      <c r="B58" t="s">
        <v>111</v>
      </c>
      <c r="C58" t="s">
        <v>112</v>
      </c>
      <c r="K58" t="s">
        <v>125</v>
      </c>
      <c r="L58" t="s">
        <v>126</v>
      </c>
      <c r="O58" t="s">
        <v>877</v>
      </c>
      <c r="P58" t="s">
        <v>878</v>
      </c>
    </row>
    <row r="59" spans="2:16">
      <c r="B59" t="s">
        <v>113</v>
      </c>
      <c r="C59" t="s">
        <v>114</v>
      </c>
      <c r="K59" t="s">
        <v>127</v>
      </c>
      <c r="L59" t="s">
        <v>128</v>
      </c>
      <c r="O59" t="s">
        <v>879</v>
      </c>
      <c r="P59" t="s">
        <v>880</v>
      </c>
    </row>
    <row r="60" spans="2:16">
      <c r="B60" t="s">
        <v>115</v>
      </c>
      <c r="C60" t="s">
        <v>116</v>
      </c>
      <c r="K60" t="s">
        <v>129</v>
      </c>
      <c r="L60" t="s">
        <v>130</v>
      </c>
      <c r="O60" t="s">
        <v>881</v>
      </c>
      <c r="P60" t="s">
        <v>882</v>
      </c>
    </row>
    <row r="61" spans="2:16">
      <c r="B61" t="s">
        <v>117</v>
      </c>
      <c r="C61" t="s">
        <v>118</v>
      </c>
      <c r="K61" t="s">
        <v>131</v>
      </c>
      <c r="L61" t="s">
        <v>132</v>
      </c>
      <c r="O61" t="s">
        <v>883</v>
      </c>
      <c r="P61" t="s">
        <v>884</v>
      </c>
    </row>
    <row r="62" spans="2:16">
      <c r="B62" t="s">
        <v>119</v>
      </c>
      <c r="C62" t="s">
        <v>120</v>
      </c>
      <c r="K62" t="s">
        <v>133</v>
      </c>
      <c r="L62" t="s">
        <v>134</v>
      </c>
      <c r="O62" t="s">
        <v>885</v>
      </c>
      <c r="P62" t="s">
        <v>886</v>
      </c>
    </row>
    <row r="63" spans="2:16">
      <c r="B63" t="s">
        <v>121</v>
      </c>
      <c r="C63" t="s">
        <v>122</v>
      </c>
      <c r="K63" t="s">
        <v>135</v>
      </c>
      <c r="L63" t="s">
        <v>136</v>
      </c>
      <c r="O63" t="s">
        <v>887</v>
      </c>
      <c r="P63" t="s">
        <v>888</v>
      </c>
    </row>
    <row r="64" spans="2:16">
      <c r="B64" t="s">
        <v>123</v>
      </c>
      <c r="C64" t="s">
        <v>124</v>
      </c>
      <c r="K64" t="s">
        <v>137</v>
      </c>
      <c r="L64" t="s">
        <v>138</v>
      </c>
      <c r="O64" t="s">
        <v>889</v>
      </c>
      <c r="P64" t="s">
        <v>890</v>
      </c>
    </row>
    <row r="65" spans="2:16">
      <c r="B65" t="s">
        <v>125</v>
      </c>
      <c r="C65" t="s">
        <v>126</v>
      </c>
      <c r="K65" t="s">
        <v>139</v>
      </c>
      <c r="L65" t="s">
        <v>140</v>
      </c>
      <c r="O65" t="s">
        <v>891</v>
      </c>
      <c r="P65" t="s">
        <v>892</v>
      </c>
    </row>
    <row r="66" spans="2:16">
      <c r="B66" t="s">
        <v>127</v>
      </c>
      <c r="C66" t="s">
        <v>128</v>
      </c>
      <c r="K66" t="s">
        <v>141</v>
      </c>
      <c r="L66" t="s">
        <v>142</v>
      </c>
      <c r="O66" t="s">
        <v>893</v>
      </c>
      <c r="P66" t="s">
        <v>894</v>
      </c>
    </row>
    <row r="67" spans="2:16">
      <c r="B67" t="s">
        <v>129</v>
      </c>
      <c r="C67" t="s">
        <v>130</v>
      </c>
      <c r="K67" t="s">
        <v>235</v>
      </c>
      <c r="L67" t="s">
        <v>236</v>
      </c>
      <c r="O67" t="s">
        <v>895</v>
      </c>
      <c r="P67" t="s">
        <v>896</v>
      </c>
    </row>
    <row r="68" spans="2:16">
      <c r="B68" t="s">
        <v>131</v>
      </c>
      <c r="C68" t="s">
        <v>132</v>
      </c>
      <c r="K68" t="s">
        <v>237</v>
      </c>
      <c r="L68" t="s">
        <v>238</v>
      </c>
      <c r="O68" t="s">
        <v>897</v>
      </c>
      <c r="P68" t="s">
        <v>898</v>
      </c>
    </row>
    <row r="69" spans="2:16">
      <c r="B69" t="s">
        <v>133</v>
      </c>
      <c r="C69" t="s">
        <v>134</v>
      </c>
      <c r="K69" t="s">
        <v>239</v>
      </c>
      <c r="L69" t="s">
        <v>240</v>
      </c>
      <c r="O69" t="s">
        <v>899</v>
      </c>
      <c r="P69" t="s">
        <v>900</v>
      </c>
    </row>
    <row r="70" spans="2:16">
      <c r="B70" t="s">
        <v>135</v>
      </c>
      <c r="C70" t="s">
        <v>136</v>
      </c>
      <c r="K70" t="s">
        <v>255</v>
      </c>
      <c r="L70" t="s">
        <v>256</v>
      </c>
      <c r="O70" t="s">
        <v>901</v>
      </c>
      <c r="P70" t="s">
        <v>902</v>
      </c>
    </row>
    <row r="71" spans="2:16">
      <c r="B71" t="s">
        <v>137</v>
      </c>
      <c r="C71" t="s">
        <v>138</v>
      </c>
      <c r="K71" t="s">
        <v>257</v>
      </c>
      <c r="L71" t="s">
        <v>258</v>
      </c>
      <c r="O71" t="s">
        <v>203</v>
      </c>
      <c r="P71" t="s">
        <v>204</v>
      </c>
    </row>
    <row r="72" spans="2:16">
      <c r="B72" t="s">
        <v>139</v>
      </c>
      <c r="C72" t="s">
        <v>140</v>
      </c>
      <c r="K72" t="s">
        <v>259</v>
      </c>
      <c r="L72" t="s">
        <v>260</v>
      </c>
      <c r="O72" t="s">
        <v>205</v>
      </c>
      <c r="P72" t="s">
        <v>206</v>
      </c>
    </row>
    <row r="73" spans="2:16">
      <c r="B73" t="s">
        <v>141</v>
      </c>
      <c r="C73" t="s">
        <v>142</v>
      </c>
      <c r="K73" t="s">
        <v>261</v>
      </c>
      <c r="L73" t="s">
        <v>262</v>
      </c>
      <c r="O73" t="s">
        <v>207</v>
      </c>
      <c r="P73" t="s">
        <v>208</v>
      </c>
    </row>
    <row r="74" spans="2:16">
      <c r="B74" t="s">
        <v>143</v>
      </c>
      <c r="C74" t="s">
        <v>144</v>
      </c>
      <c r="K74" t="s">
        <v>263</v>
      </c>
      <c r="L74" t="s">
        <v>264</v>
      </c>
      <c r="O74" t="s">
        <v>209</v>
      </c>
      <c r="P74" t="s">
        <v>210</v>
      </c>
    </row>
    <row r="75" spans="2:16">
      <c r="B75" t="s">
        <v>145</v>
      </c>
      <c r="C75" t="s">
        <v>146</v>
      </c>
      <c r="K75" t="s">
        <v>265</v>
      </c>
      <c r="L75" t="s">
        <v>266</v>
      </c>
      <c r="O75" t="s">
        <v>211</v>
      </c>
      <c r="P75" t="s">
        <v>212</v>
      </c>
    </row>
    <row r="76" spans="2:16">
      <c r="B76" t="s">
        <v>147</v>
      </c>
      <c r="C76" t="s">
        <v>148</v>
      </c>
      <c r="K76" t="s">
        <v>267</v>
      </c>
      <c r="L76" t="s">
        <v>268</v>
      </c>
      <c r="O76" t="s">
        <v>213</v>
      </c>
      <c r="P76" t="s">
        <v>214</v>
      </c>
    </row>
    <row r="77" spans="2:16">
      <c r="B77" t="s">
        <v>149</v>
      </c>
      <c r="C77" t="s">
        <v>150</v>
      </c>
      <c r="K77" t="s">
        <v>269</v>
      </c>
      <c r="L77" t="s">
        <v>270</v>
      </c>
      <c r="O77" t="s">
        <v>215</v>
      </c>
      <c r="P77" t="s">
        <v>216</v>
      </c>
    </row>
    <row r="78" spans="2:16">
      <c r="B78" t="s">
        <v>151</v>
      </c>
      <c r="C78" t="s">
        <v>152</v>
      </c>
      <c r="K78" t="s">
        <v>271</v>
      </c>
      <c r="L78" t="s">
        <v>272</v>
      </c>
      <c r="O78" t="s">
        <v>217</v>
      </c>
      <c r="P78" t="s">
        <v>218</v>
      </c>
    </row>
    <row r="79" spans="2:16">
      <c r="B79" t="s">
        <v>153</v>
      </c>
      <c r="C79" t="s">
        <v>154</v>
      </c>
      <c r="K79" t="s">
        <v>273</v>
      </c>
      <c r="L79" t="s">
        <v>274</v>
      </c>
      <c r="O79" t="s">
        <v>219</v>
      </c>
      <c r="P79" t="s">
        <v>220</v>
      </c>
    </row>
    <row r="80" spans="2:16">
      <c r="B80" t="s">
        <v>155</v>
      </c>
      <c r="C80" t="s">
        <v>156</v>
      </c>
      <c r="K80" t="s">
        <v>275</v>
      </c>
      <c r="L80" t="s">
        <v>276</v>
      </c>
      <c r="O80" t="s">
        <v>221</v>
      </c>
      <c r="P80" t="s">
        <v>222</v>
      </c>
    </row>
    <row r="81" spans="2:16">
      <c r="B81" t="s">
        <v>157</v>
      </c>
      <c r="C81" t="s">
        <v>158</v>
      </c>
      <c r="K81" t="s">
        <v>277</v>
      </c>
      <c r="L81" t="s">
        <v>278</v>
      </c>
      <c r="O81" t="s">
        <v>223</v>
      </c>
      <c r="P81" t="s">
        <v>224</v>
      </c>
    </row>
    <row r="82" spans="2:16">
      <c r="B82" t="s">
        <v>159</v>
      </c>
      <c r="C82" t="s">
        <v>160</v>
      </c>
      <c r="K82" t="s">
        <v>279</v>
      </c>
      <c r="L82" t="s">
        <v>280</v>
      </c>
      <c r="O82" t="s">
        <v>225</v>
      </c>
      <c r="P82" t="s">
        <v>226</v>
      </c>
    </row>
    <row r="83" spans="2:16">
      <c r="B83" t="s">
        <v>161</v>
      </c>
      <c r="C83" t="s">
        <v>162</v>
      </c>
      <c r="K83" t="s">
        <v>281</v>
      </c>
      <c r="L83" t="s">
        <v>282</v>
      </c>
      <c r="O83" t="s">
        <v>227</v>
      </c>
      <c r="P83" t="s">
        <v>228</v>
      </c>
    </row>
    <row r="84" spans="2:16">
      <c r="B84" t="s">
        <v>163</v>
      </c>
      <c r="C84" t="s">
        <v>164</v>
      </c>
      <c r="K84" t="s">
        <v>283</v>
      </c>
      <c r="L84" t="s">
        <v>284</v>
      </c>
      <c r="O84" t="s">
        <v>229</v>
      </c>
      <c r="P84" t="s">
        <v>230</v>
      </c>
    </row>
    <row r="85" spans="2:16">
      <c r="B85" t="s">
        <v>165</v>
      </c>
      <c r="C85" t="s">
        <v>166</v>
      </c>
      <c r="K85" t="s">
        <v>285</v>
      </c>
      <c r="L85" t="s">
        <v>286</v>
      </c>
      <c r="O85" t="s">
        <v>231</v>
      </c>
      <c r="P85" t="s">
        <v>232</v>
      </c>
    </row>
    <row r="86" spans="2:16">
      <c r="B86" t="s">
        <v>167</v>
      </c>
      <c r="C86" t="s">
        <v>168</v>
      </c>
      <c r="K86" t="s">
        <v>287</v>
      </c>
      <c r="L86" t="s">
        <v>288</v>
      </c>
      <c r="O86" t="s">
        <v>233</v>
      </c>
      <c r="P86" t="s">
        <v>234</v>
      </c>
    </row>
    <row r="87" spans="2:16">
      <c r="B87" t="s">
        <v>169</v>
      </c>
      <c r="C87" t="s">
        <v>170</v>
      </c>
      <c r="K87" t="s">
        <v>289</v>
      </c>
      <c r="L87" t="s">
        <v>290</v>
      </c>
      <c r="O87" t="s">
        <v>443</v>
      </c>
      <c r="P87" t="s">
        <v>444</v>
      </c>
    </row>
    <row r="88" spans="2:16">
      <c r="B88" t="s">
        <v>171</v>
      </c>
      <c r="C88" t="s">
        <v>172</v>
      </c>
      <c r="K88" t="s">
        <v>291</v>
      </c>
      <c r="L88" t="s">
        <v>292</v>
      </c>
      <c r="O88" t="s">
        <v>445</v>
      </c>
      <c r="P88" t="s">
        <v>446</v>
      </c>
    </row>
    <row r="89" spans="2:16">
      <c r="B89" t="s">
        <v>173</v>
      </c>
      <c r="C89" t="s">
        <v>174</v>
      </c>
      <c r="K89" t="s">
        <v>293</v>
      </c>
      <c r="L89" t="s">
        <v>294</v>
      </c>
      <c r="O89" t="s">
        <v>447</v>
      </c>
      <c r="P89" t="s">
        <v>448</v>
      </c>
    </row>
    <row r="90" spans="2:16">
      <c r="B90" t="s">
        <v>175</v>
      </c>
      <c r="C90" t="s">
        <v>176</v>
      </c>
      <c r="K90" t="s">
        <v>295</v>
      </c>
      <c r="L90" t="s">
        <v>296</v>
      </c>
      <c r="O90" t="s">
        <v>449</v>
      </c>
      <c r="P90" t="s">
        <v>450</v>
      </c>
    </row>
    <row r="91" spans="2:16">
      <c r="B91" t="s">
        <v>177</v>
      </c>
      <c r="C91" t="s">
        <v>178</v>
      </c>
      <c r="K91" t="s">
        <v>297</v>
      </c>
      <c r="L91" t="s">
        <v>298</v>
      </c>
      <c r="O91" t="s">
        <v>451</v>
      </c>
      <c r="P91" t="s">
        <v>452</v>
      </c>
    </row>
    <row r="92" spans="2:16">
      <c r="B92" t="s">
        <v>179</v>
      </c>
      <c r="C92" t="s">
        <v>180</v>
      </c>
      <c r="K92" t="s">
        <v>299</v>
      </c>
      <c r="L92" t="s">
        <v>300</v>
      </c>
      <c r="O92" t="s">
        <v>453</v>
      </c>
      <c r="P92" t="s">
        <v>454</v>
      </c>
    </row>
    <row r="93" spans="2:16">
      <c r="B93" t="s">
        <v>181</v>
      </c>
      <c r="C93" t="s">
        <v>182</v>
      </c>
      <c r="K93" t="s">
        <v>301</v>
      </c>
      <c r="L93" t="s">
        <v>302</v>
      </c>
      <c r="O93" t="s">
        <v>455</v>
      </c>
      <c r="P93" t="s">
        <v>456</v>
      </c>
    </row>
    <row r="94" spans="2:16">
      <c r="B94" t="s">
        <v>183</v>
      </c>
      <c r="C94" t="s">
        <v>184</v>
      </c>
      <c r="K94" t="s">
        <v>303</v>
      </c>
      <c r="L94" t="s">
        <v>304</v>
      </c>
      <c r="O94" t="s">
        <v>457</v>
      </c>
      <c r="P94" t="s">
        <v>458</v>
      </c>
    </row>
    <row r="95" spans="2:16">
      <c r="B95" t="s">
        <v>185</v>
      </c>
      <c r="C95" t="s">
        <v>186</v>
      </c>
      <c r="K95" t="s">
        <v>305</v>
      </c>
      <c r="L95" t="s">
        <v>306</v>
      </c>
      <c r="O95" t="s">
        <v>459</v>
      </c>
      <c r="P95" t="s">
        <v>460</v>
      </c>
    </row>
    <row r="96" spans="2:16">
      <c r="B96" t="s">
        <v>187</v>
      </c>
      <c r="C96" t="s">
        <v>188</v>
      </c>
      <c r="K96" t="s">
        <v>307</v>
      </c>
      <c r="L96" t="s">
        <v>308</v>
      </c>
      <c r="O96" t="s">
        <v>461</v>
      </c>
      <c r="P96" t="s">
        <v>462</v>
      </c>
    </row>
    <row r="97" spans="2:16">
      <c r="B97" t="s">
        <v>189</v>
      </c>
      <c r="C97" t="s">
        <v>190</v>
      </c>
      <c r="K97" t="s">
        <v>309</v>
      </c>
      <c r="L97" t="s">
        <v>310</v>
      </c>
      <c r="O97" t="s">
        <v>463</v>
      </c>
      <c r="P97" t="s">
        <v>464</v>
      </c>
    </row>
    <row r="98" spans="2:16">
      <c r="B98" t="s">
        <v>191</v>
      </c>
      <c r="C98" t="s">
        <v>192</v>
      </c>
      <c r="K98" t="s">
        <v>311</v>
      </c>
      <c r="L98" t="s">
        <v>312</v>
      </c>
      <c r="O98" t="s">
        <v>465</v>
      </c>
      <c r="P98" t="s">
        <v>466</v>
      </c>
    </row>
    <row r="99" spans="2:16">
      <c r="B99" t="s">
        <v>193</v>
      </c>
      <c r="C99" t="s">
        <v>194</v>
      </c>
      <c r="K99" t="s">
        <v>313</v>
      </c>
      <c r="L99" t="s">
        <v>314</v>
      </c>
      <c r="O99" t="s">
        <v>467</v>
      </c>
      <c r="P99" t="s">
        <v>468</v>
      </c>
    </row>
    <row r="100" spans="2:16">
      <c r="B100" t="s">
        <v>195</v>
      </c>
      <c r="C100" t="s">
        <v>196</v>
      </c>
      <c r="K100" t="s">
        <v>315</v>
      </c>
      <c r="L100" t="s">
        <v>316</v>
      </c>
      <c r="O100" t="s">
        <v>469</v>
      </c>
      <c r="P100" t="s">
        <v>470</v>
      </c>
    </row>
    <row r="101" spans="2:16">
      <c r="B101" t="s">
        <v>197</v>
      </c>
      <c r="C101" t="s">
        <v>198</v>
      </c>
      <c r="K101" t="s">
        <v>317</v>
      </c>
      <c r="L101" t="s">
        <v>318</v>
      </c>
      <c r="O101" t="s">
        <v>471</v>
      </c>
      <c r="P101" t="s">
        <v>472</v>
      </c>
    </row>
    <row r="102" spans="2:16">
      <c r="B102" t="s">
        <v>199</v>
      </c>
      <c r="C102" t="s">
        <v>200</v>
      </c>
      <c r="K102" t="s">
        <v>319</v>
      </c>
      <c r="L102" t="s">
        <v>320</v>
      </c>
      <c r="O102" t="s">
        <v>473</v>
      </c>
      <c r="P102" t="s">
        <v>474</v>
      </c>
    </row>
    <row r="103" spans="2:16">
      <c r="B103" t="s">
        <v>201</v>
      </c>
      <c r="C103" t="s">
        <v>202</v>
      </c>
      <c r="K103" t="s">
        <v>321</v>
      </c>
      <c r="L103" t="s">
        <v>322</v>
      </c>
      <c r="O103" t="s">
        <v>683</v>
      </c>
      <c r="P103" t="s">
        <v>684</v>
      </c>
    </row>
    <row r="104" spans="2:16">
      <c r="B104" t="s">
        <v>203</v>
      </c>
      <c r="C104" t="s">
        <v>204</v>
      </c>
      <c r="K104" t="s">
        <v>323</v>
      </c>
      <c r="L104" t="s">
        <v>324</v>
      </c>
      <c r="O104" t="s">
        <v>685</v>
      </c>
      <c r="P104" t="s">
        <v>686</v>
      </c>
    </row>
    <row r="105" spans="2:16">
      <c r="B105" t="s">
        <v>205</v>
      </c>
      <c r="C105" t="s">
        <v>206</v>
      </c>
      <c r="K105" t="s">
        <v>325</v>
      </c>
      <c r="L105" t="s">
        <v>326</v>
      </c>
      <c r="O105" t="s">
        <v>687</v>
      </c>
      <c r="P105" t="s">
        <v>688</v>
      </c>
    </row>
    <row r="106" spans="2:16">
      <c r="B106" t="s">
        <v>207</v>
      </c>
      <c r="C106" t="s">
        <v>208</v>
      </c>
      <c r="K106" t="s">
        <v>327</v>
      </c>
      <c r="L106" t="s">
        <v>328</v>
      </c>
      <c r="O106" t="s">
        <v>689</v>
      </c>
      <c r="P106" t="s">
        <v>690</v>
      </c>
    </row>
    <row r="107" spans="2:16">
      <c r="B107" t="s">
        <v>209</v>
      </c>
      <c r="C107" t="s">
        <v>210</v>
      </c>
      <c r="K107" t="s">
        <v>329</v>
      </c>
      <c r="L107" t="s">
        <v>330</v>
      </c>
      <c r="O107" t="s">
        <v>691</v>
      </c>
      <c r="P107" t="s">
        <v>692</v>
      </c>
    </row>
    <row r="108" spans="2:16">
      <c r="B108" t="s">
        <v>211</v>
      </c>
      <c r="C108" t="s">
        <v>212</v>
      </c>
      <c r="K108" t="s">
        <v>331</v>
      </c>
      <c r="L108" t="s">
        <v>332</v>
      </c>
      <c r="O108" t="s">
        <v>693</v>
      </c>
      <c r="P108" t="s">
        <v>694</v>
      </c>
    </row>
    <row r="109" spans="2:16">
      <c r="B109" t="s">
        <v>213</v>
      </c>
      <c r="C109" t="s">
        <v>214</v>
      </c>
      <c r="K109" t="s">
        <v>333</v>
      </c>
      <c r="L109" t="s">
        <v>334</v>
      </c>
      <c r="O109" t="s">
        <v>695</v>
      </c>
      <c r="P109" t="s">
        <v>696</v>
      </c>
    </row>
    <row r="110" spans="2:16">
      <c r="B110" t="s">
        <v>215</v>
      </c>
      <c r="C110" t="s">
        <v>216</v>
      </c>
      <c r="K110" t="s">
        <v>335</v>
      </c>
      <c r="L110" t="s">
        <v>336</v>
      </c>
      <c r="O110" t="s">
        <v>697</v>
      </c>
      <c r="P110" t="s">
        <v>698</v>
      </c>
    </row>
    <row r="111" spans="2:16">
      <c r="B111" t="s">
        <v>217</v>
      </c>
      <c r="C111" t="s">
        <v>218</v>
      </c>
      <c r="K111" t="s">
        <v>337</v>
      </c>
      <c r="L111" t="s">
        <v>338</v>
      </c>
      <c r="O111" t="s">
        <v>699</v>
      </c>
      <c r="P111" t="s">
        <v>700</v>
      </c>
    </row>
    <row r="112" spans="2:16">
      <c r="B112" t="s">
        <v>219</v>
      </c>
      <c r="C112" t="s">
        <v>220</v>
      </c>
      <c r="K112" t="s">
        <v>339</v>
      </c>
      <c r="L112" t="s">
        <v>340</v>
      </c>
      <c r="O112" t="s">
        <v>701</v>
      </c>
      <c r="P112" t="s">
        <v>702</v>
      </c>
    </row>
    <row r="113" spans="2:16">
      <c r="B113" t="s">
        <v>221</v>
      </c>
      <c r="C113" t="s">
        <v>222</v>
      </c>
      <c r="K113" t="s">
        <v>341</v>
      </c>
      <c r="L113" t="s">
        <v>342</v>
      </c>
      <c r="O113" t="s">
        <v>703</v>
      </c>
      <c r="P113" t="s">
        <v>704</v>
      </c>
    </row>
    <row r="114" spans="2:16">
      <c r="B114" t="s">
        <v>223</v>
      </c>
      <c r="C114" t="s">
        <v>224</v>
      </c>
      <c r="K114" t="s">
        <v>343</v>
      </c>
      <c r="L114" t="s">
        <v>344</v>
      </c>
      <c r="O114" t="s">
        <v>705</v>
      </c>
      <c r="P114" t="s">
        <v>706</v>
      </c>
    </row>
    <row r="115" spans="2:16">
      <c r="B115" t="s">
        <v>225</v>
      </c>
      <c r="C115" t="s">
        <v>226</v>
      </c>
      <c r="K115" t="s">
        <v>345</v>
      </c>
      <c r="L115" t="s">
        <v>346</v>
      </c>
      <c r="O115" t="s">
        <v>707</v>
      </c>
      <c r="P115" t="s">
        <v>708</v>
      </c>
    </row>
    <row r="116" spans="2:16">
      <c r="B116" t="s">
        <v>227</v>
      </c>
      <c r="C116" t="s">
        <v>228</v>
      </c>
      <c r="K116" t="s">
        <v>347</v>
      </c>
      <c r="L116" t="s">
        <v>348</v>
      </c>
      <c r="O116" t="s">
        <v>709</v>
      </c>
      <c r="P116" t="s">
        <v>710</v>
      </c>
    </row>
    <row r="117" spans="2:16">
      <c r="B117" t="s">
        <v>229</v>
      </c>
      <c r="C117" t="s">
        <v>230</v>
      </c>
      <c r="K117" t="s">
        <v>349</v>
      </c>
      <c r="L117" t="s">
        <v>350</v>
      </c>
      <c r="O117" t="s">
        <v>711</v>
      </c>
      <c r="P117" t="s">
        <v>712</v>
      </c>
    </row>
    <row r="118" spans="2:16">
      <c r="B118" t="s">
        <v>231</v>
      </c>
      <c r="C118" t="s">
        <v>232</v>
      </c>
      <c r="K118" t="s">
        <v>351</v>
      </c>
      <c r="L118" t="s">
        <v>352</v>
      </c>
      <c r="O118" t="s">
        <v>713</v>
      </c>
      <c r="P118" t="s">
        <v>714</v>
      </c>
    </row>
    <row r="119" spans="2:16">
      <c r="B119" t="s">
        <v>233</v>
      </c>
      <c r="C119" t="s">
        <v>234</v>
      </c>
      <c r="K119" t="s">
        <v>353</v>
      </c>
      <c r="L119" t="s">
        <v>354</v>
      </c>
      <c r="O119" t="s">
        <v>923</v>
      </c>
      <c r="P119" t="s">
        <v>924</v>
      </c>
    </row>
    <row r="120" spans="2:16">
      <c r="B120" t="s">
        <v>235</v>
      </c>
      <c r="C120" t="s">
        <v>236</v>
      </c>
      <c r="K120" t="s">
        <v>355</v>
      </c>
      <c r="L120" t="s">
        <v>356</v>
      </c>
      <c r="O120" t="s">
        <v>925</v>
      </c>
      <c r="P120" t="s">
        <v>926</v>
      </c>
    </row>
    <row r="121" spans="2:16">
      <c r="B121" t="s">
        <v>237</v>
      </c>
      <c r="C121" t="s">
        <v>238</v>
      </c>
      <c r="K121" t="s">
        <v>357</v>
      </c>
      <c r="L121" t="s">
        <v>358</v>
      </c>
      <c r="O121" t="s">
        <v>927</v>
      </c>
      <c r="P121" t="s">
        <v>928</v>
      </c>
    </row>
    <row r="122" spans="2:16">
      <c r="B122" t="s">
        <v>239</v>
      </c>
      <c r="C122" t="s">
        <v>240</v>
      </c>
      <c r="K122" t="s">
        <v>359</v>
      </c>
      <c r="L122" t="s">
        <v>360</v>
      </c>
      <c r="O122" t="s">
        <v>929</v>
      </c>
      <c r="P122" t="s">
        <v>930</v>
      </c>
    </row>
    <row r="123" spans="2:16">
      <c r="B123" t="s">
        <v>241</v>
      </c>
      <c r="C123" t="s">
        <v>242</v>
      </c>
      <c r="K123" t="s">
        <v>361</v>
      </c>
      <c r="L123" t="s">
        <v>362</v>
      </c>
      <c r="O123" t="s">
        <v>931</v>
      </c>
      <c r="P123" t="s">
        <v>932</v>
      </c>
    </row>
    <row r="124" spans="2:16">
      <c r="B124" t="s">
        <v>243</v>
      </c>
      <c r="C124" t="s">
        <v>244</v>
      </c>
      <c r="K124" t="s">
        <v>363</v>
      </c>
      <c r="L124" t="s">
        <v>364</v>
      </c>
      <c r="O124" t="s">
        <v>933</v>
      </c>
      <c r="P124" t="s">
        <v>934</v>
      </c>
    </row>
    <row r="125" spans="2:16">
      <c r="B125" t="s">
        <v>245</v>
      </c>
      <c r="C125" t="s">
        <v>246</v>
      </c>
      <c r="K125" t="s">
        <v>365</v>
      </c>
      <c r="L125" t="s">
        <v>366</v>
      </c>
      <c r="O125" t="s">
        <v>935</v>
      </c>
      <c r="P125" t="s">
        <v>936</v>
      </c>
    </row>
    <row r="126" spans="2:16">
      <c r="B126" t="s">
        <v>247</v>
      </c>
      <c r="C126" t="s">
        <v>248</v>
      </c>
      <c r="K126" t="s">
        <v>367</v>
      </c>
      <c r="L126" t="s">
        <v>368</v>
      </c>
      <c r="O126" t="s">
        <v>937</v>
      </c>
      <c r="P126" t="s">
        <v>938</v>
      </c>
    </row>
    <row r="127" spans="2:16">
      <c r="B127" t="s">
        <v>249</v>
      </c>
      <c r="C127" t="s">
        <v>250</v>
      </c>
      <c r="K127" t="s">
        <v>369</v>
      </c>
      <c r="L127" t="s">
        <v>370</v>
      </c>
      <c r="O127" t="s">
        <v>939</v>
      </c>
      <c r="P127" t="s">
        <v>940</v>
      </c>
    </row>
    <row r="128" spans="2:16">
      <c r="B128" t="s">
        <v>251</v>
      </c>
      <c r="C128" t="s">
        <v>252</v>
      </c>
      <c r="K128" t="s">
        <v>371</v>
      </c>
      <c r="L128" t="s">
        <v>372</v>
      </c>
      <c r="O128" t="s">
        <v>941</v>
      </c>
      <c r="P128" t="s">
        <v>942</v>
      </c>
    </row>
    <row r="129" spans="2:16">
      <c r="B129" t="s">
        <v>253</v>
      </c>
      <c r="C129" t="s">
        <v>254</v>
      </c>
      <c r="K129" t="s">
        <v>373</v>
      </c>
      <c r="L129" t="s">
        <v>374</v>
      </c>
      <c r="O129" t="s">
        <v>943</v>
      </c>
      <c r="P129" t="s">
        <v>944</v>
      </c>
    </row>
    <row r="130" spans="2:16">
      <c r="B130" t="s">
        <v>255</v>
      </c>
      <c r="C130" t="s">
        <v>256</v>
      </c>
      <c r="K130" t="s">
        <v>375</v>
      </c>
      <c r="L130" t="s">
        <v>376</v>
      </c>
      <c r="O130" t="s">
        <v>945</v>
      </c>
      <c r="P130" t="s">
        <v>946</v>
      </c>
    </row>
    <row r="131" spans="2:16">
      <c r="B131" t="s">
        <v>257</v>
      </c>
      <c r="C131" t="s">
        <v>258</v>
      </c>
      <c r="K131" t="s">
        <v>377</v>
      </c>
      <c r="L131" t="s">
        <v>378</v>
      </c>
      <c r="O131" t="s">
        <v>947</v>
      </c>
      <c r="P131" t="s">
        <v>948</v>
      </c>
    </row>
    <row r="132" spans="2:16">
      <c r="B132" t="s">
        <v>259</v>
      </c>
      <c r="C132" t="s">
        <v>260</v>
      </c>
      <c r="K132" t="s">
        <v>379</v>
      </c>
      <c r="L132" t="s">
        <v>380</v>
      </c>
      <c r="O132" t="s">
        <v>949</v>
      </c>
      <c r="P132" t="s">
        <v>950</v>
      </c>
    </row>
    <row r="133" spans="2:16">
      <c r="B133" t="s">
        <v>261</v>
      </c>
      <c r="C133" t="s">
        <v>262</v>
      </c>
      <c r="K133" t="s">
        <v>381</v>
      </c>
      <c r="L133" t="s">
        <v>382</v>
      </c>
      <c r="O133" t="s">
        <v>951</v>
      </c>
      <c r="P133" t="s">
        <v>952</v>
      </c>
    </row>
    <row r="134" spans="2:16">
      <c r="B134" t="s">
        <v>263</v>
      </c>
      <c r="C134" t="s">
        <v>264</v>
      </c>
      <c r="K134" t="s">
        <v>475</v>
      </c>
      <c r="L134" t="s">
        <v>476</v>
      </c>
      <c r="O134" t="s">
        <v>953</v>
      </c>
      <c r="P134" t="s">
        <v>954</v>
      </c>
    </row>
    <row r="135" spans="2:16">
      <c r="B135" t="s">
        <v>265</v>
      </c>
      <c r="C135" t="s">
        <v>266</v>
      </c>
      <c r="K135" t="s">
        <v>477</v>
      </c>
      <c r="L135" t="s">
        <v>478</v>
      </c>
    </row>
    <row r="136" spans="2:16">
      <c r="B136" t="s">
        <v>267</v>
      </c>
      <c r="C136" t="s">
        <v>268</v>
      </c>
      <c r="K136" t="s">
        <v>479</v>
      </c>
      <c r="L136" t="s">
        <v>480</v>
      </c>
    </row>
    <row r="137" spans="2:16">
      <c r="B137" t="s">
        <v>269</v>
      </c>
      <c r="C137" t="s">
        <v>270</v>
      </c>
      <c r="K137" t="s">
        <v>495</v>
      </c>
      <c r="L137" t="s">
        <v>496</v>
      </c>
    </row>
    <row r="138" spans="2:16">
      <c r="B138" t="s">
        <v>271</v>
      </c>
      <c r="C138" t="s">
        <v>272</v>
      </c>
      <c r="K138" t="s">
        <v>497</v>
      </c>
      <c r="L138" t="s">
        <v>498</v>
      </c>
    </row>
    <row r="139" spans="2:16">
      <c r="B139" t="s">
        <v>273</v>
      </c>
      <c r="C139" t="s">
        <v>274</v>
      </c>
      <c r="K139" t="s">
        <v>499</v>
      </c>
      <c r="L139" t="s">
        <v>500</v>
      </c>
    </row>
    <row r="140" spans="2:16">
      <c r="B140" t="s">
        <v>275</v>
      </c>
      <c r="C140" t="s">
        <v>276</v>
      </c>
      <c r="K140" t="s">
        <v>501</v>
      </c>
      <c r="L140" t="s">
        <v>502</v>
      </c>
    </row>
    <row r="141" spans="2:16">
      <c r="B141" t="s">
        <v>277</v>
      </c>
      <c r="C141" t="s">
        <v>278</v>
      </c>
      <c r="K141" t="s">
        <v>503</v>
      </c>
      <c r="L141" t="s">
        <v>504</v>
      </c>
    </row>
    <row r="142" spans="2:16">
      <c r="B142" t="s">
        <v>279</v>
      </c>
      <c r="C142" t="s">
        <v>280</v>
      </c>
      <c r="K142" t="s">
        <v>505</v>
      </c>
      <c r="L142" t="s">
        <v>506</v>
      </c>
    </row>
    <row r="143" spans="2:16">
      <c r="B143" t="s">
        <v>281</v>
      </c>
      <c r="C143" t="s">
        <v>282</v>
      </c>
      <c r="K143" t="s">
        <v>507</v>
      </c>
      <c r="L143" t="s">
        <v>508</v>
      </c>
    </row>
    <row r="144" spans="2:16">
      <c r="B144" t="s">
        <v>283</v>
      </c>
      <c r="C144" t="s">
        <v>284</v>
      </c>
      <c r="K144" t="s">
        <v>509</v>
      </c>
      <c r="L144" t="s">
        <v>510</v>
      </c>
    </row>
    <row r="145" spans="2:12">
      <c r="B145" t="s">
        <v>285</v>
      </c>
      <c r="C145" t="s">
        <v>286</v>
      </c>
      <c r="K145" t="s">
        <v>511</v>
      </c>
      <c r="L145" t="s">
        <v>512</v>
      </c>
    </row>
    <row r="146" spans="2:12">
      <c r="B146" t="s">
        <v>287</v>
      </c>
      <c r="C146" t="s">
        <v>288</v>
      </c>
      <c r="K146" t="s">
        <v>513</v>
      </c>
      <c r="L146" t="s">
        <v>514</v>
      </c>
    </row>
    <row r="147" spans="2:12">
      <c r="B147" t="s">
        <v>289</v>
      </c>
      <c r="C147" t="s">
        <v>290</v>
      </c>
      <c r="K147" t="s">
        <v>515</v>
      </c>
      <c r="L147" t="s">
        <v>516</v>
      </c>
    </row>
    <row r="148" spans="2:12">
      <c r="B148" t="s">
        <v>291</v>
      </c>
      <c r="C148" t="s">
        <v>292</v>
      </c>
      <c r="K148" t="s">
        <v>517</v>
      </c>
      <c r="L148" t="s">
        <v>518</v>
      </c>
    </row>
    <row r="149" spans="2:12">
      <c r="B149" t="s">
        <v>293</v>
      </c>
      <c r="C149" t="s">
        <v>294</v>
      </c>
      <c r="K149" t="s">
        <v>519</v>
      </c>
      <c r="L149" t="s">
        <v>520</v>
      </c>
    </row>
    <row r="150" spans="2:12">
      <c r="B150" t="s">
        <v>295</v>
      </c>
      <c r="C150" t="s">
        <v>296</v>
      </c>
      <c r="K150" t="s">
        <v>521</v>
      </c>
      <c r="L150" t="s">
        <v>522</v>
      </c>
    </row>
    <row r="151" spans="2:12">
      <c r="B151" t="s">
        <v>297</v>
      </c>
      <c r="C151" t="s">
        <v>298</v>
      </c>
      <c r="K151" t="s">
        <v>523</v>
      </c>
      <c r="L151" t="s">
        <v>524</v>
      </c>
    </row>
    <row r="152" spans="2:12">
      <c r="B152" t="s">
        <v>299</v>
      </c>
      <c r="C152" t="s">
        <v>300</v>
      </c>
      <c r="K152" t="s">
        <v>525</v>
      </c>
      <c r="L152" t="s">
        <v>526</v>
      </c>
    </row>
    <row r="153" spans="2:12">
      <c r="B153" t="s">
        <v>301</v>
      </c>
      <c r="C153" t="s">
        <v>302</v>
      </c>
      <c r="K153" t="s">
        <v>527</v>
      </c>
      <c r="L153" t="s">
        <v>528</v>
      </c>
    </row>
    <row r="154" spans="2:12">
      <c r="B154" t="s">
        <v>303</v>
      </c>
      <c r="C154" t="s">
        <v>304</v>
      </c>
      <c r="K154" t="s">
        <v>529</v>
      </c>
      <c r="L154" t="s">
        <v>530</v>
      </c>
    </row>
    <row r="155" spans="2:12">
      <c r="B155" t="s">
        <v>305</v>
      </c>
      <c r="C155" t="s">
        <v>306</v>
      </c>
      <c r="K155" t="s">
        <v>531</v>
      </c>
      <c r="L155" t="s">
        <v>532</v>
      </c>
    </row>
    <row r="156" spans="2:12">
      <c r="B156" t="s">
        <v>307</v>
      </c>
      <c r="C156" t="s">
        <v>308</v>
      </c>
      <c r="K156" t="s">
        <v>533</v>
      </c>
      <c r="L156" t="s">
        <v>534</v>
      </c>
    </row>
    <row r="157" spans="2:12">
      <c r="B157" t="s">
        <v>309</v>
      </c>
      <c r="C157" t="s">
        <v>310</v>
      </c>
      <c r="K157" t="s">
        <v>535</v>
      </c>
      <c r="L157" t="s">
        <v>536</v>
      </c>
    </row>
    <row r="158" spans="2:12">
      <c r="B158" t="s">
        <v>311</v>
      </c>
      <c r="C158" t="s">
        <v>312</v>
      </c>
      <c r="K158" t="s">
        <v>537</v>
      </c>
      <c r="L158" t="s">
        <v>538</v>
      </c>
    </row>
    <row r="159" spans="2:12">
      <c r="B159" t="s">
        <v>313</v>
      </c>
      <c r="C159" t="s">
        <v>314</v>
      </c>
      <c r="K159" t="s">
        <v>539</v>
      </c>
      <c r="L159" t="s">
        <v>540</v>
      </c>
    </row>
    <row r="160" spans="2:12">
      <c r="B160" t="s">
        <v>315</v>
      </c>
      <c r="C160" t="s">
        <v>316</v>
      </c>
      <c r="K160" t="s">
        <v>541</v>
      </c>
      <c r="L160" t="s">
        <v>542</v>
      </c>
    </row>
    <row r="161" spans="2:12">
      <c r="B161" t="s">
        <v>317</v>
      </c>
      <c r="C161" t="s">
        <v>318</v>
      </c>
      <c r="K161" t="s">
        <v>543</v>
      </c>
      <c r="L161" t="s">
        <v>544</v>
      </c>
    </row>
    <row r="162" spans="2:12">
      <c r="B162" t="s">
        <v>319</v>
      </c>
      <c r="C162" t="s">
        <v>320</v>
      </c>
      <c r="K162" t="s">
        <v>545</v>
      </c>
      <c r="L162" t="s">
        <v>546</v>
      </c>
    </row>
    <row r="163" spans="2:12">
      <c r="B163" t="s">
        <v>321</v>
      </c>
      <c r="C163" t="s">
        <v>322</v>
      </c>
      <c r="K163" t="s">
        <v>547</v>
      </c>
      <c r="L163" t="s">
        <v>548</v>
      </c>
    </row>
    <row r="164" spans="2:12">
      <c r="B164" t="s">
        <v>323</v>
      </c>
      <c r="C164" t="s">
        <v>324</v>
      </c>
      <c r="K164" t="s">
        <v>549</v>
      </c>
      <c r="L164" t="s">
        <v>550</v>
      </c>
    </row>
    <row r="165" spans="2:12">
      <c r="B165" t="s">
        <v>325</v>
      </c>
      <c r="C165" t="s">
        <v>326</v>
      </c>
      <c r="K165" t="s">
        <v>551</v>
      </c>
      <c r="L165" t="s">
        <v>552</v>
      </c>
    </row>
    <row r="166" spans="2:12">
      <c r="B166" t="s">
        <v>327</v>
      </c>
      <c r="C166" t="s">
        <v>328</v>
      </c>
      <c r="K166" t="s">
        <v>553</v>
      </c>
      <c r="L166" t="s">
        <v>554</v>
      </c>
    </row>
    <row r="167" spans="2:12">
      <c r="B167" t="s">
        <v>329</v>
      </c>
      <c r="C167" t="s">
        <v>330</v>
      </c>
      <c r="K167" t="s">
        <v>555</v>
      </c>
      <c r="L167" t="s">
        <v>556</v>
      </c>
    </row>
    <row r="168" spans="2:12">
      <c r="B168" t="s">
        <v>331</v>
      </c>
      <c r="C168" t="s">
        <v>332</v>
      </c>
      <c r="K168" t="s">
        <v>557</v>
      </c>
      <c r="L168" t="s">
        <v>558</v>
      </c>
    </row>
    <row r="169" spans="2:12">
      <c r="B169" t="s">
        <v>333</v>
      </c>
      <c r="C169" t="s">
        <v>334</v>
      </c>
      <c r="K169" t="s">
        <v>559</v>
      </c>
      <c r="L169" t="s">
        <v>560</v>
      </c>
    </row>
    <row r="170" spans="2:12">
      <c r="B170" t="s">
        <v>335</v>
      </c>
      <c r="C170" t="s">
        <v>336</v>
      </c>
      <c r="K170" t="s">
        <v>561</v>
      </c>
      <c r="L170" t="s">
        <v>562</v>
      </c>
    </row>
    <row r="171" spans="2:12">
      <c r="B171" t="s">
        <v>337</v>
      </c>
      <c r="C171" t="s">
        <v>338</v>
      </c>
      <c r="K171" t="s">
        <v>563</v>
      </c>
      <c r="L171" t="s">
        <v>564</v>
      </c>
    </row>
    <row r="172" spans="2:12">
      <c r="B172" t="s">
        <v>339</v>
      </c>
      <c r="C172" t="s">
        <v>340</v>
      </c>
      <c r="K172" t="s">
        <v>565</v>
      </c>
      <c r="L172" t="s">
        <v>566</v>
      </c>
    </row>
    <row r="173" spans="2:12">
      <c r="B173" t="s">
        <v>341</v>
      </c>
      <c r="C173" t="s">
        <v>342</v>
      </c>
      <c r="K173" t="s">
        <v>567</v>
      </c>
      <c r="L173" t="s">
        <v>568</v>
      </c>
    </row>
    <row r="174" spans="2:12">
      <c r="B174" t="s">
        <v>343</v>
      </c>
      <c r="C174" t="s">
        <v>344</v>
      </c>
      <c r="K174" t="s">
        <v>569</v>
      </c>
      <c r="L174" t="s">
        <v>570</v>
      </c>
    </row>
    <row r="175" spans="2:12">
      <c r="B175" t="s">
        <v>345</v>
      </c>
      <c r="C175" t="s">
        <v>346</v>
      </c>
      <c r="K175" t="s">
        <v>571</v>
      </c>
      <c r="L175" t="s">
        <v>572</v>
      </c>
    </row>
    <row r="176" spans="2:12">
      <c r="B176" t="s">
        <v>347</v>
      </c>
      <c r="C176" t="s">
        <v>348</v>
      </c>
      <c r="K176" t="s">
        <v>573</v>
      </c>
      <c r="L176" t="s">
        <v>574</v>
      </c>
    </row>
    <row r="177" spans="2:12">
      <c r="B177" t="s">
        <v>349</v>
      </c>
      <c r="C177" t="s">
        <v>350</v>
      </c>
      <c r="K177" t="s">
        <v>575</v>
      </c>
      <c r="L177" t="s">
        <v>576</v>
      </c>
    </row>
    <row r="178" spans="2:12">
      <c r="B178" t="s">
        <v>351</v>
      </c>
      <c r="C178" t="s">
        <v>352</v>
      </c>
      <c r="K178" t="s">
        <v>577</v>
      </c>
      <c r="L178" t="s">
        <v>578</v>
      </c>
    </row>
    <row r="179" spans="2:12">
      <c r="B179" t="s">
        <v>353</v>
      </c>
      <c r="C179" t="s">
        <v>354</v>
      </c>
      <c r="K179" t="s">
        <v>579</v>
      </c>
      <c r="L179" t="s">
        <v>580</v>
      </c>
    </row>
    <row r="180" spans="2:12">
      <c r="B180" t="s">
        <v>355</v>
      </c>
      <c r="C180" t="s">
        <v>356</v>
      </c>
      <c r="K180" t="s">
        <v>581</v>
      </c>
      <c r="L180" t="s">
        <v>582</v>
      </c>
    </row>
    <row r="181" spans="2:12">
      <c r="B181" t="s">
        <v>357</v>
      </c>
      <c r="C181" t="s">
        <v>358</v>
      </c>
      <c r="K181" t="s">
        <v>583</v>
      </c>
      <c r="L181" t="s">
        <v>584</v>
      </c>
    </row>
    <row r="182" spans="2:12">
      <c r="B182" t="s">
        <v>359</v>
      </c>
      <c r="C182" t="s">
        <v>360</v>
      </c>
      <c r="K182" t="s">
        <v>585</v>
      </c>
      <c r="L182" t="s">
        <v>586</v>
      </c>
    </row>
    <row r="183" spans="2:12">
      <c r="B183" t="s">
        <v>361</v>
      </c>
      <c r="C183" t="s">
        <v>362</v>
      </c>
      <c r="K183" t="s">
        <v>587</v>
      </c>
      <c r="L183" t="s">
        <v>588</v>
      </c>
    </row>
    <row r="184" spans="2:12">
      <c r="B184" t="s">
        <v>363</v>
      </c>
      <c r="C184" t="s">
        <v>364</v>
      </c>
      <c r="K184" t="s">
        <v>589</v>
      </c>
      <c r="L184" t="s">
        <v>590</v>
      </c>
    </row>
    <row r="185" spans="2:12">
      <c r="B185" t="s">
        <v>365</v>
      </c>
      <c r="C185" t="s">
        <v>366</v>
      </c>
      <c r="K185" t="s">
        <v>591</v>
      </c>
      <c r="L185" t="s">
        <v>592</v>
      </c>
    </row>
    <row r="186" spans="2:12">
      <c r="B186" t="s">
        <v>367</v>
      </c>
      <c r="C186" t="s">
        <v>368</v>
      </c>
      <c r="K186" t="s">
        <v>593</v>
      </c>
      <c r="L186" t="s">
        <v>594</v>
      </c>
    </row>
    <row r="187" spans="2:12">
      <c r="B187" t="s">
        <v>369</v>
      </c>
      <c r="C187" t="s">
        <v>370</v>
      </c>
      <c r="K187" t="s">
        <v>595</v>
      </c>
      <c r="L187" t="s">
        <v>596</v>
      </c>
    </row>
    <row r="188" spans="2:12">
      <c r="B188" t="s">
        <v>371</v>
      </c>
      <c r="C188" t="s">
        <v>372</v>
      </c>
      <c r="K188" t="s">
        <v>597</v>
      </c>
      <c r="L188" t="s">
        <v>598</v>
      </c>
    </row>
    <row r="189" spans="2:12">
      <c r="B189" t="s">
        <v>373</v>
      </c>
      <c r="C189" t="s">
        <v>374</v>
      </c>
      <c r="K189" t="s">
        <v>599</v>
      </c>
      <c r="L189" t="s">
        <v>600</v>
      </c>
    </row>
    <row r="190" spans="2:12">
      <c r="B190" t="s">
        <v>375</v>
      </c>
      <c r="C190" t="s">
        <v>376</v>
      </c>
      <c r="K190" t="s">
        <v>601</v>
      </c>
      <c r="L190" t="s">
        <v>602</v>
      </c>
    </row>
    <row r="191" spans="2:12">
      <c r="B191" t="s">
        <v>377</v>
      </c>
      <c r="C191" t="s">
        <v>378</v>
      </c>
      <c r="K191" t="s">
        <v>603</v>
      </c>
      <c r="L191" t="s">
        <v>604</v>
      </c>
    </row>
    <row r="192" spans="2:12">
      <c r="B192" t="s">
        <v>379</v>
      </c>
      <c r="C192" t="s">
        <v>380</v>
      </c>
      <c r="K192" t="s">
        <v>605</v>
      </c>
      <c r="L192" t="s">
        <v>606</v>
      </c>
    </row>
    <row r="193" spans="2:12">
      <c r="B193" t="s">
        <v>381</v>
      </c>
      <c r="C193" t="s">
        <v>382</v>
      </c>
      <c r="K193" t="s">
        <v>607</v>
      </c>
      <c r="L193" t="s">
        <v>608</v>
      </c>
    </row>
    <row r="194" spans="2:12">
      <c r="B194" t="s">
        <v>383</v>
      </c>
      <c r="C194" t="s">
        <v>384</v>
      </c>
      <c r="K194" t="s">
        <v>609</v>
      </c>
      <c r="L194" t="s">
        <v>610</v>
      </c>
    </row>
    <row r="195" spans="2:12">
      <c r="B195" t="s">
        <v>385</v>
      </c>
      <c r="C195" t="s">
        <v>386</v>
      </c>
      <c r="K195" t="s">
        <v>611</v>
      </c>
      <c r="L195" t="s">
        <v>612</v>
      </c>
    </row>
    <row r="196" spans="2:12">
      <c r="B196" t="s">
        <v>387</v>
      </c>
      <c r="C196" t="s">
        <v>388</v>
      </c>
      <c r="K196" t="s">
        <v>613</v>
      </c>
      <c r="L196" t="s">
        <v>614</v>
      </c>
    </row>
    <row r="197" spans="2:12">
      <c r="B197" t="s">
        <v>389</v>
      </c>
      <c r="C197" t="s">
        <v>390</v>
      </c>
      <c r="K197" t="s">
        <v>615</v>
      </c>
      <c r="L197" t="s">
        <v>616</v>
      </c>
    </row>
    <row r="198" spans="2:12">
      <c r="B198" t="s">
        <v>391</v>
      </c>
      <c r="C198" t="s">
        <v>392</v>
      </c>
      <c r="K198" t="s">
        <v>617</v>
      </c>
      <c r="L198" t="s">
        <v>618</v>
      </c>
    </row>
    <row r="199" spans="2:12">
      <c r="B199" t="s">
        <v>393</v>
      </c>
      <c r="C199" t="s">
        <v>394</v>
      </c>
      <c r="K199" t="s">
        <v>619</v>
      </c>
      <c r="L199" t="s">
        <v>620</v>
      </c>
    </row>
    <row r="200" spans="2:12">
      <c r="B200" t="s">
        <v>395</v>
      </c>
      <c r="C200" t="s">
        <v>396</v>
      </c>
      <c r="K200" t="s">
        <v>621</v>
      </c>
      <c r="L200" t="s">
        <v>622</v>
      </c>
    </row>
    <row r="201" spans="2:12">
      <c r="B201" t="s">
        <v>397</v>
      </c>
      <c r="C201" t="s">
        <v>398</v>
      </c>
      <c r="K201" t="s">
        <v>715</v>
      </c>
      <c r="L201" t="s">
        <v>716</v>
      </c>
    </row>
    <row r="202" spans="2:12">
      <c r="B202" t="s">
        <v>399</v>
      </c>
      <c r="C202" t="s">
        <v>400</v>
      </c>
      <c r="K202" t="s">
        <v>717</v>
      </c>
      <c r="L202" t="s">
        <v>718</v>
      </c>
    </row>
    <row r="203" spans="2:12">
      <c r="B203" t="s">
        <v>401</v>
      </c>
      <c r="C203" t="s">
        <v>402</v>
      </c>
      <c r="K203" t="s">
        <v>719</v>
      </c>
      <c r="L203" t="s">
        <v>720</v>
      </c>
    </row>
    <row r="204" spans="2:12">
      <c r="B204" t="s">
        <v>403</v>
      </c>
      <c r="C204" t="s">
        <v>404</v>
      </c>
      <c r="K204" t="s">
        <v>735</v>
      </c>
      <c r="L204" t="s">
        <v>736</v>
      </c>
    </row>
    <row r="205" spans="2:12">
      <c r="B205" t="s">
        <v>405</v>
      </c>
      <c r="C205" t="s">
        <v>406</v>
      </c>
      <c r="K205" t="s">
        <v>737</v>
      </c>
      <c r="L205" t="s">
        <v>738</v>
      </c>
    </row>
    <row r="206" spans="2:12">
      <c r="B206" t="s">
        <v>407</v>
      </c>
      <c r="C206" t="s">
        <v>408</v>
      </c>
      <c r="K206" t="s">
        <v>739</v>
      </c>
      <c r="L206" t="s">
        <v>740</v>
      </c>
    </row>
    <row r="207" spans="2:12">
      <c r="B207" t="s">
        <v>409</v>
      </c>
      <c r="C207" t="s">
        <v>410</v>
      </c>
      <c r="K207" t="s">
        <v>741</v>
      </c>
      <c r="L207" t="s">
        <v>742</v>
      </c>
    </row>
    <row r="208" spans="2:12">
      <c r="B208" t="s">
        <v>411</v>
      </c>
      <c r="C208" t="s">
        <v>412</v>
      </c>
      <c r="K208" t="s">
        <v>743</v>
      </c>
      <c r="L208" t="s">
        <v>744</v>
      </c>
    </row>
    <row r="209" spans="2:12">
      <c r="B209" t="s">
        <v>413</v>
      </c>
      <c r="C209" t="s">
        <v>414</v>
      </c>
      <c r="K209" t="s">
        <v>745</v>
      </c>
      <c r="L209" t="s">
        <v>746</v>
      </c>
    </row>
    <row r="210" spans="2:12">
      <c r="B210" t="s">
        <v>415</v>
      </c>
      <c r="C210" t="s">
        <v>416</v>
      </c>
      <c r="K210" t="s">
        <v>747</v>
      </c>
      <c r="L210" t="s">
        <v>748</v>
      </c>
    </row>
    <row r="211" spans="2:12">
      <c r="B211" t="s">
        <v>417</v>
      </c>
      <c r="C211" t="s">
        <v>418</v>
      </c>
      <c r="K211" t="s">
        <v>749</v>
      </c>
      <c r="L211" t="s">
        <v>750</v>
      </c>
    </row>
    <row r="212" spans="2:12">
      <c r="B212" t="s">
        <v>419</v>
      </c>
      <c r="C212" t="s">
        <v>420</v>
      </c>
      <c r="K212" t="s">
        <v>751</v>
      </c>
      <c r="L212" t="s">
        <v>752</v>
      </c>
    </row>
    <row r="213" spans="2:12">
      <c r="B213" t="s">
        <v>421</v>
      </c>
      <c r="C213" t="s">
        <v>422</v>
      </c>
      <c r="K213" t="s">
        <v>753</v>
      </c>
      <c r="L213" t="s">
        <v>754</v>
      </c>
    </row>
    <row r="214" spans="2:12">
      <c r="B214" t="s">
        <v>423</v>
      </c>
      <c r="C214" t="s">
        <v>424</v>
      </c>
      <c r="K214" t="s">
        <v>755</v>
      </c>
      <c r="L214" t="s">
        <v>756</v>
      </c>
    </row>
    <row r="215" spans="2:12">
      <c r="B215" t="s">
        <v>425</v>
      </c>
      <c r="C215" t="s">
        <v>426</v>
      </c>
      <c r="K215" t="s">
        <v>757</v>
      </c>
      <c r="L215" t="s">
        <v>758</v>
      </c>
    </row>
    <row r="216" spans="2:12">
      <c r="B216" t="s">
        <v>427</v>
      </c>
      <c r="C216" t="s">
        <v>428</v>
      </c>
      <c r="K216" t="s">
        <v>759</v>
      </c>
      <c r="L216" t="s">
        <v>760</v>
      </c>
    </row>
    <row r="217" spans="2:12">
      <c r="B217" t="s">
        <v>429</v>
      </c>
      <c r="C217" t="s">
        <v>430</v>
      </c>
      <c r="K217" t="s">
        <v>761</v>
      </c>
      <c r="L217" t="s">
        <v>762</v>
      </c>
    </row>
    <row r="218" spans="2:12">
      <c r="B218" t="s">
        <v>431</v>
      </c>
      <c r="C218" t="s">
        <v>432</v>
      </c>
      <c r="K218" t="s">
        <v>763</v>
      </c>
      <c r="L218" t="s">
        <v>764</v>
      </c>
    </row>
    <row r="219" spans="2:12">
      <c r="B219" t="s">
        <v>433</v>
      </c>
      <c r="C219" t="s">
        <v>434</v>
      </c>
      <c r="K219" t="s">
        <v>765</v>
      </c>
      <c r="L219" t="s">
        <v>766</v>
      </c>
    </row>
    <row r="220" spans="2:12">
      <c r="B220" t="s">
        <v>435</v>
      </c>
      <c r="C220" t="s">
        <v>436</v>
      </c>
      <c r="K220" t="s">
        <v>767</v>
      </c>
      <c r="L220" t="s">
        <v>768</v>
      </c>
    </row>
    <row r="221" spans="2:12">
      <c r="B221" t="s">
        <v>437</v>
      </c>
      <c r="C221" t="s">
        <v>438</v>
      </c>
      <c r="K221" t="s">
        <v>769</v>
      </c>
      <c r="L221" t="s">
        <v>770</v>
      </c>
    </row>
    <row r="222" spans="2:12">
      <c r="B222" t="s">
        <v>439</v>
      </c>
      <c r="C222" t="s">
        <v>440</v>
      </c>
      <c r="K222" t="s">
        <v>771</v>
      </c>
      <c r="L222" t="s">
        <v>772</v>
      </c>
    </row>
    <row r="223" spans="2:12">
      <c r="B223" t="s">
        <v>441</v>
      </c>
      <c r="C223" t="s">
        <v>442</v>
      </c>
      <c r="K223" t="s">
        <v>773</v>
      </c>
      <c r="L223" t="s">
        <v>774</v>
      </c>
    </row>
    <row r="224" spans="2:12">
      <c r="B224" t="s">
        <v>443</v>
      </c>
      <c r="C224" t="s">
        <v>444</v>
      </c>
      <c r="K224" t="s">
        <v>775</v>
      </c>
      <c r="L224" t="s">
        <v>776</v>
      </c>
    </row>
    <row r="225" spans="2:12">
      <c r="B225" t="s">
        <v>445</v>
      </c>
      <c r="C225" t="s">
        <v>446</v>
      </c>
      <c r="K225" t="s">
        <v>777</v>
      </c>
      <c r="L225" t="s">
        <v>778</v>
      </c>
    </row>
    <row r="226" spans="2:12">
      <c r="B226" t="s">
        <v>447</v>
      </c>
      <c r="C226" t="s">
        <v>448</v>
      </c>
      <c r="K226" t="s">
        <v>779</v>
      </c>
      <c r="L226" t="s">
        <v>780</v>
      </c>
    </row>
    <row r="227" spans="2:12">
      <c r="B227" t="s">
        <v>449</v>
      </c>
      <c r="C227" t="s">
        <v>450</v>
      </c>
      <c r="K227" t="s">
        <v>781</v>
      </c>
      <c r="L227" t="s">
        <v>782</v>
      </c>
    </row>
    <row r="228" spans="2:12">
      <c r="B228" t="s">
        <v>451</v>
      </c>
      <c r="C228" t="s">
        <v>452</v>
      </c>
      <c r="K228" t="s">
        <v>783</v>
      </c>
      <c r="L228" t="s">
        <v>784</v>
      </c>
    </row>
    <row r="229" spans="2:12">
      <c r="B229" t="s">
        <v>453</v>
      </c>
      <c r="C229" t="s">
        <v>454</v>
      </c>
      <c r="K229" t="s">
        <v>785</v>
      </c>
      <c r="L229" t="s">
        <v>786</v>
      </c>
    </row>
    <row r="230" spans="2:12">
      <c r="B230" t="s">
        <v>455</v>
      </c>
      <c r="C230" t="s">
        <v>456</v>
      </c>
      <c r="K230" t="s">
        <v>787</v>
      </c>
      <c r="L230" t="s">
        <v>788</v>
      </c>
    </row>
    <row r="231" spans="2:12">
      <c r="B231" t="s">
        <v>457</v>
      </c>
      <c r="C231" t="s">
        <v>458</v>
      </c>
      <c r="K231" t="s">
        <v>789</v>
      </c>
      <c r="L231" t="s">
        <v>790</v>
      </c>
    </row>
    <row r="232" spans="2:12">
      <c r="B232" t="s">
        <v>459</v>
      </c>
      <c r="C232" t="s">
        <v>460</v>
      </c>
      <c r="K232" t="s">
        <v>791</v>
      </c>
      <c r="L232" t="s">
        <v>792</v>
      </c>
    </row>
    <row r="233" spans="2:12">
      <c r="B233" t="s">
        <v>461</v>
      </c>
      <c r="C233" t="s">
        <v>462</v>
      </c>
      <c r="K233" t="s">
        <v>793</v>
      </c>
      <c r="L233" t="s">
        <v>794</v>
      </c>
    </row>
    <row r="234" spans="2:12">
      <c r="B234" t="s">
        <v>463</v>
      </c>
      <c r="C234" t="s">
        <v>464</v>
      </c>
      <c r="K234" t="s">
        <v>795</v>
      </c>
      <c r="L234" t="s">
        <v>796</v>
      </c>
    </row>
    <row r="235" spans="2:12">
      <c r="B235" t="s">
        <v>465</v>
      </c>
      <c r="C235" t="s">
        <v>466</v>
      </c>
      <c r="K235" t="s">
        <v>797</v>
      </c>
      <c r="L235" t="s">
        <v>798</v>
      </c>
    </row>
    <row r="236" spans="2:12">
      <c r="B236" t="s">
        <v>467</v>
      </c>
      <c r="C236" t="s">
        <v>468</v>
      </c>
      <c r="K236" t="s">
        <v>799</v>
      </c>
      <c r="L236" t="s">
        <v>800</v>
      </c>
    </row>
    <row r="237" spans="2:12">
      <c r="B237" t="s">
        <v>469</v>
      </c>
      <c r="C237" t="s">
        <v>470</v>
      </c>
      <c r="K237" t="s">
        <v>801</v>
      </c>
      <c r="L237" t="s">
        <v>802</v>
      </c>
    </row>
    <row r="238" spans="2:12">
      <c r="B238" t="s">
        <v>471</v>
      </c>
      <c r="C238" t="s">
        <v>472</v>
      </c>
      <c r="K238" t="s">
        <v>803</v>
      </c>
      <c r="L238" t="s">
        <v>804</v>
      </c>
    </row>
    <row r="239" spans="2:12">
      <c r="B239" t="s">
        <v>473</v>
      </c>
      <c r="C239" t="s">
        <v>474</v>
      </c>
      <c r="K239" t="s">
        <v>805</v>
      </c>
      <c r="L239" t="s">
        <v>806</v>
      </c>
    </row>
    <row r="240" spans="2:12">
      <c r="B240" t="s">
        <v>475</v>
      </c>
      <c r="C240" t="s">
        <v>476</v>
      </c>
      <c r="K240" t="s">
        <v>807</v>
      </c>
      <c r="L240" t="s">
        <v>808</v>
      </c>
    </row>
    <row r="241" spans="2:12">
      <c r="B241" t="s">
        <v>477</v>
      </c>
      <c r="C241" t="s">
        <v>478</v>
      </c>
      <c r="K241" t="s">
        <v>809</v>
      </c>
      <c r="L241" t="s">
        <v>810</v>
      </c>
    </row>
    <row r="242" spans="2:12">
      <c r="B242" t="s">
        <v>479</v>
      </c>
      <c r="C242" t="s">
        <v>480</v>
      </c>
      <c r="K242" t="s">
        <v>811</v>
      </c>
      <c r="L242" t="s">
        <v>812</v>
      </c>
    </row>
    <row r="243" spans="2:12">
      <c r="B243" t="s">
        <v>481</v>
      </c>
      <c r="C243" t="s">
        <v>482</v>
      </c>
      <c r="K243" t="s">
        <v>813</v>
      </c>
      <c r="L243" t="s">
        <v>814</v>
      </c>
    </row>
    <row r="244" spans="2:12">
      <c r="B244" t="s">
        <v>483</v>
      </c>
      <c r="C244" t="s">
        <v>484</v>
      </c>
      <c r="K244" t="s">
        <v>815</v>
      </c>
      <c r="L244" t="s">
        <v>816</v>
      </c>
    </row>
    <row r="245" spans="2:12">
      <c r="B245" t="s">
        <v>485</v>
      </c>
      <c r="C245" t="s">
        <v>486</v>
      </c>
      <c r="K245" t="s">
        <v>817</v>
      </c>
      <c r="L245" t="s">
        <v>818</v>
      </c>
    </row>
    <row r="246" spans="2:12">
      <c r="B246" t="s">
        <v>487</v>
      </c>
      <c r="C246" t="s">
        <v>488</v>
      </c>
      <c r="K246" t="s">
        <v>819</v>
      </c>
      <c r="L246" t="s">
        <v>820</v>
      </c>
    </row>
    <row r="247" spans="2:12">
      <c r="B247" t="s">
        <v>489</v>
      </c>
      <c r="C247" t="s">
        <v>490</v>
      </c>
      <c r="K247" t="s">
        <v>821</v>
      </c>
      <c r="L247" t="s">
        <v>822</v>
      </c>
    </row>
    <row r="248" spans="2:12">
      <c r="B248" t="s">
        <v>491</v>
      </c>
      <c r="C248" t="s">
        <v>492</v>
      </c>
      <c r="K248" t="s">
        <v>823</v>
      </c>
      <c r="L248" t="s">
        <v>824</v>
      </c>
    </row>
    <row r="249" spans="2:12">
      <c r="B249" t="s">
        <v>493</v>
      </c>
      <c r="C249" t="s">
        <v>494</v>
      </c>
      <c r="K249" t="s">
        <v>825</v>
      </c>
      <c r="L249" t="s">
        <v>826</v>
      </c>
    </row>
    <row r="250" spans="2:12">
      <c r="B250" t="s">
        <v>495</v>
      </c>
      <c r="C250" t="s">
        <v>496</v>
      </c>
      <c r="K250" t="s">
        <v>827</v>
      </c>
      <c r="L250" t="s">
        <v>828</v>
      </c>
    </row>
    <row r="251" spans="2:12">
      <c r="B251" t="s">
        <v>497</v>
      </c>
      <c r="C251" t="s">
        <v>498</v>
      </c>
      <c r="K251" t="s">
        <v>829</v>
      </c>
      <c r="L251" t="s">
        <v>830</v>
      </c>
    </row>
    <row r="252" spans="2:12">
      <c r="B252" t="s">
        <v>499</v>
      </c>
      <c r="C252" t="s">
        <v>500</v>
      </c>
      <c r="K252" t="s">
        <v>831</v>
      </c>
      <c r="L252" t="s">
        <v>832</v>
      </c>
    </row>
    <row r="253" spans="2:12">
      <c r="B253" t="s">
        <v>501</v>
      </c>
      <c r="C253" t="s">
        <v>502</v>
      </c>
      <c r="K253" t="s">
        <v>833</v>
      </c>
      <c r="L253" t="s">
        <v>834</v>
      </c>
    </row>
    <row r="254" spans="2:12">
      <c r="B254" t="s">
        <v>503</v>
      </c>
      <c r="C254" t="s">
        <v>504</v>
      </c>
      <c r="K254" t="s">
        <v>835</v>
      </c>
      <c r="L254" t="s">
        <v>836</v>
      </c>
    </row>
    <row r="255" spans="2:12">
      <c r="B255" t="s">
        <v>505</v>
      </c>
      <c r="C255" t="s">
        <v>506</v>
      </c>
      <c r="K255" t="s">
        <v>837</v>
      </c>
      <c r="L255" t="s">
        <v>838</v>
      </c>
    </row>
    <row r="256" spans="2:12">
      <c r="B256" t="s">
        <v>507</v>
      </c>
      <c r="C256" t="s">
        <v>508</v>
      </c>
      <c r="K256" t="s">
        <v>839</v>
      </c>
      <c r="L256" t="s">
        <v>840</v>
      </c>
    </row>
    <row r="257" spans="2:12">
      <c r="B257" t="s">
        <v>509</v>
      </c>
      <c r="C257" t="s">
        <v>510</v>
      </c>
      <c r="K257" t="s">
        <v>841</v>
      </c>
      <c r="L257" t="s">
        <v>842</v>
      </c>
    </row>
    <row r="258" spans="2:12">
      <c r="B258" t="s">
        <v>511</v>
      </c>
      <c r="C258" t="s">
        <v>512</v>
      </c>
      <c r="K258" t="s">
        <v>843</v>
      </c>
      <c r="L258" t="s">
        <v>844</v>
      </c>
    </row>
    <row r="259" spans="2:12">
      <c r="B259" t="s">
        <v>513</v>
      </c>
      <c r="C259" t="s">
        <v>514</v>
      </c>
      <c r="K259" t="s">
        <v>845</v>
      </c>
      <c r="L259" t="s">
        <v>846</v>
      </c>
    </row>
    <row r="260" spans="2:12">
      <c r="B260" t="s">
        <v>515</v>
      </c>
      <c r="C260" t="s">
        <v>516</v>
      </c>
      <c r="K260" t="s">
        <v>847</v>
      </c>
      <c r="L260" t="s">
        <v>848</v>
      </c>
    </row>
    <row r="261" spans="2:12">
      <c r="B261" t="s">
        <v>517</v>
      </c>
      <c r="C261" t="s">
        <v>518</v>
      </c>
      <c r="K261" t="s">
        <v>849</v>
      </c>
      <c r="L261" t="s">
        <v>850</v>
      </c>
    </row>
    <row r="262" spans="2:12">
      <c r="B262" t="s">
        <v>519</v>
      </c>
      <c r="C262" t="s">
        <v>520</v>
      </c>
      <c r="K262" t="s">
        <v>851</v>
      </c>
      <c r="L262" t="s">
        <v>852</v>
      </c>
    </row>
    <row r="263" spans="2:12">
      <c r="B263" t="s">
        <v>521</v>
      </c>
      <c r="C263" t="s">
        <v>522</v>
      </c>
      <c r="K263" t="s">
        <v>853</v>
      </c>
      <c r="L263" t="s">
        <v>854</v>
      </c>
    </row>
    <row r="264" spans="2:12">
      <c r="B264" t="s">
        <v>523</v>
      </c>
      <c r="C264" t="s">
        <v>524</v>
      </c>
      <c r="K264" t="s">
        <v>855</v>
      </c>
      <c r="L264" t="s">
        <v>856</v>
      </c>
    </row>
    <row r="265" spans="2:12">
      <c r="B265" t="s">
        <v>525</v>
      </c>
      <c r="C265" t="s">
        <v>526</v>
      </c>
      <c r="K265" t="s">
        <v>857</v>
      </c>
      <c r="L265" t="s">
        <v>858</v>
      </c>
    </row>
    <row r="266" spans="2:12">
      <c r="B266" t="s">
        <v>527</v>
      </c>
      <c r="C266" t="s">
        <v>528</v>
      </c>
      <c r="K266" t="s">
        <v>859</v>
      </c>
      <c r="L266" t="s">
        <v>860</v>
      </c>
    </row>
    <row r="267" spans="2:12">
      <c r="B267" t="s">
        <v>529</v>
      </c>
      <c r="C267" t="s">
        <v>530</v>
      </c>
      <c r="K267" t="s">
        <v>861</v>
      </c>
      <c r="L267" t="s">
        <v>862</v>
      </c>
    </row>
    <row r="268" spans="2:12">
      <c r="B268" t="s">
        <v>531</v>
      </c>
      <c r="C268" t="s">
        <v>532</v>
      </c>
      <c r="K268" t="s">
        <v>955</v>
      </c>
      <c r="L268" t="s">
        <v>956</v>
      </c>
    </row>
    <row r="269" spans="2:12">
      <c r="B269" t="s">
        <v>533</v>
      </c>
      <c r="C269" t="s">
        <v>534</v>
      </c>
      <c r="K269" t="s">
        <v>957</v>
      </c>
      <c r="L269" t="s">
        <v>958</v>
      </c>
    </row>
    <row r="270" spans="2:12">
      <c r="B270" t="s">
        <v>535</v>
      </c>
      <c r="C270" t="s">
        <v>536</v>
      </c>
      <c r="K270" t="s">
        <v>959</v>
      </c>
      <c r="L270" t="s">
        <v>960</v>
      </c>
    </row>
    <row r="271" spans="2:12">
      <c r="B271" t="s">
        <v>537</v>
      </c>
      <c r="C271" t="s">
        <v>538</v>
      </c>
      <c r="K271" t="s">
        <v>961</v>
      </c>
      <c r="L271" t="s">
        <v>962</v>
      </c>
    </row>
    <row r="272" spans="2:12">
      <c r="B272" t="s">
        <v>539</v>
      </c>
      <c r="C272" t="s">
        <v>540</v>
      </c>
      <c r="K272" t="s">
        <v>963</v>
      </c>
      <c r="L272" t="s">
        <v>964</v>
      </c>
    </row>
    <row r="273" spans="2:3">
      <c r="B273" t="s">
        <v>541</v>
      </c>
      <c r="C273" t="s">
        <v>542</v>
      </c>
    </row>
    <row r="274" spans="2:3">
      <c r="B274" t="s">
        <v>543</v>
      </c>
      <c r="C274" t="s">
        <v>544</v>
      </c>
    </row>
    <row r="275" spans="2:3">
      <c r="B275" t="s">
        <v>545</v>
      </c>
      <c r="C275" t="s">
        <v>546</v>
      </c>
    </row>
    <row r="276" spans="2:3">
      <c r="B276" t="s">
        <v>547</v>
      </c>
      <c r="C276" t="s">
        <v>548</v>
      </c>
    </row>
    <row r="277" spans="2:3">
      <c r="B277" t="s">
        <v>549</v>
      </c>
      <c r="C277" t="s">
        <v>550</v>
      </c>
    </row>
    <row r="278" spans="2:3">
      <c r="B278" t="s">
        <v>551</v>
      </c>
      <c r="C278" t="s">
        <v>552</v>
      </c>
    </row>
    <row r="279" spans="2:3">
      <c r="B279" t="s">
        <v>553</v>
      </c>
      <c r="C279" t="s">
        <v>554</v>
      </c>
    </row>
    <row r="280" spans="2:3">
      <c r="B280" t="s">
        <v>555</v>
      </c>
      <c r="C280" t="s">
        <v>556</v>
      </c>
    </row>
    <row r="281" spans="2:3">
      <c r="B281" t="s">
        <v>557</v>
      </c>
      <c r="C281" t="s">
        <v>558</v>
      </c>
    </row>
    <row r="282" spans="2:3">
      <c r="B282" t="s">
        <v>559</v>
      </c>
      <c r="C282" t="s">
        <v>560</v>
      </c>
    </row>
    <row r="283" spans="2:3">
      <c r="B283" t="s">
        <v>561</v>
      </c>
      <c r="C283" t="s">
        <v>562</v>
      </c>
    </row>
    <row r="284" spans="2:3">
      <c r="B284" t="s">
        <v>563</v>
      </c>
      <c r="C284" t="s">
        <v>564</v>
      </c>
    </row>
    <row r="285" spans="2:3">
      <c r="B285" t="s">
        <v>565</v>
      </c>
      <c r="C285" t="s">
        <v>566</v>
      </c>
    </row>
    <row r="286" spans="2:3">
      <c r="B286" t="s">
        <v>567</v>
      </c>
      <c r="C286" t="s">
        <v>568</v>
      </c>
    </row>
    <row r="287" spans="2:3">
      <c r="B287" t="s">
        <v>569</v>
      </c>
      <c r="C287" t="s">
        <v>570</v>
      </c>
    </row>
    <row r="288" spans="2:3">
      <c r="B288" t="s">
        <v>571</v>
      </c>
      <c r="C288" t="s">
        <v>572</v>
      </c>
    </row>
    <row r="289" spans="2:3">
      <c r="B289" t="s">
        <v>573</v>
      </c>
      <c r="C289" t="s">
        <v>574</v>
      </c>
    </row>
    <row r="290" spans="2:3">
      <c r="B290" t="s">
        <v>575</v>
      </c>
      <c r="C290" t="s">
        <v>576</v>
      </c>
    </row>
    <row r="291" spans="2:3">
      <c r="B291" t="s">
        <v>577</v>
      </c>
      <c r="C291" t="s">
        <v>578</v>
      </c>
    </row>
    <row r="292" spans="2:3">
      <c r="B292" t="s">
        <v>579</v>
      </c>
      <c r="C292" t="s">
        <v>580</v>
      </c>
    </row>
    <row r="293" spans="2:3">
      <c r="B293" t="s">
        <v>581</v>
      </c>
      <c r="C293" t="s">
        <v>582</v>
      </c>
    </row>
    <row r="294" spans="2:3">
      <c r="B294" t="s">
        <v>583</v>
      </c>
      <c r="C294" t="s">
        <v>584</v>
      </c>
    </row>
    <row r="295" spans="2:3">
      <c r="B295" t="s">
        <v>585</v>
      </c>
      <c r="C295" t="s">
        <v>586</v>
      </c>
    </row>
    <row r="296" spans="2:3">
      <c r="B296" t="s">
        <v>587</v>
      </c>
      <c r="C296" t="s">
        <v>588</v>
      </c>
    </row>
    <row r="297" spans="2:3">
      <c r="B297" t="s">
        <v>589</v>
      </c>
      <c r="C297" t="s">
        <v>590</v>
      </c>
    </row>
    <row r="298" spans="2:3">
      <c r="B298" t="s">
        <v>591</v>
      </c>
      <c r="C298" t="s">
        <v>592</v>
      </c>
    </row>
    <row r="299" spans="2:3">
      <c r="B299" t="s">
        <v>593</v>
      </c>
      <c r="C299" t="s">
        <v>594</v>
      </c>
    </row>
    <row r="300" spans="2:3">
      <c r="B300" t="s">
        <v>595</v>
      </c>
      <c r="C300" t="s">
        <v>596</v>
      </c>
    </row>
    <row r="301" spans="2:3">
      <c r="B301" t="s">
        <v>597</v>
      </c>
      <c r="C301" t="s">
        <v>598</v>
      </c>
    </row>
    <row r="302" spans="2:3">
      <c r="B302" t="s">
        <v>599</v>
      </c>
      <c r="C302" t="s">
        <v>600</v>
      </c>
    </row>
    <row r="303" spans="2:3">
      <c r="B303" t="s">
        <v>601</v>
      </c>
      <c r="C303" t="s">
        <v>602</v>
      </c>
    </row>
    <row r="304" spans="2:3">
      <c r="B304" t="s">
        <v>603</v>
      </c>
      <c r="C304" t="s">
        <v>604</v>
      </c>
    </row>
    <row r="305" spans="2:3">
      <c r="B305" t="s">
        <v>605</v>
      </c>
      <c r="C305" t="s">
        <v>606</v>
      </c>
    </row>
    <row r="306" spans="2:3">
      <c r="B306" t="s">
        <v>607</v>
      </c>
      <c r="C306" t="s">
        <v>608</v>
      </c>
    </row>
    <row r="307" spans="2:3">
      <c r="B307" t="s">
        <v>609</v>
      </c>
      <c r="C307" t="s">
        <v>610</v>
      </c>
    </row>
    <row r="308" spans="2:3">
      <c r="B308" t="s">
        <v>611</v>
      </c>
      <c r="C308" t="s">
        <v>612</v>
      </c>
    </row>
    <row r="309" spans="2:3">
      <c r="B309" t="s">
        <v>613</v>
      </c>
      <c r="C309" t="s">
        <v>614</v>
      </c>
    </row>
    <row r="310" spans="2:3">
      <c r="B310" t="s">
        <v>615</v>
      </c>
      <c r="C310" t="s">
        <v>616</v>
      </c>
    </row>
    <row r="311" spans="2:3">
      <c r="B311" t="s">
        <v>617</v>
      </c>
      <c r="C311" t="s">
        <v>618</v>
      </c>
    </row>
    <row r="312" spans="2:3">
      <c r="B312" t="s">
        <v>619</v>
      </c>
      <c r="C312" t="s">
        <v>620</v>
      </c>
    </row>
    <row r="313" spans="2:3">
      <c r="B313" t="s">
        <v>621</v>
      </c>
      <c r="C313" t="s">
        <v>622</v>
      </c>
    </row>
    <row r="314" spans="2:3">
      <c r="B314" t="s">
        <v>623</v>
      </c>
      <c r="C314" t="s">
        <v>624</v>
      </c>
    </row>
    <row r="315" spans="2:3">
      <c r="B315" t="s">
        <v>625</v>
      </c>
      <c r="C315" t="s">
        <v>626</v>
      </c>
    </row>
    <row r="316" spans="2:3">
      <c r="B316" t="s">
        <v>627</v>
      </c>
      <c r="C316" t="s">
        <v>628</v>
      </c>
    </row>
    <row r="317" spans="2:3">
      <c r="B317" t="s">
        <v>629</v>
      </c>
      <c r="C317" t="s">
        <v>630</v>
      </c>
    </row>
    <row r="318" spans="2:3">
      <c r="B318" t="s">
        <v>631</v>
      </c>
      <c r="C318" t="s">
        <v>632</v>
      </c>
    </row>
    <row r="319" spans="2:3">
      <c r="B319" t="s">
        <v>633</v>
      </c>
      <c r="C319" t="s">
        <v>634</v>
      </c>
    </row>
    <row r="320" spans="2:3">
      <c r="B320" t="s">
        <v>635</v>
      </c>
      <c r="C320" t="s">
        <v>636</v>
      </c>
    </row>
    <row r="321" spans="2:3">
      <c r="B321" t="s">
        <v>637</v>
      </c>
      <c r="C321" t="s">
        <v>638</v>
      </c>
    </row>
    <row r="322" spans="2:3">
      <c r="B322" t="s">
        <v>639</v>
      </c>
      <c r="C322" t="s">
        <v>640</v>
      </c>
    </row>
    <row r="323" spans="2:3">
      <c r="B323" t="s">
        <v>641</v>
      </c>
      <c r="C323" t="s">
        <v>642</v>
      </c>
    </row>
    <row r="324" spans="2:3">
      <c r="B324" t="s">
        <v>643</v>
      </c>
      <c r="C324" t="s">
        <v>644</v>
      </c>
    </row>
    <row r="325" spans="2:3">
      <c r="B325" t="s">
        <v>645</v>
      </c>
      <c r="C325" t="s">
        <v>646</v>
      </c>
    </row>
    <row r="326" spans="2:3">
      <c r="B326" t="s">
        <v>647</v>
      </c>
      <c r="C326" t="s">
        <v>648</v>
      </c>
    </row>
    <row r="327" spans="2:3">
      <c r="B327" t="s">
        <v>649</v>
      </c>
      <c r="C327" t="s">
        <v>650</v>
      </c>
    </row>
    <row r="328" spans="2:3">
      <c r="B328" t="s">
        <v>651</v>
      </c>
      <c r="C328" t="s">
        <v>652</v>
      </c>
    </row>
    <row r="329" spans="2:3">
      <c r="B329" t="s">
        <v>653</v>
      </c>
      <c r="C329" t="s">
        <v>654</v>
      </c>
    </row>
    <row r="330" spans="2:3">
      <c r="B330" t="s">
        <v>655</v>
      </c>
      <c r="C330" t="s">
        <v>656</v>
      </c>
    </row>
    <row r="331" spans="2:3">
      <c r="B331" t="s">
        <v>657</v>
      </c>
      <c r="C331" t="s">
        <v>658</v>
      </c>
    </row>
    <row r="332" spans="2:3">
      <c r="B332" t="s">
        <v>659</v>
      </c>
      <c r="C332" t="s">
        <v>660</v>
      </c>
    </row>
    <row r="333" spans="2:3">
      <c r="B333" t="s">
        <v>661</v>
      </c>
      <c r="C333" t="s">
        <v>662</v>
      </c>
    </row>
    <row r="334" spans="2:3">
      <c r="B334" t="s">
        <v>663</v>
      </c>
      <c r="C334" t="s">
        <v>664</v>
      </c>
    </row>
    <row r="335" spans="2:3">
      <c r="B335" t="s">
        <v>665</v>
      </c>
      <c r="C335" t="s">
        <v>666</v>
      </c>
    </row>
    <row r="336" spans="2:3">
      <c r="B336" t="s">
        <v>667</v>
      </c>
      <c r="C336" t="s">
        <v>668</v>
      </c>
    </row>
    <row r="337" spans="2:3">
      <c r="B337" t="s">
        <v>669</v>
      </c>
      <c r="C337" t="s">
        <v>670</v>
      </c>
    </row>
    <row r="338" spans="2:3">
      <c r="B338" t="s">
        <v>671</v>
      </c>
      <c r="C338" t="s">
        <v>672</v>
      </c>
    </row>
    <row r="339" spans="2:3">
      <c r="B339" t="s">
        <v>673</v>
      </c>
      <c r="C339" t="s">
        <v>674</v>
      </c>
    </row>
    <row r="340" spans="2:3">
      <c r="B340" t="s">
        <v>675</v>
      </c>
      <c r="C340" t="s">
        <v>676</v>
      </c>
    </row>
    <row r="341" spans="2:3">
      <c r="B341" t="s">
        <v>677</v>
      </c>
      <c r="C341" t="s">
        <v>678</v>
      </c>
    </row>
    <row r="342" spans="2:3">
      <c r="B342" t="s">
        <v>679</v>
      </c>
      <c r="C342" t="s">
        <v>680</v>
      </c>
    </row>
    <row r="343" spans="2:3">
      <c r="B343" t="s">
        <v>681</v>
      </c>
      <c r="C343" t="s">
        <v>682</v>
      </c>
    </row>
    <row r="344" spans="2:3">
      <c r="B344" t="s">
        <v>683</v>
      </c>
      <c r="C344" t="s">
        <v>684</v>
      </c>
    </row>
    <row r="345" spans="2:3">
      <c r="B345" t="s">
        <v>685</v>
      </c>
      <c r="C345" t="s">
        <v>686</v>
      </c>
    </row>
    <row r="346" spans="2:3">
      <c r="B346" t="s">
        <v>687</v>
      </c>
      <c r="C346" t="s">
        <v>688</v>
      </c>
    </row>
    <row r="347" spans="2:3">
      <c r="B347" t="s">
        <v>689</v>
      </c>
      <c r="C347" t="s">
        <v>690</v>
      </c>
    </row>
    <row r="348" spans="2:3">
      <c r="B348" t="s">
        <v>691</v>
      </c>
      <c r="C348" t="s">
        <v>692</v>
      </c>
    </row>
    <row r="349" spans="2:3">
      <c r="B349" t="s">
        <v>693</v>
      </c>
      <c r="C349" t="s">
        <v>694</v>
      </c>
    </row>
    <row r="350" spans="2:3">
      <c r="B350" t="s">
        <v>695</v>
      </c>
      <c r="C350" t="s">
        <v>696</v>
      </c>
    </row>
    <row r="351" spans="2:3">
      <c r="B351" t="s">
        <v>697</v>
      </c>
      <c r="C351" t="s">
        <v>698</v>
      </c>
    </row>
    <row r="352" spans="2:3">
      <c r="B352" t="s">
        <v>699</v>
      </c>
      <c r="C352" t="s">
        <v>700</v>
      </c>
    </row>
    <row r="353" spans="2:3">
      <c r="B353" t="s">
        <v>701</v>
      </c>
      <c r="C353" t="s">
        <v>702</v>
      </c>
    </row>
    <row r="354" spans="2:3">
      <c r="B354" t="s">
        <v>703</v>
      </c>
      <c r="C354" t="s">
        <v>704</v>
      </c>
    </row>
    <row r="355" spans="2:3">
      <c r="B355" t="s">
        <v>705</v>
      </c>
      <c r="C355" t="s">
        <v>706</v>
      </c>
    </row>
    <row r="356" spans="2:3">
      <c r="B356" t="s">
        <v>707</v>
      </c>
      <c r="C356" t="s">
        <v>708</v>
      </c>
    </row>
    <row r="357" spans="2:3">
      <c r="B357" t="s">
        <v>709</v>
      </c>
      <c r="C357" t="s">
        <v>710</v>
      </c>
    </row>
    <row r="358" spans="2:3">
      <c r="B358" t="s">
        <v>711</v>
      </c>
      <c r="C358" t="s">
        <v>712</v>
      </c>
    </row>
    <row r="359" spans="2:3">
      <c r="B359" t="s">
        <v>713</v>
      </c>
      <c r="C359" t="s">
        <v>714</v>
      </c>
    </row>
    <row r="360" spans="2:3">
      <c r="B360" t="s">
        <v>715</v>
      </c>
      <c r="C360" t="s">
        <v>716</v>
      </c>
    </row>
    <row r="361" spans="2:3">
      <c r="B361" t="s">
        <v>717</v>
      </c>
      <c r="C361" t="s">
        <v>718</v>
      </c>
    </row>
    <row r="362" spans="2:3">
      <c r="B362" t="s">
        <v>719</v>
      </c>
      <c r="C362" t="s">
        <v>720</v>
      </c>
    </row>
    <row r="363" spans="2:3">
      <c r="B363" t="s">
        <v>721</v>
      </c>
      <c r="C363" t="s">
        <v>722</v>
      </c>
    </row>
    <row r="364" spans="2:3">
      <c r="B364" t="s">
        <v>723</v>
      </c>
      <c r="C364" t="s">
        <v>724</v>
      </c>
    </row>
    <row r="365" spans="2:3">
      <c r="B365" t="s">
        <v>725</v>
      </c>
      <c r="C365" t="s">
        <v>726</v>
      </c>
    </row>
    <row r="366" spans="2:3">
      <c r="B366" t="s">
        <v>727</v>
      </c>
      <c r="C366" t="s">
        <v>728</v>
      </c>
    </row>
    <row r="367" spans="2:3">
      <c r="B367" t="s">
        <v>729</v>
      </c>
      <c r="C367" t="s">
        <v>730</v>
      </c>
    </row>
    <row r="368" spans="2:3">
      <c r="B368" t="s">
        <v>731</v>
      </c>
      <c r="C368" t="s">
        <v>732</v>
      </c>
    </row>
    <row r="369" spans="2:3">
      <c r="B369" t="s">
        <v>733</v>
      </c>
      <c r="C369" t="s">
        <v>734</v>
      </c>
    </row>
    <row r="370" spans="2:3">
      <c r="B370" t="s">
        <v>735</v>
      </c>
      <c r="C370" t="s">
        <v>736</v>
      </c>
    </row>
    <row r="371" spans="2:3">
      <c r="B371" t="s">
        <v>737</v>
      </c>
      <c r="C371" t="s">
        <v>738</v>
      </c>
    </row>
    <row r="372" spans="2:3">
      <c r="B372" t="s">
        <v>739</v>
      </c>
      <c r="C372" t="s">
        <v>740</v>
      </c>
    </row>
    <row r="373" spans="2:3">
      <c r="B373" t="s">
        <v>741</v>
      </c>
      <c r="C373" t="s">
        <v>742</v>
      </c>
    </row>
    <row r="374" spans="2:3">
      <c r="B374" t="s">
        <v>743</v>
      </c>
      <c r="C374" t="s">
        <v>744</v>
      </c>
    </row>
    <row r="375" spans="2:3">
      <c r="B375" t="s">
        <v>745</v>
      </c>
      <c r="C375" t="s">
        <v>746</v>
      </c>
    </row>
    <row r="376" spans="2:3">
      <c r="B376" t="s">
        <v>747</v>
      </c>
      <c r="C376" t="s">
        <v>748</v>
      </c>
    </row>
    <row r="377" spans="2:3">
      <c r="B377" t="s">
        <v>749</v>
      </c>
      <c r="C377" t="s">
        <v>750</v>
      </c>
    </row>
    <row r="378" spans="2:3">
      <c r="B378" t="s">
        <v>751</v>
      </c>
      <c r="C378" t="s">
        <v>752</v>
      </c>
    </row>
    <row r="379" spans="2:3">
      <c r="B379" t="s">
        <v>753</v>
      </c>
      <c r="C379" t="s">
        <v>754</v>
      </c>
    </row>
    <row r="380" spans="2:3">
      <c r="B380" t="s">
        <v>755</v>
      </c>
      <c r="C380" t="s">
        <v>756</v>
      </c>
    </row>
    <row r="381" spans="2:3">
      <c r="B381" t="s">
        <v>757</v>
      </c>
      <c r="C381" t="s">
        <v>758</v>
      </c>
    </row>
    <row r="382" spans="2:3">
      <c r="B382" t="s">
        <v>759</v>
      </c>
      <c r="C382" t="s">
        <v>760</v>
      </c>
    </row>
    <row r="383" spans="2:3">
      <c r="B383" t="s">
        <v>761</v>
      </c>
      <c r="C383" t="s">
        <v>762</v>
      </c>
    </row>
    <row r="384" spans="2:3">
      <c r="B384" t="s">
        <v>763</v>
      </c>
      <c r="C384" t="s">
        <v>764</v>
      </c>
    </row>
    <row r="385" spans="2:3">
      <c r="B385" t="s">
        <v>765</v>
      </c>
      <c r="C385" t="s">
        <v>766</v>
      </c>
    </row>
    <row r="386" spans="2:3">
      <c r="B386" t="s">
        <v>767</v>
      </c>
      <c r="C386" t="s">
        <v>768</v>
      </c>
    </row>
    <row r="387" spans="2:3">
      <c r="B387" t="s">
        <v>769</v>
      </c>
      <c r="C387" t="s">
        <v>770</v>
      </c>
    </row>
    <row r="388" spans="2:3">
      <c r="B388" t="s">
        <v>771</v>
      </c>
      <c r="C388" t="s">
        <v>772</v>
      </c>
    </row>
    <row r="389" spans="2:3">
      <c r="B389" t="s">
        <v>773</v>
      </c>
      <c r="C389" t="s">
        <v>774</v>
      </c>
    </row>
    <row r="390" spans="2:3">
      <c r="B390" t="s">
        <v>775</v>
      </c>
      <c r="C390" t="s">
        <v>776</v>
      </c>
    </row>
    <row r="391" spans="2:3">
      <c r="B391" t="s">
        <v>777</v>
      </c>
      <c r="C391" t="s">
        <v>778</v>
      </c>
    </row>
    <row r="392" spans="2:3">
      <c r="B392" t="s">
        <v>779</v>
      </c>
      <c r="C392" t="s">
        <v>780</v>
      </c>
    </row>
    <row r="393" spans="2:3">
      <c r="B393" t="s">
        <v>781</v>
      </c>
      <c r="C393" t="s">
        <v>782</v>
      </c>
    </row>
    <row r="394" spans="2:3">
      <c r="B394" t="s">
        <v>783</v>
      </c>
      <c r="C394" t="s">
        <v>784</v>
      </c>
    </row>
    <row r="395" spans="2:3">
      <c r="B395" t="s">
        <v>785</v>
      </c>
      <c r="C395" t="s">
        <v>786</v>
      </c>
    </row>
    <row r="396" spans="2:3">
      <c r="B396" t="s">
        <v>787</v>
      </c>
      <c r="C396" t="s">
        <v>788</v>
      </c>
    </row>
    <row r="397" spans="2:3">
      <c r="B397" t="s">
        <v>789</v>
      </c>
      <c r="C397" t="s">
        <v>790</v>
      </c>
    </row>
    <row r="398" spans="2:3">
      <c r="B398" t="s">
        <v>791</v>
      </c>
      <c r="C398" t="s">
        <v>792</v>
      </c>
    </row>
    <row r="399" spans="2:3">
      <c r="B399" t="s">
        <v>793</v>
      </c>
      <c r="C399" t="s">
        <v>794</v>
      </c>
    </row>
    <row r="400" spans="2:3">
      <c r="B400" t="s">
        <v>795</v>
      </c>
      <c r="C400" t="s">
        <v>796</v>
      </c>
    </row>
    <row r="401" spans="2:3">
      <c r="B401" t="s">
        <v>797</v>
      </c>
      <c r="C401" t="s">
        <v>798</v>
      </c>
    </row>
    <row r="402" spans="2:3">
      <c r="B402" t="s">
        <v>799</v>
      </c>
      <c r="C402" t="s">
        <v>800</v>
      </c>
    </row>
    <row r="403" spans="2:3">
      <c r="B403" t="s">
        <v>801</v>
      </c>
      <c r="C403" t="s">
        <v>802</v>
      </c>
    </row>
    <row r="404" spans="2:3">
      <c r="B404" t="s">
        <v>803</v>
      </c>
      <c r="C404" t="s">
        <v>804</v>
      </c>
    </row>
    <row r="405" spans="2:3">
      <c r="B405" t="s">
        <v>805</v>
      </c>
      <c r="C405" t="s">
        <v>806</v>
      </c>
    </row>
    <row r="406" spans="2:3">
      <c r="B406" t="s">
        <v>807</v>
      </c>
      <c r="C406" t="s">
        <v>808</v>
      </c>
    </row>
    <row r="407" spans="2:3">
      <c r="B407" t="s">
        <v>809</v>
      </c>
      <c r="C407" t="s">
        <v>810</v>
      </c>
    </row>
    <row r="408" spans="2:3">
      <c r="B408" t="s">
        <v>811</v>
      </c>
      <c r="C408" t="s">
        <v>812</v>
      </c>
    </row>
    <row r="409" spans="2:3">
      <c r="B409" t="s">
        <v>813</v>
      </c>
      <c r="C409" t="s">
        <v>814</v>
      </c>
    </row>
    <row r="410" spans="2:3">
      <c r="B410" t="s">
        <v>815</v>
      </c>
      <c r="C410" t="s">
        <v>816</v>
      </c>
    </row>
    <row r="411" spans="2:3">
      <c r="B411" t="s">
        <v>817</v>
      </c>
      <c r="C411" t="s">
        <v>818</v>
      </c>
    </row>
    <row r="412" spans="2:3">
      <c r="B412" t="s">
        <v>819</v>
      </c>
      <c r="C412" t="s">
        <v>820</v>
      </c>
    </row>
    <row r="413" spans="2:3">
      <c r="B413" t="s">
        <v>821</v>
      </c>
      <c r="C413" t="s">
        <v>822</v>
      </c>
    </row>
    <row r="414" spans="2:3">
      <c r="B414" t="s">
        <v>823</v>
      </c>
      <c r="C414" t="s">
        <v>824</v>
      </c>
    </row>
    <row r="415" spans="2:3">
      <c r="B415" t="s">
        <v>825</v>
      </c>
      <c r="C415" t="s">
        <v>826</v>
      </c>
    </row>
    <row r="416" spans="2:3">
      <c r="B416" t="s">
        <v>827</v>
      </c>
      <c r="C416" t="s">
        <v>828</v>
      </c>
    </row>
    <row r="417" spans="2:3">
      <c r="B417" t="s">
        <v>829</v>
      </c>
      <c r="C417" t="s">
        <v>830</v>
      </c>
    </row>
    <row r="418" spans="2:3">
      <c r="B418" t="s">
        <v>831</v>
      </c>
      <c r="C418" t="s">
        <v>832</v>
      </c>
    </row>
    <row r="419" spans="2:3">
      <c r="B419" t="s">
        <v>833</v>
      </c>
      <c r="C419" t="s">
        <v>834</v>
      </c>
    </row>
    <row r="420" spans="2:3">
      <c r="B420" t="s">
        <v>835</v>
      </c>
      <c r="C420" t="s">
        <v>836</v>
      </c>
    </row>
    <row r="421" spans="2:3">
      <c r="B421" t="s">
        <v>837</v>
      </c>
      <c r="C421" t="s">
        <v>838</v>
      </c>
    </row>
    <row r="422" spans="2:3">
      <c r="B422" t="s">
        <v>839</v>
      </c>
      <c r="C422" t="s">
        <v>840</v>
      </c>
    </row>
    <row r="423" spans="2:3">
      <c r="B423" t="s">
        <v>841</v>
      </c>
      <c r="C423" t="s">
        <v>842</v>
      </c>
    </row>
    <row r="424" spans="2:3">
      <c r="B424" t="s">
        <v>843</v>
      </c>
      <c r="C424" t="s">
        <v>844</v>
      </c>
    </row>
    <row r="425" spans="2:3">
      <c r="B425" t="s">
        <v>845</v>
      </c>
      <c r="C425" t="s">
        <v>846</v>
      </c>
    </row>
    <row r="426" spans="2:3">
      <c r="B426" t="s">
        <v>847</v>
      </c>
      <c r="C426" t="s">
        <v>848</v>
      </c>
    </row>
    <row r="427" spans="2:3">
      <c r="B427" t="s">
        <v>849</v>
      </c>
      <c r="C427" t="s">
        <v>850</v>
      </c>
    </row>
    <row r="428" spans="2:3">
      <c r="B428" t="s">
        <v>851</v>
      </c>
      <c r="C428" t="s">
        <v>852</v>
      </c>
    </row>
    <row r="429" spans="2:3">
      <c r="B429" t="s">
        <v>853</v>
      </c>
      <c r="C429" t="s">
        <v>854</v>
      </c>
    </row>
    <row r="430" spans="2:3">
      <c r="B430" t="s">
        <v>855</v>
      </c>
      <c r="C430" t="s">
        <v>856</v>
      </c>
    </row>
    <row r="431" spans="2:3">
      <c r="B431" t="s">
        <v>857</v>
      </c>
      <c r="C431" t="s">
        <v>858</v>
      </c>
    </row>
    <row r="432" spans="2:3">
      <c r="B432" t="s">
        <v>859</v>
      </c>
      <c r="C432" t="s">
        <v>860</v>
      </c>
    </row>
    <row r="433" spans="2:3">
      <c r="B433" t="s">
        <v>861</v>
      </c>
      <c r="C433" t="s">
        <v>862</v>
      </c>
    </row>
    <row r="434" spans="2:3">
      <c r="B434" t="s">
        <v>863</v>
      </c>
      <c r="C434" t="s">
        <v>864</v>
      </c>
    </row>
    <row r="435" spans="2:3">
      <c r="B435" t="s">
        <v>865</v>
      </c>
      <c r="C435" t="s">
        <v>866</v>
      </c>
    </row>
    <row r="436" spans="2:3">
      <c r="B436" t="s">
        <v>867</v>
      </c>
      <c r="C436" t="s">
        <v>868</v>
      </c>
    </row>
    <row r="437" spans="2:3">
      <c r="B437" t="s">
        <v>869</v>
      </c>
      <c r="C437" t="s">
        <v>870</v>
      </c>
    </row>
    <row r="438" spans="2:3">
      <c r="B438" t="s">
        <v>871</v>
      </c>
      <c r="C438" t="s">
        <v>872</v>
      </c>
    </row>
    <row r="439" spans="2:3">
      <c r="B439" t="s">
        <v>873</v>
      </c>
      <c r="C439" t="s">
        <v>874</v>
      </c>
    </row>
    <row r="440" spans="2:3">
      <c r="B440" t="s">
        <v>875</v>
      </c>
      <c r="C440" t="s">
        <v>876</v>
      </c>
    </row>
    <row r="441" spans="2:3">
      <c r="B441" t="s">
        <v>877</v>
      </c>
      <c r="C441" t="s">
        <v>878</v>
      </c>
    </row>
    <row r="442" spans="2:3">
      <c r="B442" t="s">
        <v>879</v>
      </c>
      <c r="C442" t="s">
        <v>880</v>
      </c>
    </row>
    <row r="443" spans="2:3">
      <c r="B443" t="s">
        <v>881</v>
      </c>
      <c r="C443" t="s">
        <v>882</v>
      </c>
    </row>
    <row r="444" spans="2:3">
      <c r="B444" t="s">
        <v>883</v>
      </c>
      <c r="C444" t="s">
        <v>884</v>
      </c>
    </row>
    <row r="445" spans="2:3">
      <c r="B445" t="s">
        <v>885</v>
      </c>
      <c r="C445" t="s">
        <v>886</v>
      </c>
    </row>
    <row r="446" spans="2:3">
      <c r="B446" t="s">
        <v>887</v>
      </c>
      <c r="C446" t="s">
        <v>888</v>
      </c>
    </row>
    <row r="447" spans="2:3">
      <c r="B447" t="s">
        <v>889</v>
      </c>
      <c r="C447" t="s">
        <v>890</v>
      </c>
    </row>
    <row r="448" spans="2:3">
      <c r="B448" t="s">
        <v>891</v>
      </c>
      <c r="C448" t="s">
        <v>892</v>
      </c>
    </row>
    <row r="449" spans="2:3">
      <c r="B449" t="s">
        <v>893</v>
      </c>
      <c r="C449" t="s">
        <v>894</v>
      </c>
    </row>
    <row r="450" spans="2:3">
      <c r="B450" t="s">
        <v>895</v>
      </c>
      <c r="C450" t="s">
        <v>896</v>
      </c>
    </row>
    <row r="451" spans="2:3">
      <c r="B451" t="s">
        <v>897</v>
      </c>
      <c r="C451" t="s">
        <v>898</v>
      </c>
    </row>
    <row r="452" spans="2:3">
      <c r="B452" t="s">
        <v>899</v>
      </c>
      <c r="C452" t="s">
        <v>900</v>
      </c>
    </row>
    <row r="453" spans="2:3">
      <c r="B453" t="s">
        <v>901</v>
      </c>
      <c r="C453" t="s">
        <v>902</v>
      </c>
    </row>
    <row r="454" spans="2:3">
      <c r="B454" t="s">
        <v>903</v>
      </c>
      <c r="C454" t="s">
        <v>904</v>
      </c>
    </row>
    <row r="455" spans="2:3">
      <c r="B455" t="s">
        <v>905</v>
      </c>
      <c r="C455" t="s">
        <v>906</v>
      </c>
    </row>
    <row r="456" spans="2:3">
      <c r="B456" t="s">
        <v>907</v>
      </c>
      <c r="C456" t="s">
        <v>908</v>
      </c>
    </row>
    <row r="457" spans="2:3">
      <c r="B457" t="s">
        <v>909</v>
      </c>
      <c r="C457" t="s">
        <v>910</v>
      </c>
    </row>
    <row r="458" spans="2:3">
      <c r="B458" t="s">
        <v>911</v>
      </c>
      <c r="C458" t="s">
        <v>912</v>
      </c>
    </row>
    <row r="459" spans="2:3">
      <c r="B459" t="s">
        <v>913</v>
      </c>
      <c r="C459" t="s">
        <v>914</v>
      </c>
    </row>
    <row r="460" spans="2:3">
      <c r="B460" t="s">
        <v>915</v>
      </c>
      <c r="C460" t="s">
        <v>916</v>
      </c>
    </row>
    <row r="461" spans="2:3">
      <c r="B461" t="s">
        <v>917</v>
      </c>
      <c r="C461" t="s">
        <v>918</v>
      </c>
    </row>
    <row r="462" spans="2:3">
      <c r="B462" t="s">
        <v>919</v>
      </c>
      <c r="C462" t="s">
        <v>920</v>
      </c>
    </row>
    <row r="463" spans="2:3">
      <c r="B463" t="s">
        <v>921</v>
      </c>
      <c r="C463" t="s">
        <v>922</v>
      </c>
    </row>
    <row r="464" spans="2:3">
      <c r="B464" t="s">
        <v>923</v>
      </c>
      <c r="C464" t="s">
        <v>924</v>
      </c>
    </row>
    <row r="465" spans="2:3">
      <c r="B465" t="s">
        <v>925</v>
      </c>
      <c r="C465" t="s">
        <v>926</v>
      </c>
    </row>
    <row r="466" spans="2:3">
      <c r="B466" t="s">
        <v>927</v>
      </c>
      <c r="C466" t="s">
        <v>928</v>
      </c>
    </row>
    <row r="467" spans="2:3">
      <c r="B467" t="s">
        <v>929</v>
      </c>
      <c r="C467" t="s">
        <v>930</v>
      </c>
    </row>
    <row r="468" spans="2:3">
      <c r="B468" t="s">
        <v>931</v>
      </c>
      <c r="C468" t="s">
        <v>932</v>
      </c>
    </row>
    <row r="469" spans="2:3">
      <c r="B469" t="s">
        <v>933</v>
      </c>
      <c r="C469" t="s">
        <v>934</v>
      </c>
    </row>
    <row r="470" spans="2:3">
      <c r="B470" t="s">
        <v>935</v>
      </c>
      <c r="C470" t="s">
        <v>936</v>
      </c>
    </row>
    <row r="471" spans="2:3">
      <c r="B471" t="s">
        <v>937</v>
      </c>
      <c r="C471" t="s">
        <v>938</v>
      </c>
    </row>
    <row r="472" spans="2:3">
      <c r="B472" t="s">
        <v>939</v>
      </c>
      <c r="C472" t="s">
        <v>940</v>
      </c>
    </row>
    <row r="473" spans="2:3">
      <c r="B473" t="s">
        <v>941</v>
      </c>
      <c r="C473" t="s">
        <v>942</v>
      </c>
    </row>
    <row r="474" spans="2:3">
      <c r="B474" t="s">
        <v>943</v>
      </c>
      <c r="C474" t="s">
        <v>944</v>
      </c>
    </row>
    <row r="475" spans="2:3">
      <c r="B475" t="s">
        <v>945</v>
      </c>
      <c r="C475" t="s">
        <v>946</v>
      </c>
    </row>
    <row r="476" spans="2:3">
      <c r="B476" t="s">
        <v>947</v>
      </c>
      <c r="C476" t="s">
        <v>948</v>
      </c>
    </row>
    <row r="477" spans="2:3">
      <c r="B477" t="s">
        <v>949</v>
      </c>
      <c r="C477" t="s">
        <v>950</v>
      </c>
    </row>
    <row r="478" spans="2:3">
      <c r="B478" t="s">
        <v>951</v>
      </c>
      <c r="C478" t="s">
        <v>952</v>
      </c>
    </row>
    <row r="479" spans="2:3">
      <c r="B479" t="s">
        <v>953</v>
      </c>
      <c r="C479" t="s">
        <v>954</v>
      </c>
    </row>
    <row r="480" spans="2:3">
      <c r="B480" t="s">
        <v>955</v>
      </c>
      <c r="C480" t="s">
        <v>956</v>
      </c>
    </row>
    <row r="481" spans="2:3">
      <c r="B481" t="s">
        <v>957</v>
      </c>
      <c r="C481" t="s">
        <v>958</v>
      </c>
    </row>
    <row r="482" spans="2:3">
      <c r="B482" t="s">
        <v>959</v>
      </c>
      <c r="C482" t="s">
        <v>960</v>
      </c>
    </row>
    <row r="483" spans="2:3">
      <c r="B483" t="s">
        <v>961</v>
      </c>
      <c r="C483" t="s">
        <v>962</v>
      </c>
    </row>
    <row r="484" spans="2:3">
      <c r="B484" t="s">
        <v>963</v>
      </c>
      <c r="C484" t="s">
        <v>964</v>
      </c>
    </row>
  </sheetData>
  <mergeCells count="13">
    <mergeCell ref="F15:F18"/>
    <mergeCell ref="F27:F30"/>
    <mergeCell ref="F31:F34"/>
    <mergeCell ref="A1:C1"/>
    <mergeCell ref="F1:H1"/>
    <mergeCell ref="F19:F22"/>
    <mergeCell ref="F23:F26"/>
    <mergeCell ref="V1:X1"/>
    <mergeCell ref="N1:T1"/>
    <mergeCell ref="F3:F6"/>
    <mergeCell ref="F7:F10"/>
    <mergeCell ref="F11:F14"/>
    <mergeCell ref="J1:L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workbookViewId="0">
      <selection activeCell="A15" sqref="A15"/>
    </sheetView>
  </sheetViews>
  <sheetFormatPr defaultRowHeight="15"/>
  <cols>
    <col min="1" max="1" width="53.5703125" customWidth="1"/>
    <col min="3" max="3" width="15.5703125" style="2" bestFit="1" customWidth="1"/>
    <col min="4" max="4" width="15.5703125" style="2" customWidth="1"/>
    <col min="5" max="5" width="15.5703125" style="2" bestFit="1" customWidth="1"/>
    <col min="6" max="7" width="15.5703125" style="2" customWidth="1"/>
    <col min="8" max="8" width="15.5703125" style="2" bestFit="1" customWidth="1"/>
    <col min="9" max="9" width="15.5703125" style="2" customWidth="1"/>
    <col min="10" max="10" width="15.5703125" style="2" bestFit="1" customWidth="1"/>
    <col min="11" max="11" width="14.5703125" bestFit="1" customWidth="1"/>
  </cols>
  <sheetData>
    <row r="1" spans="1:11">
      <c r="A1" t="s">
        <v>984</v>
      </c>
      <c r="C1" s="16" t="s">
        <v>664</v>
      </c>
      <c r="D1" s="20" t="s">
        <v>602</v>
      </c>
      <c r="E1" s="24" t="s">
        <v>728</v>
      </c>
      <c r="F1" s="9" t="s">
        <v>1005</v>
      </c>
      <c r="G1" s="6"/>
      <c r="H1" s="12" t="s">
        <v>632</v>
      </c>
      <c r="I1" s="12" t="s">
        <v>718</v>
      </c>
      <c r="J1" s="12" t="s">
        <v>960</v>
      </c>
      <c r="K1" s="12" t="s">
        <v>940</v>
      </c>
    </row>
    <row r="2" spans="1:11">
      <c r="A2" s="15" t="s">
        <v>987</v>
      </c>
      <c r="C2" s="17" t="s">
        <v>666</v>
      </c>
      <c r="D2" s="21" t="s">
        <v>482</v>
      </c>
      <c r="E2" s="25" t="s">
        <v>724</v>
      </c>
      <c r="F2" s="10" t="s">
        <v>924</v>
      </c>
      <c r="G2" s="7"/>
      <c r="H2" s="13" t="s">
        <v>720</v>
      </c>
      <c r="I2" s="13" t="s">
        <v>652</v>
      </c>
      <c r="J2" s="13" t="s">
        <v>754</v>
      </c>
      <c r="K2" s="13" t="s">
        <v>872</v>
      </c>
    </row>
    <row r="3" spans="1:11">
      <c r="A3" s="19" t="s">
        <v>989</v>
      </c>
      <c r="C3" s="17" t="s">
        <v>490</v>
      </c>
      <c r="D3" s="21" t="s">
        <v>620</v>
      </c>
      <c r="E3" s="25" t="s">
        <v>730</v>
      </c>
      <c r="F3" s="10" t="s">
        <v>912</v>
      </c>
      <c r="G3" s="7"/>
      <c r="H3" s="13" t="s">
        <v>654</v>
      </c>
      <c r="I3" s="13" t="s">
        <v>644</v>
      </c>
      <c r="J3" s="13" t="s">
        <v>958</v>
      </c>
      <c r="K3" s="13" t="s">
        <v>922</v>
      </c>
    </row>
    <row r="4" spans="1:11">
      <c r="A4" s="23" t="s">
        <v>988</v>
      </c>
      <c r="C4" s="17" t="s">
        <v>714</v>
      </c>
      <c r="D4" s="21" t="s">
        <v>610</v>
      </c>
      <c r="E4" s="25" t="s">
        <v>995</v>
      </c>
      <c r="F4" s="10" t="s">
        <v>848</v>
      </c>
      <c r="G4" s="7"/>
      <c r="H4" s="13" t="s">
        <v>682</v>
      </c>
      <c r="I4" s="13" t="s">
        <v>514</v>
      </c>
      <c r="J4" s="13" t="s">
        <v>894</v>
      </c>
      <c r="K4" s="13" t="s">
        <v>892</v>
      </c>
    </row>
    <row r="5" spans="1:11">
      <c r="A5" s="8" t="s">
        <v>990</v>
      </c>
      <c r="C5" s="17" t="s">
        <v>500</v>
      </c>
      <c r="D5" s="21" t="s">
        <v>508</v>
      </c>
      <c r="E5" s="25" t="s">
        <v>748</v>
      </c>
      <c r="F5" s="10" t="s">
        <v>736</v>
      </c>
      <c r="G5" s="7"/>
      <c r="H5" s="13" t="s">
        <v>526</v>
      </c>
      <c r="I5" s="13" t="s">
        <v>530</v>
      </c>
      <c r="J5" s="13" t="s">
        <v>770</v>
      </c>
      <c r="K5" s="13" t="s">
        <v>744</v>
      </c>
    </row>
    <row r="6" spans="1:11">
      <c r="C6" s="17" t="s">
        <v>502</v>
      </c>
      <c r="D6" s="21" t="s">
        <v>510</v>
      </c>
      <c r="E6" s="25" t="s">
        <v>750</v>
      </c>
      <c r="F6" s="10" t="s">
        <v>738</v>
      </c>
      <c r="G6" s="7"/>
      <c r="H6" s="13" t="s">
        <v>528</v>
      </c>
      <c r="I6" s="13" t="s">
        <v>532</v>
      </c>
      <c r="J6" s="13" t="s">
        <v>772</v>
      </c>
      <c r="K6" s="13" t="s">
        <v>746</v>
      </c>
    </row>
    <row r="7" spans="1:11">
      <c r="A7" s="19" t="s">
        <v>992</v>
      </c>
      <c r="C7" s="17" t="s">
        <v>690</v>
      </c>
      <c r="D7" s="21" t="s">
        <v>688</v>
      </c>
      <c r="E7" s="25" t="s">
        <v>996</v>
      </c>
      <c r="F7" s="10" t="s">
        <v>760</v>
      </c>
      <c r="G7" s="7"/>
      <c r="H7" s="13" t="s">
        <v>590</v>
      </c>
      <c r="I7" s="13" t="s">
        <v>1006</v>
      </c>
      <c r="J7" s="13" t="s">
        <v>896</v>
      </c>
      <c r="K7" s="13" t="s">
        <v>1007</v>
      </c>
    </row>
    <row r="8" spans="1:11">
      <c r="A8" s="15" t="s">
        <v>991</v>
      </c>
      <c r="C8" s="17" t="s">
        <v>492</v>
      </c>
      <c r="D8" s="21" t="s">
        <v>716</v>
      </c>
      <c r="E8" s="25" t="s">
        <v>734</v>
      </c>
      <c r="F8" s="10" t="s">
        <v>914</v>
      </c>
      <c r="G8" s="7"/>
      <c r="H8" s="13" t="s">
        <v>596</v>
      </c>
      <c r="I8" s="13" t="s">
        <v>642</v>
      </c>
      <c r="J8" s="13" t="s">
        <v>800</v>
      </c>
      <c r="K8" s="13" t="s">
        <v>722</v>
      </c>
    </row>
    <row r="9" spans="1:11">
      <c r="A9" s="8" t="s">
        <v>993</v>
      </c>
      <c r="C9" s="17" t="s">
        <v>494</v>
      </c>
      <c r="D9" s="21" t="s">
        <v>612</v>
      </c>
      <c r="E9" s="25" t="s">
        <v>944</v>
      </c>
      <c r="F9" s="10" t="s">
        <v>910</v>
      </c>
      <c r="G9" s="7"/>
      <c r="H9" s="13" t="s">
        <v>997</v>
      </c>
      <c r="I9" s="13" t="s">
        <v>558</v>
      </c>
      <c r="J9" s="13" t="s">
        <v>792</v>
      </c>
      <c r="K9" s="13" t="s">
        <v>874</v>
      </c>
    </row>
    <row r="10" spans="1:11">
      <c r="A10" s="23" t="s">
        <v>994</v>
      </c>
      <c r="C10" s="17" t="s">
        <v>686</v>
      </c>
      <c r="D10" s="21" t="s">
        <v>692</v>
      </c>
      <c r="E10" s="25" t="s">
        <v>868</v>
      </c>
      <c r="F10" s="10" t="s">
        <v>888</v>
      </c>
      <c r="G10" s="7"/>
      <c r="H10" s="13" t="s">
        <v>524</v>
      </c>
      <c r="I10" s="13" t="s">
        <v>1008</v>
      </c>
      <c r="J10" s="13" t="s">
        <v>794</v>
      </c>
      <c r="K10" s="13" t="s">
        <v>1009</v>
      </c>
    </row>
    <row r="11" spans="1:11">
      <c r="C11" s="17" t="s">
        <v>504</v>
      </c>
      <c r="D11" s="21" t="s">
        <v>964</v>
      </c>
      <c r="E11" s="25" t="s">
        <v>740</v>
      </c>
      <c r="F11" s="10" t="s">
        <v>916</v>
      </c>
      <c r="G11" s="7"/>
      <c r="H11" s="13" t="s">
        <v>496</v>
      </c>
      <c r="I11" s="13" t="s">
        <v>662</v>
      </c>
      <c r="J11" s="13" t="s">
        <v>766</v>
      </c>
      <c r="K11" s="13" t="s">
        <v>956</v>
      </c>
    </row>
    <row r="12" spans="1:11">
      <c r="C12" s="17" t="s">
        <v>506</v>
      </c>
      <c r="D12" s="21" t="s">
        <v>594</v>
      </c>
      <c r="E12" s="25" t="s">
        <v>742</v>
      </c>
      <c r="F12" s="10" t="s">
        <v>918</v>
      </c>
      <c r="G12" s="7"/>
      <c r="H12" s="13" t="s">
        <v>498</v>
      </c>
      <c r="I12" s="13" t="s">
        <v>556</v>
      </c>
      <c r="J12" s="13" t="s">
        <v>768</v>
      </c>
      <c r="K12" s="13" t="s">
        <v>1010</v>
      </c>
    </row>
    <row r="13" spans="1:11">
      <c r="C13" s="17" t="s">
        <v>678</v>
      </c>
      <c r="D13" s="21" t="s">
        <v>680</v>
      </c>
      <c r="E13" s="25" t="s">
        <v>876</v>
      </c>
      <c r="F13" s="10" t="s">
        <v>934</v>
      </c>
      <c r="G13" s="7"/>
      <c r="H13" s="13" t="s">
        <v>660</v>
      </c>
      <c r="I13" s="13" t="s">
        <v>1011</v>
      </c>
      <c r="J13" s="13" t="s">
        <v>898</v>
      </c>
      <c r="K13" s="13" t="s">
        <v>1012</v>
      </c>
    </row>
    <row r="14" spans="1:11">
      <c r="C14" s="17" t="s">
        <v>630</v>
      </c>
      <c r="D14" s="21" t="s">
        <v>708</v>
      </c>
      <c r="E14" s="25" t="s">
        <v>732</v>
      </c>
      <c r="F14" s="10" t="s">
        <v>774</v>
      </c>
      <c r="G14" s="7"/>
      <c r="H14" s="13" t="s">
        <v>518</v>
      </c>
      <c r="I14" s="13" t="s">
        <v>564</v>
      </c>
      <c r="J14" s="13" t="s">
        <v>796</v>
      </c>
      <c r="K14" s="13" t="s">
        <v>862</v>
      </c>
    </row>
    <row r="15" spans="1:11">
      <c r="C15" s="17" t="s">
        <v>486</v>
      </c>
      <c r="D15" s="21" t="s">
        <v>618</v>
      </c>
      <c r="E15" s="25" t="s">
        <v>890</v>
      </c>
      <c r="F15" s="10" t="s">
        <v>920</v>
      </c>
      <c r="G15" s="7"/>
      <c r="H15" s="13" t="s">
        <v>712</v>
      </c>
      <c r="I15" s="13" t="s">
        <v>562</v>
      </c>
      <c r="J15" s="13" t="s">
        <v>886</v>
      </c>
      <c r="K15" s="13" t="s">
        <v>858</v>
      </c>
    </row>
    <row r="16" spans="1:11">
      <c r="C16" s="17" t="s">
        <v>522</v>
      </c>
      <c r="D16" s="21" t="s">
        <v>622</v>
      </c>
      <c r="E16" s="25" t="s">
        <v>950</v>
      </c>
      <c r="F16" s="10" t="s">
        <v>846</v>
      </c>
      <c r="G16" s="7"/>
      <c r="H16" s="13" t="s">
        <v>516</v>
      </c>
      <c r="I16" s="13" t="s">
        <v>1013</v>
      </c>
      <c r="J16" s="13" t="s">
        <v>878</v>
      </c>
      <c r="K16" s="13" t="s">
        <v>784</v>
      </c>
    </row>
    <row r="17" spans="3:11">
      <c r="C17" s="17" t="s">
        <v>488</v>
      </c>
      <c r="D17" s="21" t="s">
        <v>706</v>
      </c>
      <c r="E17" s="25" t="s">
        <v>726</v>
      </c>
      <c r="F17" s="10" t="s">
        <v>926</v>
      </c>
      <c r="G17" s="7"/>
      <c r="H17" s="13" t="s">
        <v>606</v>
      </c>
      <c r="I17" s="13" t="s">
        <v>658</v>
      </c>
      <c r="J17" s="13" t="s">
        <v>798</v>
      </c>
      <c r="K17" s="13" t="s">
        <v>860</v>
      </c>
    </row>
    <row r="18" spans="3:11">
      <c r="C18" s="17" t="s">
        <v>484</v>
      </c>
      <c r="D18" s="21" t="s">
        <v>592</v>
      </c>
      <c r="E18" s="25" t="s">
        <v>906</v>
      </c>
      <c r="F18" s="10" t="s">
        <v>752</v>
      </c>
      <c r="G18" s="7"/>
      <c r="H18" s="13" t="s">
        <v>512</v>
      </c>
      <c r="I18" s="13" t="s">
        <v>560</v>
      </c>
      <c r="J18" s="13" t="s">
        <v>786</v>
      </c>
      <c r="K18" s="13" t="s">
        <v>840</v>
      </c>
    </row>
    <row r="19" spans="3:11">
      <c r="C19" s="17" t="s">
        <v>676</v>
      </c>
      <c r="D19" s="21" t="s">
        <v>616</v>
      </c>
      <c r="E19" s="25" t="s">
        <v>904</v>
      </c>
      <c r="F19" s="10" t="s">
        <v>844</v>
      </c>
      <c r="G19" s="7"/>
      <c r="H19" s="13" t="s">
        <v>608</v>
      </c>
      <c r="I19" s="13" t="s">
        <v>550</v>
      </c>
      <c r="J19" s="13" t="s">
        <v>802</v>
      </c>
      <c r="K19" s="13" t="s">
        <v>1014</v>
      </c>
    </row>
    <row r="20" spans="3:11">
      <c r="C20" s="17" t="s">
        <v>534</v>
      </c>
      <c r="D20" s="21" t="s">
        <v>704</v>
      </c>
      <c r="E20" s="25" t="s">
        <v>856</v>
      </c>
      <c r="F20" s="10" t="s">
        <v>762</v>
      </c>
      <c r="G20" s="7"/>
      <c r="H20" s="13" t="s">
        <v>520</v>
      </c>
      <c r="I20" s="13" t="s">
        <v>656</v>
      </c>
      <c r="J20" s="13" t="s">
        <v>804</v>
      </c>
      <c r="K20" s="13" t="s">
        <v>832</v>
      </c>
    </row>
    <row r="21" spans="3:11">
      <c r="C21" s="17" t="s">
        <v>670</v>
      </c>
      <c r="D21" s="21" t="s">
        <v>600</v>
      </c>
      <c r="E21" s="25" t="s">
        <v>836</v>
      </c>
      <c r="F21" s="10" t="s">
        <v>932</v>
      </c>
      <c r="G21" s="7"/>
      <c r="H21" s="13" t="s">
        <v>544</v>
      </c>
      <c r="I21" s="13" t="s">
        <v>554</v>
      </c>
      <c r="J21" s="13" t="s">
        <v>788</v>
      </c>
      <c r="K21" s="13" t="s">
        <v>834</v>
      </c>
    </row>
    <row r="22" spans="3:11">
      <c r="C22" s="17" t="s">
        <v>674</v>
      </c>
      <c r="D22" s="21" t="s">
        <v>614</v>
      </c>
      <c r="E22" s="25" t="s">
        <v>854</v>
      </c>
      <c r="F22" s="10" t="s">
        <v>830</v>
      </c>
      <c r="G22" s="7"/>
      <c r="H22" s="13" t="s">
        <v>546</v>
      </c>
      <c r="I22" s="13" t="s">
        <v>548</v>
      </c>
      <c r="J22" s="13" t="s">
        <v>864</v>
      </c>
      <c r="K22" s="13" t="s">
        <v>942</v>
      </c>
    </row>
    <row r="23" spans="3:11">
      <c r="C23" s="17" t="s">
        <v>540</v>
      </c>
      <c r="D23" s="21" t="s">
        <v>628</v>
      </c>
      <c r="E23" s="25" t="s">
        <v>806</v>
      </c>
      <c r="F23" s="10" t="s">
        <v>930</v>
      </c>
      <c r="G23" s="7"/>
      <c r="H23" s="13" t="s">
        <v>570</v>
      </c>
      <c r="I23" s="13" t="s">
        <v>648</v>
      </c>
      <c r="J23" s="13" t="s">
        <v>818</v>
      </c>
      <c r="K23" s="13" t="s">
        <v>852</v>
      </c>
    </row>
    <row r="24" spans="3:11">
      <c r="C24" s="17" t="s">
        <v>542</v>
      </c>
      <c r="D24" s="21" t="s">
        <v>604</v>
      </c>
      <c r="E24" s="25" t="s">
        <v>808</v>
      </c>
      <c r="F24" s="10" t="s">
        <v>758</v>
      </c>
      <c r="G24" s="7"/>
      <c r="H24" s="13" t="s">
        <v>572</v>
      </c>
      <c r="I24" s="13" t="s">
        <v>552</v>
      </c>
      <c r="J24" s="13" t="s">
        <v>820</v>
      </c>
      <c r="K24" s="13" t="s">
        <v>842</v>
      </c>
    </row>
    <row r="25" spans="3:11">
      <c r="C25" s="17" t="s">
        <v>634</v>
      </c>
      <c r="D25" s="21" t="s">
        <v>636</v>
      </c>
      <c r="E25" s="25" t="s">
        <v>902</v>
      </c>
      <c r="F25" s="10" t="s">
        <v>928</v>
      </c>
      <c r="G25" s="7"/>
      <c r="H25" s="13" t="s">
        <v>998</v>
      </c>
      <c r="I25" s="13" t="s">
        <v>646</v>
      </c>
      <c r="J25" s="13" t="s">
        <v>866</v>
      </c>
      <c r="K25" s="13" t="s">
        <v>850</v>
      </c>
    </row>
    <row r="26" spans="3:11">
      <c r="C26" s="17" t="s">
        <v>672</v>
      </c>
      <c r="D26" s="21" t="s">
        <v>598</v>
      </c>
      <c r="E26" s="25" t="s">
        <v>838</v>
      </c>
      <c r="F26" s="10" t="s">
        <v>756</v>
      </c>
      <c r="G26" s="7"/>
      <c r="H26" s="13" t="s">
        <v>999</v>
      </c>
      <c r="I26" s="13" t="s">
        <v>626</v>
      </c>
      <c r="J26" s="13" t="s">
        <v>790</v>
      </c>
      <c r="K26" s="13" t="s">
        <v>946</v>
      </c>
    </row>
    <row r="27" spans="3:11">
      <c r="C27" s="17" t="s">
        <v>702</v>
      </c>
      <c r="D27" s="21" t="s">
        <v>586</v>
      </c>
      <c r="E27" s="25" t="s">
        <v>764</v>
      </c>
      <c r="F27" s="10" t="s">
        <v>780</v>
      </c>
      <c r="G27" s="7"/>
      <c r="H27" s="13" t="s">
        <v>694</v>
      </c>
      <c r="I27" s="13" t="s">
        <v>574</v>
      </c>
      <c r="J27" s="13" t="s">
        <v>900</v>
      </c>
      <c r="K27" s="13" t="s">
        <v>826</v>
      </c>
    </row>
    <row r="28" spans="3:11">
      <c r="C28" s="17" t="s">
        <v>668</v>
      </c>
      <c r="D28" s="21" t="s">
        <v>588</v>
      </c>
      <c r="E28" s="25" t="s">
        <v>936</v>
      </c>
      <c r="F28" s="10" t="s">
        <v>782</v>
      </c>
      <c r="G28" s="7"/>
      <c r="H28" s="13" t="s">
        <v>696</v>
      </c>
      <c r="I28" s="13" t="s">
        <v>576</v>
      </c>
      <c r="J28" s="13" t="s">
        <v>952</v>
      </c>
      <c r="K28" s="13" t="s">
        <v>828</v>
      </c>
    </row>
    <row r="29" spans="3:11">
      <c r="C29" s="17" t="s">
        <v>536</v>
      </c>
      <c r="D29" s="21" t="s">
        <v>640</v>
      </c>
      <c r="E29" s="25" t="s">
        <v>810</v>
      </c>
      <c r="F29" s="10" t="s">
        <v>954</v>
      </c>
      <c r="G29" s="7"/>
      <c r="H29" s="13" t="s">
        <v>566</v>
      </c>
      <c r="I29" s="13" t="s">
        <v>624</v>
      </c>
      <c r="J29" s="13" t="s">
        <v>814</v>
      </c>
      <c r="K29" s="13" t="s">
        <v>884</v>
      </c>
    </row>
    <row r="30" spans="3:11">
      <c r="C30" s="17" t="s">
        <v>538</v>
      </c>
      <c r="D30" s="21" t="s">
        <v>700</v>
      </c>
      <c r="E30" s="25" t="s">
        <v>812</v>
      </c>
      <c r="F30" s="10" t="s">
        <v>908</v>
      </c>
      <c r="G30" s="7"/>
      <c r="H30" s="13" t="s">
        <v>568</v>
      </c>
      <c r="I30" s="13" t="s">
        <v>710</v>
      </c>
      <c r="J30" s="13" t="s">
        <v>816</v>
      </c>
      <c r="K30" s="13" t="s">
        <v>948</v>
      </c>
    </row>
    <row r="31" spans="3:11">
      <c r="C31" s="17" t="s">
        <v>638</v>
      </c>
      <c r="D31" s="21" t="s">
        <v>582</v>
      </c>
      <c r="E31" s="25" t="s">
        <v>938</v>
      </c>
      <c r="F31" s="10" t="s">
        <v>776</v>
      </c>
      <c r="G31" s="7"/>
      <c r="H31" s="13" t="s">
        <v>698</v>
      </c>
      <c r="I31" s="13" t="s">
        <v>578</v>
      </c>
      <c r="J31" s="13" t="s">
        <v>882</v>
      </c>
      <c r="K31" s="13" t="s">
        <v>822</v>
      </c>
    </row>
    <row r="32" spans="3:11">
      <c r="C32" s="17" t="s">
        <v>684</v>
      </c>
      <c r="D32" s="21" t="s">
        <v>584</v>
      </c>
      <c r="E32" s="25" t="s">
        <v>870</v>
      </c>
      <c r="F32" s="10" t="s">
        <v>778</v>
      </c>
      <c r="G32" s="7"/>
      <c r="H32" s="13" t="s">
        <v>650</v>
      </c>
      <c r="I32" s="13" t="s">
        <v>580</v>
      </c>
      <c r="J32" s="13" t="s">
        <v>880</v>
      </c>
      <c r="K32" s="13" t="s">
        <v>824</v>
      </c>
    </row>
    <row r="33" spans="3:11">
      <c r="C33" s="17" t="s">
        <v>86</v>
      </c>
      <c r="D33" s="21" t="s">
        <v>188</v>
      </c>
      <c r="E33" s="25" t="s">
        <v>342</v>
      </c>
      <c r="F33" s="10" t="s">
        <v>390</v>
      </c>
      <c r="G33" s="7"/>
      <c r="H33" s="13" t="s">
        <v>60</v>
      </c>
      <c r="I33" s="13" t="s">
        <v>174</v>
      </c>
      <c r="J33" s="13" t="s">
        <v>338</v>
      </c>
      <c r="K33" s="13" t="s">
        <v>456</v>
      </c>
    </row>
    <row r="34" spans="3:11">
      <c r="C34" s="17" t="s">
        <v>88</v>
      </c>
      <c r="D34" s="21" t="s">
        <v>124</v>
      </c>
      <c r="E34" s="25" t="s">
        <v>344</v>
      </c>
      <c r="F34" s="10" t="s">
        <v>394</v>
      </c>
      <c r="G34" s="7"/>
      <c r="H34" s="13" t="s">
        <v>62</v>
      </c>
      <c r="I34" s="13" t="s">
        <v>158</v>
      </c>
      <c r="J34" s="13" t="s">
        <v>340</v>
      </c>
      <c r="K34" s="13" t="s">
        <v>458</v>
      </c>
    </row>
    <row r="35" spans="3:11">
      <c r="C35" s="17" t="s">
        <v>204</v>
      </c>
      <c r="D35" s="21" t="s">
        <v>106</v>
      </c>
      <c r="E35" s="25" t="s">
        <v>460</v>
      </c>
      <c r="F35" s="10" t="s">
        <v>300</v>
      </c>
      <c r="G35" s="7"/>
      <c r="H35" s="13" t="s">
        <v>222</v>
      </c>
      <c r="I35" s="13" t="s">
        <v>98</v>
      </c>
      <c r="J35" s="13" t="s">
        <v>400</v>
      </c>
      <c r="K35" s="13" t="s">
        <v>330</v>
      </c>
    </row>
    <row r="36" spans="3:11">
      <c r="C36" s="17" t="s">
        <v>194</v>
      </c>
      <c r="D36" s="21" t="s">
        <v>108</v>
      </c>
      <c r="E36" s="25" t="s">
        <v>466</v>
      </c>
      <c r="F36" s="10" t="s">
        <v>302</v>
      </c>
      <c r="G36" s="7"/>
      <c r="H36" s="13" t="s">
        <v>214</v>
      </c>
      <c r="I36" s="13" t="s">
        <v>100</v>
      </c>
      <c r="J36" s="13" t="s">
        <v>388</v>
      </c>
      <c r="K36" s="13" t="s">
        <v>332</v>
      </c>
    </row>
    <row r="37" spans="3:11">
      <c r="C37" s="17" t="s">
        <v>90</v>
      </c>
      <c r="D37" s="21" t="s">
        <v>192</v>
      </c>
      <c r="E37" s="25" t="s">
        <v>346</v>
      </c>
      <c r="F37" s="10" t="s">
        <v>284</v>
      </c>
      <c r="G37" s="7"/>
      <c r="H37" s="13" t="s">
        <v>56</v>
      </c>
      <c r="I37" s="13" t="s">
        <v>76</v>
      </c>
      <c r="J37" s="13" t="s">
        <v>334</v>
      </c>
      <c r="K37" s="13" t="s">
        <v>374</v>
      </c>
    </row>
    <row r="38" spans="3:11">
      <c r="C38" s="17" t="s">
        <v>92</v>
      </c>
      <c r="D38" s="21" t="s">
        <v>182</v>
      </c>
      <c r="E38" s="25" t="s">
        <v>348</v>
      </c>
      <c r="F38" s="10" t="s">
        <v>474</v>
      </c>
      <c r="G38" s="7"/>
      <c r="H38" s="13" t="s">
        <v>58</v>
      </c>
      <c r="I38" s="13" t="s">
        <v>172</v>
      </c>
      <c r="J38" s="13" t="s">
        <v>336</v>
      </c>
      <c r="K38" s="13" t="s">
        <v>422</v>
      </c>
    </row>
    <row r="39" spans="3:11">
      <c r="C39" s="17" t="s">
        <v>150</v>
      </c>
      <c r="D39" s="21" t="s">
        <v>230</v>
      </c>
      <c r="E39" s="25" t="s">
        <v>468</v>
      </c>
      <c r="F39" s="10" t="s">
        <v>448</v>
      </c>
      <c r="G39" s="7"/>
      <c r="H39" s="13" t="s">
        <v>168</v>
      </c>
      <c r="I39" s="13" t="s">
        <v>74</v>
      </c>
      <c r="J39" s="13" t="s">
        <v>396</v>
      </c>
      <c r="K39" s="13" t="s">
        <v>472</v>
      </c>
    </row>
    <row r="40" spans="3:11">
      <c r="C40" s="17" t="s">
        <v>196</v>
      </c>
      <c r="D40" s="21" t="s">
        <v>198</v>
      </c>
      <c r="E40" s="25" t="s">
        <v>364</v>
      </c>
      <c r="F40" s="10" t="s">
        <v>278</v>
      </c>
      <c r="G40" s="7"/>
      <c r="H40" s="13" t="s">
        <v>66</v>
      </c>
      <c r="I40" s="13" t="s">
        <v>80</v>
      </c>
      <c r="J40" s="13" t="s">
        <v>320</v>
      </c>
      <c r="K40" s="13" t="s">
        <v>376</v>
      </c>
    </row>
    <row r="41" spans="3:11">
      <c r="C41" s="17" t="s">
        <v>190</v>
      </c>
      <c r="D41" s="21" t="s">
        <v>102</v>
      </c>
      <c r="E41" s="25" t="s">
        <v>464</v>
      </c>
      <c r="F41" s="10" t="s">
        <v>296</v>
      </c>
      <c r="G41" s="7"/>
      <c r="H41" s="13" t="s">
        <v>84</v>
      </c>
      <c r="I41" s="13" t="s">
        <v>94</v>
      </c>
      <c r="J41" s="13" t="s">
        <v>416</v>
      </c>
      <c r="K41" s="13" t="s">
        <v>326</v>
      </c>
    </row>
    <row r="42" spans="3:11">
      <c r="C42" s="17" t="s">
        <v>206</v>
      </c>
      <c r="D42" s="21" t="s">
        <v>104</v>
      </c>
      <c r="E42" s="25" t="s">
        <v>358</v>
      </c>
      <c r="F42" s="10" t="s">
        <v>298</v>
      </c>
      <c r="G42" s="7"/>
      <c r="H42" s="13" t="s">
        <v>180</v>
      </c>
      <c r="I42" s="13" t="s">
        <v>96</v>
      </c>
      <c r="J42" s="13" t="s">
        <v>418</v>
      </c>
      <c r="K42" s="13" t="s">
        <v>328</v>
      </c>
    </row>
    <row r="43" spans="3:11">
      <c r="C43" s="17" t="s">
        <v>54</v>
      </c>
      <c r="D43" s="21" t="s">
        <v>134</v>
      </c>
      <c r="E43" s="25" t="s">
        <v>356</v>
      </c>
      <c r="F43" s="10" t="s">
        <v>276</v>
      </c>
      <c r="G43" s="7"/>
      <c r="H43" s="13" t="s">
        <v>128</v>
      </c>
      <c r="I43" s="13" t="s">
        <v>68</v>
      </c>
      <c r="J43" s="13" t="s">
        <v>324</v>
      </c>
      <c r="K43" s="13" t="s">
        <v>378</v>
      </c>
    </row>
    <row r="44" spans="3:11">
      <c r="C44" s="17" t="s">
        <v>110</v>
      </c>
      <c r="D44" s="21" t="s">
        <v>170</v>
      </c>
      <c r="E44" s="25" t="s">
        <v>350</v>
      </c>
      <c r="F44" s="10" t="s">
        <v>428</v>
      </c>
      <c r="G44" s="7"/>
      <c r="H44" s="13" t="s">
        <v>70</v>
      </c>
      <c r="I44" s="13" t="s">
        <v>160</v>
      </c>
      <c r="J44" s="13" t="s">
        <v>322</v>
      </c>
      <c r="K44" s="13" t="s">
        <v>362</v>
      </c>
    </row>
    <row r="45" spans="3:11">
      <c r="C45" s="17" t="s">
        <v>200</v>
      </c>
      <c r="D45" s="21" t="s">
        <v>118</v>
      </c>
      <c r="E45" s="25" t="s">
        <v>372</v>
      </c>
      <c r="F45" s="10" t="s">
        <v>366</v>
      </c>
      <c r="G45" s="7"/>
      <c r="H45" s="13" t="s">
        <v>40</v>
      </c>
      <c r="I45" s="13" t="s">
        <v>72</v>
      </c>
      <c r="J45" s="13" t="s">
        <v>308</v>
      </c>
      <c r="K45" s="13" t="s">
        <v>1015</v>
      </c>
    </row>
    <row r="46" spans="3:11">
      <c r="C46" s="17" t="s">
        <v>132</v>
      </c>
      <c r="D46" s="21" t="s">
        <v>136</v>
      </c>
      <c r="E46" s="25" t="s">
        <v>244</v>
      </c>
      <c r="F46" s="10" t="s">
        <v>272</v>
      </c>
      <c r="G46" s="7"/>
      <c r="H46" s="13" t="s">
        <v>126</v>
      </c>
      <c r="I46" s="13" t="s">
        <v>1016</v>
      </c>
      <c r="J46" s="13" t="s">
        <v>304</v>
      </c>
      <c r="K46" s="13" t="s">
        <v>380</v>
      </c>
    </row>
    <row r="47" spans="3:11">
      <c r="C47" s="17" t="s">
        <v>210</v>
      </c>
      <c r="D47" s="21" t="s">
        <v>228</v>
      </c>
      <c r="E47" s="25" t="s">
        <v>354</v>
      </c>
      <c r="F47" s="10" t="s">
        <v>282</v>
      </c>
      <c r="G47" s="7"/>
      <c r="H47" s="13" t="s">
        <v>1000</v>
      </c>
      <c r="I47" s="13" t="s">
        <v>218</v>
      </c>
      <c r="J47" s="13" t="s">
        <v>310</v>
      </c>
      <c r="K47" s="13" t="s">
        <v>370</v>
      </c>
    </row>
    <row r="48" spans="3:11">
      <c r="C48" s="17" t="s">
        <v>6</v>
      </c>
      <c r="D48" s="21" t="s">
        <v>116</v>
      </c>
      <c r="E48" s="25" t="s">
        <v>352</v>
      </c>
      <c r="F48" s="10" t="s">
        <v>368</v>
      </c>
      <c r="G48" s="7"/>
      <c r="H48" s="13" t="s">
        <v>1001</v>
      </c>
      <c r="I48" s="13" t="s">
        <v>82</v>
      </c>
      <c r="J48" s="13" t="s">
        <v>312</v>
      </c>
      <c r="K48" s="13" t="s">
        <v>1017</v>
      </c>
    </row>
    <row r="49" spans="3:11">
      <c r="C49" s="17" t="s">
        <v>42</v>
      </c>
      <c r="D49" s="21" t="s">
        <v>138</v>
      </c>
      <c r="E49" s="25" t="s">
        <v>246</v>
      </c>
      <c r="F49" s="10" t="s">
        <v>280</v>
      </c>
      <c r="G49" s="7"/>
      <c r="H49" s="13" t="s">
        <v>32</v>
      </c>
      <c r="I49" s="13" t="s">
        <v>1018</v>
      </c>
      <c r="J49" s="13" t="s">
        <v>314</v>
      </c>
      <c r="K49" s="13" t="s">
        <v>382</v>
      </c>
    </row>
    <row r="50" spans="3:11">
      <c r="C50" s="17" t="s">
        <v>12</v>
      </c>
      <c r="D50" s="21" t="s">
        <v>38</v>
      </c>
      <c r="E50" s="25" t="s">
        <v>406</v>
      </c>
      <c r="F50" s="10" t="s">
        <v>452</v>
      </c>
      <c r="G50" s="7"/>
      <c r="H50" s="13" t="s">
        <v>1002</v>
      </c>
      <c r="I50" s="13" t="s">
        <v>216</v>
      </c>
      <c r="J50" s="13" t="s">
        <v>410</v>
      </c>
      <c r="K50" s="13" t="s">
        <v>360</v>
      </c>
    </row>
    <row r="51" spans="3:11">
      <c r="C51" s="17" t="s">
        <v>212</v>
      </c>
      <c r="D51" s="21" t="s">
        <v>114</v>
      </c>
      <c r="E51" s="25" t="s">
        <v>408</v>
      </c>
      <c r="F51" s="10" t="s">
        <v>450</v>
      </c>
      <c r="G51" s="7"/>
      <c r="H51" s="13" t="s">
        <v>1003</v>
      </c>
      <c r="I51" s="13" t="s">
        <v>64</v>
      </c>
      <c r="J51" s="13" t="s">
        <v>470</v>
      </c>
      <c r="K51" s="13" t="s">
        <v>1019</v>
      </c>
    </row>
    <row r="52" spans="3:11">
      <c r="C52" s="17" t="s">
        <v>234</v>
      </c>
      <c r="D52" s="21" t="s">
        <v>140</v>
      </c>
      <c r="E52" s="25" t="s">
        <v>252</v>
      </c>
      <c r="F52" s="10" t="s">
        <v>1020</v>
      </c>
      <c r="G52" s="7"/>
      <c r="H52" s="13" t="s">
        <v>36</v>
      </c>
      <c r="I52" s="13" t="s">
        <v>1021</v>
      </c>
      <c r="J52" s="13" t="s">
        <v>316</v>
      </c>
      <c r="K52" s="13" t="s">
        <v>1022</v>
      </c>
    </row>
    <row r="53" spans="3:11">
      <c r="C53" s="17" t="s">
        <v>14</v>
      </c>
      <c r="D53" s="21" t="s">
        <v>226</v>
      </c>
      <c r="E53" s="25" t="s">
        <v>398</v>
      </c>
      <c r="F53" s="10" t="s">
        <v>440</v>
      </c>
      <c r="G53" s="7"/>
      <c r="H53" s="13" t="s">
        <v>236</v>
      </c>
      <c r="I53" s="13" t="s">
        <v>156</v>
      </c>
      <c r="J53" s="13" t="s">
        <v>384</v>
      </c>
      <c r="K53" s="13" t="s">
        <v>1023</v>
      </c>
    </row>
    <row r="54" spans="3:11">
      <c r="C54" s="17" t="s">
        <v>208</v>
      </c>
      <c r="D54" s="21" t="s">
        <v>112</v>
      </c>
      <c r="E54" s="25" t="s">
        <v>462</v>
      </c>
      <c r="F54" s="10" t="s">
        <v>446</v>
      </c>
      <c r="G54" s="7"/>
      <c r="H54" s="13" t="s">
        <v>232</v>
      </c>
      <c r="I54" s="13" t="s">
        <v>78</v>
      </c>
      <c r="J54" s="13" t="s">
        <v>386</v>
      </c>
      <c r="K54" s="13" t="s">
        <v>1024</v>
      </c>
    </row>
    <row r="55" spans="3:11">
      <c r="C55" s="17" t="s">
        <v>16</v>
      </c>
      <c r="D55" s="21" t="s">
        <v>142</v>
      </c>
      <c r="E55" s="25" t="s">
        <v>268</v>
      </c>
      <c r="F55" s="10" t="s">
        <v>242</v>
      </c>
      <c r="G55" s="7"/>
      <c r="H55" s="13" t="s">
        <v>24</v>
      </c>
      <c r="I55" s="13" t="s">
        <v>2</v>
      </c>
      <c r="J55" s="13" t="s">
        <v>290</v>
      </c>
      <c r="K55" s="13" t="s">
        <v>480</v>
      </c>
    </row>
    <row r="56" spans="3:11">
      <c r="C56" s="17" t="s">
        <v>18</v>
      </c>
      <c r="D56" s="21" t="s">
        <v>166</v>
      </c>
      <c r="E56" s="25" t="s">
        <v>270</v>
      </c>
      <c r="F56" s="10" t="s">
        <v>430</v>
      </c>
      <c r="G56" s="7"/>
      <c r="H56" s="13" t="s">
        <v>26</v>
      </c>
      <c r="I56" s="13" t="s">
        <v>148</v>
      </c>
      <c r="J56" s="13" t="s">
        <v>292</v>
      </c>
      <c r="K56" s="13" t="s">
        <v>420</v>
      </c>
    </row>
    <row r="57" spans="3:11">
      <c r="C57" s="17" t="s">
        <v>184</v>
      </c>
      <c r="D57" s="21" t="s">
        <v>120</v>
      </c>
      <c r="E57" s="25" t="s">
        <v>254</v>
      </c>
      <c r="F57" s="10" t="s">
        <v>436</v>
      </c>
      <c r="G57" s="7"/>
      <c r="H57" s="13" t="s">
        <v>202</v>
      </c>
      <c r="I57" s="13" t="s">
        <v>962</v>
      </c>
      <c r="J57" s="13" t="s">
        <v>412</v>
      </c>
      <c r="K57" s="13" t="s">
        <v>476</v>
      </c>
    </row>
    <row r="58" spans="3:11">
      <c r="C58" s="17" t="s">
        <v>186</v>
      </c>
      <c r="D58" s="21" t="s">
        <v>224</v>
      </c>
      <c r="E58" s="25" t="s">
        <v>424</v>
      </c>
      <c r="F58" s="10" t="s">
        <v>294</v>
      </c>
      <c r="G58" s="7"/>
      <c r="H58" s="13" t="s">
        <v>144</v>
      </c>
      <c r="I58" s="13" t="s">
        <v>178</v>
      </c>
      <c r="J58" s="13" t="s">
        <v>306</v>
      </c>
      <c r="K58" s="13" t="s">
        <v>454</v>
      </c>
    </row>
    <row r="59" spans="3:11">
      <c r="C59" s="17" t="s">
        <v>4</v>
      </c>
      <c r="D59" s="21" t="s">
        <v>130</v>
      </c>
      <c r="E59" s="25" t="s">
        <v>1004</v>
      </c>
      <c r="F59" s="10" t="s">
        <v>438</v>
      </c>
      <c r="G59" s="7"/>
      <c r="H59" s="13" t="s">
        <v>164</v>
      </c>
      <c r="I59" s="13" t="s">
        <v>34</v>
      </c>
      <c r="J59" s="13" t="s">
        <v>414</v>
      </c>
      <c r="K59" s="13" t="s">
        <v>402</v>
      </c>
    </row>
    <row r="60" spans="3:11">
      <c r="C60" s="17" t="s">
        <v>10</v>
      </c>
      <c r="D60" s="21" t="s">
        <v>162</v>
      </c>
      <c r="E60" s="25" t="s">
        <v>426</v>
      </c>
      <c r="F60" s="10" t="s">
        <v>432</v>
      </c>
      <c r="G60" s="7"/>
      <c r="H60" s="13" t="s">
        <v>146</v>
      </c>
      <c r="I60" s="13" t="s">
        <v>176</v>
      </c>
      <c r="J60" s="13" t="s">
        <v>318</v>
      </c>
      <c r="K60" s="13" t="s">
        <v>392</v>
      </c>
    </row>
    <row r="61" spans="3:11">
      <c r="C61" s="17" t="s">
        <v>28</v>
      </c>
      <c r="D61" s="21" t="s">
        <v>122</v>
      </c>
      <c r="E61" s="25" t="s">
        <v>260</v>
      </c>
      <c r="F61" s="10" t="s">
        <v>434</v>
      </c>
      <c r="G61" s="7"/>
      <c r="H61" s="13" t="s">
        <v>50</v>
      </c>
      <c r="I61" s="13" t="s">
        <v>240</v>
      </c>
      <c r="J61" s="13" t="s">
        <v>286</v>
      </c>
      <c r="K61" s="13" t="s">
        <v>404</v>
      </c>
    </row>
    <row r="62" spans="3:11">
      <c r="C62" s="17" t="s">
        <v>30</v>
      </c>
      <c r="D62" s="21" t="s">
        <v>44</v>
      </c>
      <c r="E62" s="25" t="s">
        <v>262</v>
      </c>
      <c r="F62" s="10" t="s">
        <v>444</v>
      </c>
      <c r="G62" s="7"/>
      <c r="H62" s="13" t="s">
        <v>52</v>
      </c>
      <c r="I62" s="13" t="s">
        <v>238</v>
      </c>
      <c r="J62" s="13" t="s">
        <v>288</v>
      </c>
      <c r="K62" s="13" t="s">
        <v>442</v>
      </c>
    </row>
    <row r="63" spans="3:11">
      <c r="C63" s="17" t="s">
        <v>8</v>
      </c>
      <c r="D63" s="21" t="s">
        <v>20</v>
      </c>
      <c r="E63" s="25" t="s">
        <v>250</v>
      </c>
      <c r="F63" s="10" t="s">
        <v>264</v>
      </c>
      <c r="G63" s="7"/>
      <c r="H63" s="13" t="s">
        <v>220</v>
      </c>
      <c r="I63" s="13" t="s">
        <v>46</v>
      </c>
      <c r="J63" s="13" t="s">
        <v>478</v>
      </c>
      <c r="K63" s="13" t="s">
        <v>256</v>
      </c>
    </row>
    <row r="64" spans="3:11" ht="15.75" thickBot="1">
      <c r="C64" s="18" t="s">
        <v>152</v>
      </c>
      <c r="D64" s="22" t="s">
        <v>22</v>
      </c>
      <c r="E64" s="26" t="s">
        <v>248</v>
      </c>
      <c r="F64" s="11" t="s">
        <v>266</v>
      </c>
      <c r="G64" s="7"/>
      <c r="H64" s="14" t="s">
        <v>154</v>
      </c>
      <c r="I64" s="14" t="s">
        <v>48</v>
      </c>
      <c r="J64" s="14" t="s">
        <v>274</v>
      </c>
      <c r="K64" s="14" t="s">
        <v>258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20"/>
  <sheetViews>
    <sheetView workbookViewId="0">
      <selection activeCell="B2" sqref="B2:B33"/>
    </sheetView>
  </sheetViews>
  <sheetFormatPr defaultRowHeight="15"/>
  <cols>
    <col min="1" max="1" width="33.5703125" style="2" bestFit="1" customWidth="1"/>
    <col min="2" max="2" width="18.7109375" style="2" bestFit="1" customWidth="1"/>
    <col min="3" max="7" width="9.140625" style="2"/>
    <col min="8" max="8" width="26.42578125" style="2" bestFit="1" customWidth="1"/>
    <col min="9" max="9" width="13" style="2" bestFit="1" customWidth="1"/>
    <col min="10" max="10" width="15.28515625" style="2" bestFit="1" customWidth="1"/>
    <col min="11" max="11" width="20.7109375" style="2" bestFit="1" customWidth="1"/>
    <col min="12" max="12" width="27.5703125" style="2" bestFit="1" customWidth="1"/>
    <col min="13" max="13" width="13" style="2" bestFit="1" customWidth="1"/>
    <col min="14" max="14" width="15.28515625" style="2" bestFit="1" customWidth="1"/>
    <col min="15" max="15" width="20.7109375" style="2" bestFit="1" customWidth="1"/>
    <col min="16" max="16" width="26.42578125" style="2" bestFit="1" customWidth="1"/>
    <col min="17" max="17" width="18.85546875" style="2" bestFit="1" customWidth="1"/>
    <col min="18" max="18" width="15.28515625" style="2" bestFit="1" customWidth="1"/>
    <col min="19" max="19" width="20.7109375" style="2" bestFit="1" customWidth="1"/>
    <col min="20" max="20" width="27.5703125" style="2" bestFit="1" customWidth="1"/>
    <col min="21" max="21" width="13" style="2" bestFit="1" customWidth="1"/>
    <col min="22" max="22" width="15.28515625" style="2" bestFit="1" customWidth="1"/>
    <col min="23" max="23" width="20.7109375" style="2" bestFit="1" customWidth="1"/>
    <col min="24" max="24" width="9.140625" style="2"/>
    <col min="25" max="25" width="14.5703125" style="2" bestFit="1" customWidth="1"/>
    <col min="26" max="26" width="23" style="2" bestFit="1" customWidth="1"/>
    <col min="27" max="27" width="16.85546875" style="2" bestFit="1" customWidth="1"/>
    <col min="28" max="16384" width="9.140625" style="2"/>
  </cols>
  <sheetData>
    <row r="1" spans="1:23" ht="15.75" thickBot="1">
      <c r="A1" s="2" t="s">
        <v>1025</v>
      </c>
      <c r="B1" s="2" t="s">
        <v>1026</v>
      </c>
      <c r="C1" s="27" t="s">
        <v>1027</v>
      </c>
      <c r="D1" s="28"/>
      <c r="E1" s="29"/>
      <c r="F1" s="29"/>
      <c r="G1" s="30"/>
      <c r="H1" s="2" t="s">
        <v>1028</v>
      </c>
      <c r="J1" s="31" t="s">
        <v>1029</v>
      </c>
      <c r="K1" s="31" t="s">
        <v>1030</v>
      </c>
      <c r="N1" s="31" t="s">
        <v>1029</v>
      </c>
      <c r="O1" s="31" t="s">
        <v>1030</v>
      </c>
      <c r="R1" s="31" t="s">
        <v>1029</v>
      </c>
      <c r="S1" s="31" t="s">
        <v>1030</v>
      </c>
      <c r="V1" s="32" t="s">
        <v>1029</v>
      </c>
      <c r="W1" s="31" t="s">
        <v>1030</v>
      </c>
    </row>
    <row r="2" spans="1:23">
      <c r="A2" s="2" t="s">
        <v>7</v>
      </c>
      <c r="B2" t="s">
        <v>8</v>
      </c>
      <c r="C2" s="6" t="s">
        <v>1031</v>
      </c>
      <c r="D2" s="35"/>
      <c r="G2" s="36"/>
      <c r="H2" s="2" t="s">
        <v>1032</v>
      </c>
      <c r="I2" s="37" t="s">
        <v>1033</v>
      </c>
      <c r="J2" s="38"/>
      <c r="K2" s="38"/>
      <c r="L2" s="39" t="s">
        <v>1034</v>
      </c>
      <c r="M2" s="37" t="s">
        <v>1035</v>
      </c>
      <c r="N2" s="38"/>
      <c r="O2" s="38"/>
      <c r="P2" s="39" t="s">
        <v>1036</v>
      </c>
      <c r="Q2" s="37" t="s">
        <v>1037</v>
      </c>
      <c r="R2" s="38"/>
      <c r="S2" s="38"/>
      <c r="T2" s="39" t="s">
        <v>1038</v>
      </c>
      <c r="U2" s="37" t="s">
        <v>1039</v>
      </c>
      <c r="V2" s="38"/>
      <c r="W2" s="40"/>
    </row>
    <row r="3" spans="1:23">
      <c r="A3" s="2" t="s">
        <v>9</v>
      </c>
      <c r="B3" t="s">
        <v>10</v>
      </c>
      <c r="C3" s="7" t="s">
        <v>1040</v>
      </c>
      <c r="D3" s="35"/>
      <c r="G3" s="36"/>
      <c r="H3" s="2" t="s">
        <v>7</v>
      </c>
      <c r="I3" s="37" t="str">
        <f>VLOOKUP(H3,A:B,2,0)</f>
        <v>SLOT0.CH62</v>
      </c>
      <c r="J3" s="41" t="str">
        <f>LEFT(I3,5)</f>
        <v>SLOT0</v>
      </c>
      <c r="K3" s="41" t="str">
        <f>MID(I3,9,10)</f>
        <v>62</v>
      </c>
      <c r="L3" s="2" t="s">
        <v>247</v>
      </c>
      <c r="M3" s="37" t="str">
        <f>VLOOKUP(L3,A:B,2,0)</f>
        <v>SLOT0.CH106</v>
      </c>
      <c r="N3" s="41" t="str">
        <f>LEFT(M3,5)</f>
        <v>SLOT0</v>
      </c>
      <c r="O3" s="41" t="str">
        <f>MID(M3,9,10)</f>
        <v>106</v>
      </c>
      <c r="P3" s="2" t="s">
        <v>487</v>
      </c>
      <c r="Q3" s="37" t="str">
        <f>VLOOKUP(P3,A:B,2,0)</f>
        <v>SLOT1.CH25</v>
      </c>
      <c r="R3" s="41" t="str">
        <f>LEFT(Q3,5)</f>
        <v>SLOT1</v>
      </c>
      <c r="S3" s="41" t="str">
        <f>MID(Q3,9,10)</f>
        <v>25</v>
      </c>
      <c r="T3" s="2" t="s">
        <v>727</v>
      </c>
      <c r="U3" s="37" t="str">
        <f>VLOOKUP(T3,A:B,2,0)</f>
        <v>SLOT1.CH67</v>
      </c>
      <c r="V3" s="41" t="str">
        <f>LEFT(U3,5)</f>
        <v>SLOT1</v>
      </c>
      <c r="W3" s="42" t="str">
        <f>MID(U3,9,10)</f>
        <v>67</v>
      </c>
    </row>
    <row r="4" spans="1:23">
      <c r="A4" s="2" t="s">
        <v>185</v>
      </c>
      <c r="B4" t="s">
        <v>186</v>
      </c>
      <c r="C4" s="7" t="s">
        <v>1041</v>
      </c>
      <c r="D4" s="35"/>
      <c r="G4" s="36"/>
      <c r="H4" s="2" t="s">
        <v>9</v>
      </c>
      <c r="I4" s="37" t="str">
        <f t="shared" ref="I4:I6" si="0">VLOOKUP(H4,A:B,2,0)</f>
        <v>SLOT0.CH59</v>
      </c>
      <c r="J4" s="41" t="str">
        <f t="shared" ref="J4:J6" si="1">LEFT(I4,5)</f>
        <v>SLOT0</v>
      </c>
      <c r="K4" s="41" t="str">
        <f t="shared" ref="K4:K6" si="2">MID(I4,9,10)</f>
        <v>59</v>
      </c>
      <c r="L4" s="2" t="s">
        <v>249</v>
      </c>
      <c r="M4" s="37" t="str">
        <f t="shared" ref="M4:M6" si="3">VLOOKUP(L4,A:B,2,0)</f>
        <v>SLOT0.CH108</v>
      </c>
      <c r="N4" s="41" t="str">
        <f t="shared" ref="N4:N6" si="4">LEFT(M4,5)</f>
        <v>SLOT0</v>
      </c>
      <c r="O4" s="41" t="str">
        <f t="shared" ref="O4:O6" si="5">MID(M4,9,10)</f>
        <v>108</v>
      </c>
      <c r="P4" s="2" t="s">
        <v>489</v>
      </c>
      <c r="Q4" s="37" t="str">
        <f t="shared" ref="Q4:Q6" si="6">VLOOKUP(P4,A:B,2,0)</f>
        <v>SLOT1.CH26</v>
      </c>
      <c r="R4" s="41" t="str">
        <f t="shared" ref="R4:R6" si="7">LEFT(Q4,5)</f>
        <v>SLOT1</v>
      </c>
      <c r="S4" s="41" t="str">
        <f t="shared" ref="S4:S6" si="8">MID(Q4,9,10)</f>
        <v>26</v>
      </c>
      <c r="T4" s="2" t="s">
        <v>729</v>
      </c>
      <c r="U4" s="37" t="str">
        <f t="shared" ref="U4:U6" si="9">VLOOKUP(T4,A:B,2,0)</f>
        <v>SLOT1.CH70</v>
      </c>
      <c r="V4" s="41" t="str">
        <f t="shared" ref="V4:V6" si="10">LEFT(U4,5)</f>
        <v>SLOT1</v>
      </c>
      <c r="W4" s="42" t="str">
        <f t="shared" ref="W4:W6" si="11">MID(U4,9,10)</f>
        <v>70</v>
      </c>
    </row>
    <row r="5" spans="1:23">
      <c r="A5" s="2" t="s">
        <v>183</v>
      </c>
      <c r="B5" t="s">
        <v>184</v>
      </c>
      <c r="C5" s="7" t="s">
        <v>1042</v>
      </c>
      <c r="D5" s="35"/>
      <c r="G5" s="36"/>
      <c r="H5" s="2" t="s">
        <v>185</v>
      </c>
      <c r="I5" s="37" t="str">
        <f t="shared" si="0"/>
        <v>SLOT0.CH57</v>
      </c>
      <c r="J5" s="41" t="str">
        <f t="shared" si="1"/>
        <v>SLOT0</v>
      </c>
      <c r="K5" s="41" t="str">
        <f t="shared" si="2"/>
        <v>57</v>
      </c>
      <c r="L5" s="2" t="s">
        <v>425</v>
      </c>
      <c r="M5" s="37" t="str">
        <f t="shared" si="3"/>
        <v>SLOT0.CH109</v>
      </c>
      <c r="N5" s="41" t="str">
        <f t="shared" si="4"/>
        <v>SLOT0</v>
      </c>
      <c r="O5" s="41" t="str">
        <f t="shared" si="5"/>
        <v>109</v>
      </c>
      <c r="P5" s="2" t="s">
        <v>665</v>
      </c>
      <c r="Q5" s="37" t="str">
        <f t="shared" si="6"/>
        <v>SLOT1.CH21</v>
      </c>
      <c r="R5" s="41" t="str">
        <f t="shared" si="7"/>
        <v>SLOT1</v>
      </c>
      <c r="S5" s="41" t="str">
        <f t="shared" si="8"/>
        <v>21</v>
      </c>
      <c r="T5" s="2" t="s">
        <v>905</v>
      </c>
      <c r="U5" s="37" t="str">
        <f t="shared" si="9"/>
        <v>SLOT1.CH79</v>
      </c>
      <c r="V5" s="41" t="str">
        <f t="shared" si="10"/>
        <v>SLOT1</v>
      </c>
      <c r="W5" s="42" t="str">
        <f t="shared" si="11"/>
        <v>79</v>
      </c>
    </row>
    <row r="6" spans="1:23">
      <c r="A6" s="2" t="s">
        <v>3</v>
      </c>
      <c r="B6" s="62" t="s">
        <v>130</v>
      </c>
      <c r="C6" s="7"/>
      <c r="D6" s="35"/>
      <c r="G6" s="36"/>
      <c r="H6" s="2" t="s">
        <v>183</v>
      </c>
      <c r="I6" s="37" t="str">
        <f t="shared" si="0"/>
        <v>SLOT0.CH56</v>
      </c>
      <c r="J6" s="41" t="str">
        <f t="shared" si="1"/>
        <v>SLOT0</v>
      </c>
      <c r="K6" s="41" t="str">
        <f t="shared" si="2"/>
        <v>56</v>
      </c>
      <c r="L6" s="2" t="s">
        <v>423</v>
      </c>
      <c r="M6" s="37" t="str">
        <f t="shared" si="3"/>
        <v>SLOT0.CH111</v>
      </c>
      <c r="N6" s="41" t="str">
        <f t="shared" si="4"/>
        <v>SLOT0</v>
      </c>
      <c r="O6" s="41" t="str">
        <f t="shared" si="5"/>
        <v>111</v>
      </c>
      <c r="P6" s="2" t="s">
        <v>663</v>
      </c>
      <c r="Q6" s="37" t="str">
        <f t="shared" si="6"/>
        <v>SLOT1.CH19</v>
      </c>
      <c r="R6" s="41" t="str">
        <f t="shared" si="7"/>
        <v>SLOT1</v>
      </c>
      <c r="S6" s="41" t="str">
        <f t="shared" si="8"/>
        <v>19</v>
      </c>
      <c r="T6" s="2" t="s">
        <v>903</v>
      </c>
      <c r="U6" s="37" t="str">
        <f t="shared" si="9"/>
        <v>SLOT1.CH81</v>
      </c>
      <c r="V6" s="41" t="str">
        <f t="shared" si="10"/>
        <v>SLOT1</v>
      </c>
      <c r="W6" s="42" t="str">
        <f t="shared" si="11"/>
        <v>81</v>
      </c>
    </row>
    <row r="7" spans="1:23">
      <c r="A7" s="2" t="s">
        <v>5</v>
      </c>
      <c r="B7" s="62" t="s">
        <v>38</v>
      </c>
      <c r="C7" s="7" t="s">
        <v>1043</v>
      </c>
      <c r="D7" s="35"/>
      <c r="G7" s="36"/>
      <c r="I7" s="43"/>
      <c r="J7" s="44"/>
      <c r="K7" s="44"/>
      <c r="L7" s="45"/>
      <c r="M7" s="43"/>
      <c r="N7" s="44"/>
      <c r="O7" s="44"/>
      <c r="P7" s="45"/>
      <c r="Q7" s="43"/>
      <c r="R7" s="44"/>
      <c r="S7" s="44"/>
      <c r="T7" s="45"/>
      <c r="U7" s="43"/>
      <c r="V7" s="38"/>
      <c r="W7" s="40"/>
    </row>
    <row r="8" spans="1:23">
      <c r="A8" s="2" t="s">
        <v>13</v>
      </c>
      <c r="B8" s="62" t="s">
        <v>112</v>
      </c>
      <c r="C8" s="7" t="s">
        <v>1044</v>
      </c>
      <c r="D8" s="35"/>
      <c r="G8" s="36"/>
      <c r="H8" s="46" t="str">
        <f>"RULE: "&amp; MID(C2,21,99)</f>
        <v>RULE: SLOT0 CH0~CH63</v>
      </c>
      <c r="I8" s="34"/>
      <c r="J8" s="47" t="b">
        <f>J3=MID($H$8,7,5)</f>
        <v>1</v>
      </c>
      <c r="K8" s="47" t="b">
        <f>IF(AND(VALUE(K3)&gt;=0,VALUE(K3)&lt;=63),TRUE,FALSE)</f>
        <v>1</v>
      </c>
      <c r="L8" s="46" t="str">
        <f>"RULE: "&amp; MID(C3,21,99)</f>
        <v>RULE: SLOT0 CH64 127</v>
      </c>
      <c r="M8" s="34"/>
      <c r="N8" s="47" t="b">
        <f>J3=MID($L$8,7,5)</f>
        <v>1</v>
      </c>
      <c r="O8" s="47" t="b">
        <f>IF(AND(VALUE(O3)&gt;=64,VALUE(O3)&lt;=127),TRUE,FALSE)</f>
        <v>1</v>
      </c>
      <c r="P8" s="46" t="str">
        <f>"RULE: "&amp; MID(C4,21,99)</f>
        <v>RULE: SLOT1 CH0 ~CH63</v>
      </c>
      <c r="Q8" s="34"/>
      <c r="R8" s="47" t="b">
        <f>R3=MID($P$8,7,5)</f>
        <v>1</v>
      </c>
      <c r="S8" s="47" t="b">
        <f>IF(AND(VALUE(S3)&gt;=0,VALUE(S3)&lt;=63),TRUE,FALSE)</f>
        <v>1</v>
      </c>
      <c r="T8" s="46" t="str">
        <f>"RULE: "&amp; MID(C5,21,99)</f>
        <v>RULE: SLOT1 CH64~CH127</v>
      </c>
      <c r="U8" s="34"/>
      <c r="V8" s="47" t="b">
        <f>V3=MID($T$8,7,5)</f>
        <v>1</v>
      </c>
      <c r="W8" s="47" t="b">
        <f>IF(AND(VALUE(W3)&gt;=64,VALUE(W3)&lt;=127),TRUE,FALSE)</f>
        <v>1</v>
      </c>
    </row>
    <row r="9" spans="1:23">
      <c r="A9" s="2" t="s">
        <v>11</v>
      </c>
      <c r="B9" s="62" t="s">
        <v>114</v>
      </c>
      <c r="C9" s="60" t="s">
        <v>1049</v>
      </c>
      <c r="D9" s="35"/>
      <c r="G9" s="36"/>
      <c r="H9" s="46"/>
      <c r="I9" s="34"/>
      <c r="J9" s="47" t="b">
        <f t="shared" ref="J9:J11" si="12">J4=MID($H$8,7,5)</f>
        <v>1</v>
      </c>
      <c r="K9" s="47" t="b">
        <f t="shared" ref="K9:K11" si="13">IF(AND(VALUE(K4)&gt;=0,VALUE(K4)&lt;=63),TRUE,FALSE)</f>
        <v>1</v>
      </c>
      <c r="L9" s="46"/>
      <c r="M9" s="34"/>
      <c r="N9" s="47" t="b">
        <f t="shared" ref="N9:N11" si="14">J4=MID($L$8,7,5)</f>
        <v>1</v>
      </c>
      <c r="O9" s="47" t="b">
        <f t="shared" ref="O9:O11" si="15">IF(AND(VALUE(O4)&gt;=64,VALUE(O4)&lt;=127),TRUE,FALSE)</f>
        <v>1</v>
      </c>
      <c r="P9" s="46"/>
      <c r="Q9" s="34"/>
      <c r="R9" s="47" t="b">
        <f t="shared" ref="R9:R11" si="16">R4=MID($P$8,7,5)</f>
        <v>1</v>
      </c>
      <c r="S9" s="47" t="b">
        <f t="shared" ref="S9:S11" si="17">IF(AND(VALUE(S4)&gt;=0,VALUE(S4)&lt;=63),TRUE,FALSE)</f>
        <v>1</v>
      </c>
      <c r="T9" s="46"/>
      <c r="U9" s="34"/>
      <c r="V9" s="47" t="b">
        <f t="shared" ref="V9:V11" si="18">V4=MID($T$8,7,5)</f>
        <v>1</v>
      </c>
      <c r="W9" s="47" t="b">
        <f t="shared" ref="W9:W11" si="19">IF(AND(VALUE(W4)&gt;=64,VALUE(W4)&lt;=127),TRUE,FALSE)</f>
        <v>1</v>
      </c>
    </row>
    <row r="10" spans="1:23" ht="15.75" thickBot="1">
      <c r="A10" s="2" t="str">
        <f>REPLACE(A2,2,1,1)</f>
        <v>S1_DS_HSD085</v>
      </c>
      <c r="B10" s="63" t="s">
        <v>134</v>
      </c>
      <c r="C10" s="61" t="s">
        <v>1050</v>
      </c>
      <c r="D10" s="48"/>
      <c r="E10" s="49"/>
      <c r="F10" s="49"/>
      <c r="G10" s="50"/>
      <c r="H10" s="46"/>
      <c r="I10" s="34"/>
      <c r="J10" s="47" t="b">
        <f t="shared" si="12"/>
        <v>1</v>
      </c>
      <c r="K10" s="47" t="b">
        <f t="shared" si="13"/>
        <v>1</v>
      </c>
      <c r="L10" s="46"/>
      <c r="M10" s="34"/>
      <c r="N10" s="47" t="b">
        <f t="shared" si="14"/>
        <v>1</v>
      </c>
      <c r="O10" s="47" t="b">
        <f t="shared" si="15"/>
        <v>1</v>
      </c>
      <c r="P10" s="46"/>
      <c r="Q10" s="34"/>
      <c r="R10" s="47" t="b">
        <f t="shared" si="16"/>
        <v>1</v>
      </c>
      <c r="S10" s="47" t="b">
        <f t="shared" si="17"/>
        <v>1</v>
      </c>
      <c r="T10" s="46"/>
      <c r="U10" s="34"/>
      <c r="V10" s="47" t="b">
        <f t="shared" si="18"/>
        <v>1</v>
      </c>
      <c r="W10" s="47" t="b">
        <f t="shared" si="19"/>
        <v>1</v>
      </c>
    </row>
    <row r="11" spans="1:23" ht="15.75" thickBot="1">
      <c r="A11" s="2" t="str">
        <f t="shared" ref="A11:A17" si="20">REPLACE(A3,2,1,1)</f>
        <v>S1_DS_HSD089</v>
      </c>
      <c r="B11" s="62" t="s">
        <v>118</v>
      </c>
      <c r="C11" s="51"/>
      <c r="H11" s="33"/>
      <c r="I11" s="34"/>
      <c r="J11" s="52" t="b">
        <f t="shared" si="12"/>
        <v>1</v>
      </c>
      <c r="K11" s="52" t="b">
        <f t="shared" si="13"/>
        <v>1</v>
      </c>
      <c r="L11" s="46"/>
      <c r="M11" s="34"/>
      <c r="N11" s="52" t="b">
        <f t="shared" si="14"/>
        <v>1</v>
      </c>
      <c r="O11" s="47" t="b">
        <f t="shared" si="15"/>
        <v>1</v>
      </c>
      <c r="P11" s="46"/>
      <c r="Q11" s="34"/>
      <c r="R11" s="52" t="b">
        <f t="shared" si="16"/>
        <v>1</v>
      </c>
      <c r="S11" s="52" t="b">
        <f t="shared" si="17"/>
        <v>1</v>
      </c>
      <c r="T11" s="46"/>
      <c r="U11" s="34"/>
      <c r="V11" s="52" t="b">
        <f t="shared" si="18"/>
        <v>1</v>
      </c>
      <c r="W11" s="47" t="b">
        <f t="shared" si="19"/>
        <v>1</v>
      </c>
    </row>
    <row r="12" spans="1:23">
      <c r="A12" s="2" t="str">
        <f t="shared" si="20"/>
        <v>S1_SCLK_DS_HSD064</v>
      </c>
      <c r="B12" s="62" t="s">
        <v>136</v>
      </c>
      <c r="C12" s="35"/>
      <c r="H12" s="33"/>
      <c r="I12" s="33"/>
      <c r="J12" s="53"/>
      <c r="K12" s="53"/>
      <c r="L12" s="33"/>
      <c r="M12" s="33"/>
      <c r="N12" s="53"/>
      <c r="O12" s="53"/>
      <c r="P12" s="33"/>
      <c r="Q12" s="33"/>
      <c r="R12" s="53"/>
      <c r="S12" s="53"/>
      <c r="T12" s="33"/>
      <c r="U12" s="33"/>
      <c r="V12" s="53"/>
      <c r="W12" s="53"/>
    </row>
    <row r="13" spans="1:23" ht="15.75" thickBot="1">
      <c r="A13" s="2" t="str">
        <f t="shared" si="20"/>
        <v>S1_SCLK_DS_HSD063</v>
      </c>
      <c r="B13" s="62" t="s">
        <v>116</v>
      </c>
      <c r="H13" s="33"/>
      <c r="I13" s="33"/>
      <c r="J13" s="33"/>
      <c r="K13" s="33"/>
      <c r="L13" s="54"/>
      <c r="M13" s="54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3" ht="15.75" thickBot="1">
      <c r="A14" s="2" t="str">
        <f t="shared" si="20"/>
        <v>S1_DS_GP_HSD303</v>
      </c>
      <c r="B14" s="63" t="s">
        <v>110</v>
      </c>
      <c r="C14" s="69" t="s">
        <v>1045</v>
      </c>
      <c r="D14" s="69"/>
      <c r="E14" s="69"/>
      <c r="F14" s="69"/>
      <c r="G14" s="70"/>
      <c r="H14" s="33"/>
      <c r="I14" s="33"/>
      <c r="J14" s="33" t="s">
        <v>1046</v>
      </c>
      <c r="L14" s="55" t="s">
        <v>1047</v>
      </c>
      <c r="M14" s="56" t="b">
        <f>COUNTIF(J15:J46,"TRUE")=COUNTA(J15:J46)</f>
        <v>1</v>
      </c>
      <c r="N14" s="46"/>
      <c r="O14" s="33"/>
      <c r="P14" s="33"/>
      <c r="Q14" s="33"/>
      <c r="R14" s="33"/>
      <c r="S14" s="33"/>
      <c r="T14" s="33"/>
      <c r="U14" s="33"/>
      <c r="V14" s="33"/>
      <c r="W14" s="33"/>
    </row>
    <row r="15" spans="1:23">
      <c r="A15" s="2" t="str">
        <f t="shared" si="20"/>
        <v>S1_DS_GP_HSD304</v>
      </c>
      <c r="B15" s="62" t="s">
        <v>132</v>
      </c>
      <c r="C15" s="71" t="str">
        <f>IF(M14=TRUE,"PASS","FAIL")</f>
        <v>PASS</v>
      </c>
      <c r="D15" s="71"/>
      <c r="E15" s="71"/>
      <c r="F15" s="71"/>
      <c r="G15" s="72"/>
      <c r="H15" s="33"/>
      <c r="I15" s="33"/>
      <c r="J15" s="33" t="b">
        <f>J8</f>
        <v>1</v>
      </c>
      <c r="K15" s="33"/>
      <c r="L15" s="53"/>
      <c r="M15" s="5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spans="1:23">
      <c r="A16" s="2" t="str">
        <f t="shared" si="20"/>
        <v>S1_DS_HSD999</v>
      </c>
      <c r="B16" s="63" t="s">
        <v>12</v>
      </c>
      <c r="C16" s="71"/>
      <c r="D16" s="71"/>
      <c r="E16" s="71"/>
      <c r="F16" s="71"/>
      <c r="G16" s="72"/>
      <c r="H16" s="33"/>
      <c r="I16" s="33"/>
      <c r="J16" s="33" t="b">
        <f t="shared" ref="J16:J18" si="21">J9</f>
        <v>1</v>
      </c>
      <c r="K16" s="33"/>
      <c r="L16" s="33"/>
      <c r="M16" s="33"/>
      <c r="N16" s="33"/>
      <c r="O16" s="33"/>
      <c r="P16" s="33"/>
      <c r="Q16" s="33"/>
      <c r="R16" s="33"/>
      <c r="S16" s="33"/>
      <c r="V16" s="33"/>
      <c r="W16" s="33"/>
    </row>
    <row r="17" spans="1:23">
      <c r="A17" s="2" t="str">
        <f t="shared" si="20"/>
        <v>S1_DS_HSD998</v>
      </c>
      <c r="B17" s="62" t="s">
        <v>6</v>
      </c>
      <c r="C17" s="71"/>
      <c r="D17" s="71"/>
      <c r="E17" s="71"/>
      <c r="F17" s="71"/>
      <c r="G17" s="72"/>
      <c r="H17" s="33"/>
      <c r="I17" s="33"/>
      <c r="J17" s="33" t="b">
        <f t="shared" si="21"/>
        <v>1</v>
      </c>
      <c r="K17" s="33"/>
      <c r="L17" s="33"/>
      <c r="M17" s="33"/>
      <c r="N17" s="33"/>
      <c r="O17" s="33"/>
      <c r="P17" s="33"/>
      <c r="Q17" s="33"/>
      <c r="R17" s="33"/>
      <c r="S17" s="33"/>
      <c r="V17" s="33"/>
      <c r="W17" s="33"/>
    </row>
    <row r="18" spans="1:23">
      <c r="A18" s="2" t="str">
        <f>REPLACE(A10,2,1,2)</f>
        <v>S2_DS_HSD085</v>
      </c>
      <c r="B18" s="62" t="s">
        <v>838</v>
      </c>
      <c r="C18" s="71"/>
      <c r="D18" s="71"/>
      <c r="E18" s="71"/>
      <c r="F18" s="71"/>
      <c r="G18" s="72"/>
      <c r="H18" s="33"/>
      <c r="I18" s="33"/>
      <c r="J18" s="33" t="b">
        <f t="shared" si="21"/>
        <v>1</v>
      </c>
      <c r="K18" s="33"/>
      <c r="N18" s="33"/>
      <c r="Q18" s="33"/>
      <c r="R18" s="33"/>
      <c r="S18" s="33"/>
      <c r="V18" s="33"/>
      <c r="W18" s="33"/>
    </row>
    <row r="19" spans="1:23">
      <c r="A19" s="2" t="str">
        <f t="shared" ref="A19:A25" si="22">REPLACE(A11,2,1,2)</f>
        <v>S2_DS_HSD089</v>
      </c>
      <c r="B19" s="62" t="s">
        <v>764</v>
      </c>
      <c r="C19" s="71"/>
      <c r="D19" s="71"/>
      <c r="E19" s="71"/>
      <c r="F19" s="71"/>
      <c r="G19" s="72"/>
      <c r="H19" s="33"/>
      <c r="I19" s="33"/>
      <c r="J19" s="33" t="b">
        <f>K8</f>
        <v>1</v>
      </c>
      <c r="K19" s="33"/>
      <c r="N19" s="33"/>
      <c r="Q19" s="33"/>
      <c r="R19" s="33"/>
      <c r="S19" s="33"/>
      <c r="V19" s="33"/>
      <c r="W19" s="33"/>
    </row>
    <row r="20" spans="1:23">
      <c r="A20" s="2" t="str">
        <f t="shared" si="22"/>
        <v>S2_SCLK_DS_HSD064</v>
      </c>
      <c r="B20" s="62" t="s">
        <v>854</v>
      </c>
      <c r="C20" s="71"/>
      <c r="D20" s="71"/>
      <c r="E20" s="71"/>
      <c r="F20" s="71"/>
      <c r="G20" s="72"/>
      <c r="H20" s="33"/>
      <c r="I20" s="33"/>
      <c r="J20" s="33" t="b">
        <f t="shared" ref="J20:J22" si="23">K9</f>
        <v>1</v>
      </c>
      <c r="K20" s="33"/>
      <c r="N20" s="33"/>
      <c r="Q20" s="33"/>
      <c r="R20" s="33"/>
      <c r="S20" s="33"/>
      <c r="V20" s="33"/>
      <c r="W20" s="33"/>
    </row>
    <row r="21" spans="1:23">
      <c r="A21" s="2" t="str">
        <f t="shared" si="22"/>
        <v>S2_SCLK_DS_HSD063</v>
      </c>
      <c r="B21" s="63" t="s">
        <v>856</v>
      </c>
      <c r="C21" s="71"/>
      <c r="D21" s="71"/>
      <c r="E21" s="71"/>
      <c r="F21" s="71"/>
      <c r="G21" s="72"/>
      <c r="H21" s="33"/>
      <c r="I21" s="33"/>
      <c r="J21" s="33" t="b">
        <f t="shared" si="23"/>
        <v>1</v>
      </c>
      <c r="K21" s="33"/>
      <c r="N21" s="33"/>
      <c r="Q21" s="33"/>
      <c r="R21" s="33"/>
      <c r="S21" s="33"/>
      <c r="V21" s="33"/>
      <c r="W21" s="33"/>
    </row>
    <row r="22" spans="1:23">
      <c r="A22" s="2" t="str">
        <f t="shared" si="22"/>
        <v>S2_DS_GP_HSD303</v>
      </c>
      <c r="B22" s="62" t="s">
        <v>756</v>
      </c>
      <c r="C22" s="71"/>
      <c r="D22" s="71"/>
      <c r="E22" s="71"/>
      <c r="F22" s="71"/>
      <c r="G22" s="72"/>
      <c r="H22" s="33"/>
      <c r="I22" s="33"/>
      <c r="J22" s="33" t="b">
        <f t="shared" si="23"/>
        <v>1</v>
      </c>
      <c r="K22" s="33"/>
      <c r="L22" s="33"/>
      <c r="M22" s="33"/>
      <c r="N22" s="33"/>
      <c r="O22" s="33"/>
      <c r="P22" s="33"/>
      <c r="Q22" s="33"/>
      <c r="R22" s="33"/>
      <c r="S22" s="33"/>
      <c r="V22" s="33"/>
      <c r="W22" s="33"/>
    </row>
    <row r="23" spans="1:23">
      <c r="A23" s="2" t="str">
        <f t="shared" si="22"/>
        <v>S2_DS_GP_HSD304</v>
      </c>
      <c r="B23" s="62" t="s">
        <v>758</v>
      </c>
      <c r="C23" s="71"/>
      <c r="D23" s="71"/>
      <c r="E23" s="71"/>
      <c r="F23" s="71"/>
      <c r="G23" s="72"/>
      <c r="H23" s="33"/>
      <c r="I23" s="33"/>
      <c r="J23" s="33" t="b">
        <f>N8</f>
        <v>1</v>
      </c>
      <c r="K23" s="33"/>
      <c r="L23" s="33"/>
      <c r="M23" s="33"/>
      <c r="N23" s="33"/>
      <c r="O23" s="33"/>
      <c r="P23" s="33"/>
      <c r="Q23" s="33"/>
      <c r="R23" s="33"/>
      <c r="S23" s="33"/>
      <c r="V23" s="33"/>
      <c r="W23" s="33"/>
    </row>
    <row r="24" spans="1:23">
      <c r="A24" s="2" t="str">
        <f t="shared" si="22"/>
        <v>S2_DS_HSD999</v>
      </c>
      <c r="B24" s="63" t="s">
        <v>844</v>
      </c>
      <c r="C24" s="71"/>
      <c r="D24" s="71"/>
      <c r="E24" s="71"/>
      <c r="F24" s="71"/>
      <c r="G24" s="72"/>
      <c r="H24" s="33"/>
      <c r="I24" s="33"/>
      <c r="J24" s="33" t="b">
        <f t="shared" ref="J24:J26" si="24">N9</f>
        <v>1</v>
      </c>
      <c r="K24" s="33"/>
      <c r="L24" s="33"/>
      <c r="M24" s="33"/>
      <c r="N24" s="33"/>
      <c r="O24" s="33"/>
      <c r="P24" s="33"/>
      <c r="Q24" s="33"/>
      <c r="R24" s="33"/>
      <c r="S24" s="33"/>
      <c r="V24" s="33"/>
      <c r="W24" s="33"/>
    </row>
    <row r="25" spans="1:23">
      <c r="A25" s="2" t="str">
        <f t="shared" si="22"/>
        <v>S2_DS_HSD998</v>
      </c>
      <c r="B25" s="63" t="s">
        <v>830</v>
      </c>
      <c r="C25" s="71"/>
      <c r="D25" s="71"/>
      <c r="E25" s="71"/>
      <c r="F25" s="71"/>
      <c r="G25" s="72"/>
      <c r="H25" s="33"/>
      <c r="I25" s="33"/>
      <c r="J25" s="33" t="b">
        <f t="shared" si="24"/>
        <v>1</v>
      </c>
      <c r="K25" s="33"/>
      <c r="L25" s="33"/>
      <c r="M25" s="33"/>
      <c r="N25" s="33"/>
      <c r="O25" s="33"/>
      <c r="P25" s="33"/>
      <c r="Q25" s="33"/>
      <c r="R25" s="33"/>
      <c r="S25" s="33"/>
      <c r="V25" s="33"/>
      <c r="W25" s="33"/>
    </row>
    <row r="26" spans="1:23">
      <c r="A26" s="2" t="str">
        <f>REPLACE(A18,2,1,3)</f>
        <v>S3_DS_HSD085</v>
      </c>
      <c r="B26" s="63" t="s">
        <v>848</v>
      </c>
      <c r="C26" s="71"/>
      <c r="D26" s="71"/>
      <c r="E26" s="71"/>
      <c r="F26" s="71"/>
      <c r="G26" s="72"/>
      <c r="H26" s="33"/>
      <c r="I26" s="33"/>
      <c r="J26" s="33" t="b">
        <f t="shared" si="24"/>
        <v>1</v>
      </c>
      <c r="K26" s="33"/>
      <c r="L26" s="33"/>
      <c r="M26" s="33"/>
      <c r="N26" s="33"/>
      <c r="O26" s="33"/>
      <c r="P26" s="33"/>
      <c r="Q26" s="33"/>
      <c r="R26" s="33"/>
      <c r="S26" s="33"/>
      <c r="V26" s="33"/>
      <c r="W26" s="33"/>
    </row>
    <row r="27" spans="1:23">
      <c r="A27" s="2" t="str">
        <f t="shared" ref="A27:A33" si="25">REPLACE(A19,2,1,3)</f>
        <v>S3_DS_HSD089</v>
      </c>
      <c r="B27" s="62" t="s">
        <v>760</v>
      </c>
      <c r="C27" s="71"/>
      <c r="D27" s="71"/>
      <c r="E27" s="71"/>
      <c r="F27" s="71"/>
      <c r="G27" s="72"/>
      <c r="H27" s="33"/>
      <c r="I27" s="33"/>
      <c r="J27" s="33" t="b">
        <f>O8</f>
        <v>1</v>
      </c>
      <c r="K27" s="33"/>
      <c r="L27" s="33"/>
      <c r="M27" s="33"/>
      <c r="N27" s="33"/>
      <c r="O27" s="33"/>
      <c r="P27" s="33"/>
      <c r="Q27" s="33"/>
      <c r="R27" s="33"/>
      <c r="S27" s="33"/>
      <c r="V27" s="33"/>
      <c r="W27" s="33"/>
    </row>
    <row r="28" spans="1:23">
      <c r="A28" s="2" t="str">
        <f t="shared" si="25"/>
        <v>S3_SCLK_DS_HSD064</v>
      </c>
      <c r="B28" s="62" t="s">
        <v>846</v>
      </c>
      <c r="H28" s="33"/>
      <c r="I28" s="33"/>
      <c r="J28" s="33" t="b">
        <f t="shared" ref="J28:J30" si="26">O9</f>
        <v>1</v>
      </c>
      <c r="K28" s="33"/>
      <c r="L28" s="33"/>
      <c r="M28" s="33"/>
      <c r="N28" s="33"/>
      <c r="O28" s="33"/>
      <c r="P28" s="33"/>
      <c r="Q28" s="33"/>
      <c r="R28" s="33"/>
      <c r="S28" s="33"/>
      <c r="V28" s="33"/>
      <c r="W28" s="33"/>
    </row>
    <row r="29" spans="1:23">
      <c r="A29" s="2" t="str">
        <f t="shared" si="25"/>
        <v>S3_SCLK_DS_HSD063</v>
      </c>
      <c r="B29" s="62" t="s">
        <v>752</v>
      </c>
      <c r="J29" s="33" t="b">
        <f t="shared" si="26"/>
        <v>1</v>
      </c>
    </row>
    <row r="30" spans="1:23">
      <c r="A30" s="2" t="str">
        <f t="shared" si="25"/>
        <v>S3_DS_GP_HSD303</v>
      </c>
      <c r="B30" t="s">
        <v>724</v>
      </c>
      <c r="J30" s="33" t="b">
        <f t="shared" si="26"/>
        <v>1</v>
      </c>
    </row>
    <row r="31" spans="1:23">
      <c r="A31" s="2" t="str">
        <f t="shared" si="25"/>
        <v>S3_DS_GP_HSD304</v>
      </c>
      <c r="B31" t="s">
        <v>726</v>
      </c>
      <c r="J31" s="58" t="b">
        <f>R8</f>
        <v>1</v>
      </c>
    </row>
    <row r="32" spans="1:23">
      <c r="A32" s="2" t="str">
        <f t="shared" si="25"/>
        <v>S3_DS_HSD999</v>
      </c>
      <c r="B32" t="s">
        <v>734</v>
      </c>
      <c r="J32" s="58" t="b">
        <f t="shared" ref="J32:J34" si="27">R9</f>
        <v>1</v>
      </c>
    </row>
    <row r="33" spans="1:10">
      <c r="A33" s="2" t="str">
        <f t="shared" si="25"/>
        <v>S3_DS_HSD998</v>
      </c>
      <c r="B33" t="s">
        <v>732</v>
      </c>
      <c r="J33" s="58" t="b">
        <f t="shared" si="27"/>
        <v>1</v>
      </c>
    </row>
    <row r="34" spans="1:10" ht="18.75">
      <c r="A34" s="57"/>
      <c r="B34" s="57"/>
      <c r="J34" s="58" t="b">
        <f t="shared" si="27"/>
        <v>1</v>
      </c>
    </row>
    <row r="35" spans="1:10" ht="18.75">
      <c r="A35" s="57"/>
      <c r="B35" s="57"/>
      <c r="J35" s="58" t="b">
        <f>S8</f>
        <v>1</v>
      </c>
    </row>
    <row r="36" spans="1:10" ht="18.75">
      <c r="A36" s="57"/>
      <c r="B36" s="57"/>
      <c r="J36" s="58" t="b">
        <f t="shared" ref="J36:J38" si="28">S9</f>
        <v>1</v>
      </c>
    </row>
    <row r="37" spans="1:10" ht="18.75">
      <c r="A37" s="57"/>
      <c r="B37" s="57"/>
      <c r="J37" s="58" t="b">
        <f t="shared" si="28"/>
        <v>1</v>
      </c>
    </row>
    <row r="38" spans="1:10" ht="18.75">
      <c r="A38" s="57"/>
      <c r="B38" s="57"/>
      <c r="J38" s="58" t="b">
        <f t="shared" si="28"/>
        <v>1</v>
      </c>
    </row>
    <row r="39" spans="1:10" ht="18.75">
      <c r="A39" s="57"/>
      <c r="B39" s="57"/>
      <c r="J39" s="58" t="b">
        <f>V8</f>
        <v>1</v>
      </c>
    </row>
    <row r="40" spans="1:10" ht="18.75">
      <c r="A40" s="57"/>
      <c r="B40" s="57"/>
      <c r="J40" s="58" t="b">
        <f t="shared" ref="J40:J42" si="29">V9</f>
        <v>1</v>
      </c>
    </row>
    <row r="41" spans="1:10" ht="18.75">
      <c r="A41" s="57"/>
      <c r="B41" s="57"/>
      <c r="J41" s="58" t="b">
        <f t="shared" si="29"/>
        <v>1</v>
      </c>
    </row>
    <row r="42" spans="1:10" ht="18.75">
      <c r="A42" s="57"/>
      <c r="B42" s="57"/>
      <c r="J42" s="58" t="b">
        <f t="shared" si="29"/>
        <v>1</v>
      </c>
    </row>
    <row r="43" spans="1:10" ht="18.75">
      <c r="A43" s="57"/>
      <c r="B43" s="57"/>
      <c r="J43" s="58" t="b">
        <f>W8</f>
        <v>1</v>
      </c>
    </row>
    <row r="44" spans="1:10" ht="18.75">
      <c r="A44" s="57"/>
      <c r="B44" s="57"/>
      <c r="J44" s="58" t="b">
        <f t="shared" ref="J44:J46" si="30">W9</f>
        <v>1</v>
      </c>
    </row>
    <row r="45" spans="1:10" ht="18.75">
      <c r="A45" s="57"/>
      <c r="B45" s="57"/>
      <c r="J45" s="58" t="b">
        <f t="shared" si="30"/>
        <v>1</v>
      </c>
    </row>
    <row r="46" spans="1:10" ht="18.75">
      <c r="A46" s="57"/>
      <c r="B46" s="57"/>
      <c r="J46" s="58" t="b">
        <f t="shared" si="30"/>
        <v>1</v>
      </c>
    </row>
    <row r="47" spans="1:10" ht="18.75">
      <c r="A47" s="57"/>
      <c r="B47" s="57"/>
    </row>
    <row r="48" spans="1:10" ht="18.75">
      <c r="A48" s="57"/>
      <c r="B48" s="57"/>
    </row>
    <row r="49" spans="1:2" ht="18.75">
      <c r="A49" s="57"/>
      <c r="B49" s="57"/>
    </row>
    <row r="50" spans="1:2" ht="18.75">
      <c r="A50" s="57"/>
      <c r="B50" s="57"/>
    </row>
    <row r="51" spans="1:2" ht="18.75">
      <c r="A51" s="57"/>
      <c r="B51" s="57"/>
    </row>
    <row r="52" spans="1:2" ht="18.75">
      <c r="A52" s="57"/>
      <c r="B52" s="57"/>
    </row>
    <row r="53" spans="1:2" ht="18.75">
      <c r="A53" s="57"/>
      <c r="B53" s="57"/>
    </row>
    <row r="54" spans="1:2" ht="18.75">
      <c r="A54" s="57"/>
      <c r="B54" s="57"/>
    </row>
    <row r="55" spans="1:2" ht="18.75">
      <c r="A55" s="57"/>
      <c r="B55" s="57"/>
    </row>
    <row r="56" spans="1:2" ht="18.75">
      <c r="A56" s="57"/>
      <c r="B56" s="57"/>
    </row>
    <row r="57" spans="1:2" ht="18.75">
      <c r="A57" s="57"/>
      <c r="B57" s="57"/>
    </row>
    <row r="58" spans="1:2" ht="18.75">
      <c r="A58" s="57"/>
      <c r="B58" s="57"/>
    </row>
    <row r="59" spans="1:2" ht="18.75">
      <c r="A59" s="57"/>
      <c r="B59" s="57"/>
    </row>
    <row r="60" spans="1:2" ht="18.75">
      <c r="A60" s="57"/>
      <c r="B60" s="57"/>
    </row>
    <row r="61" spans="1:2" ht="18.75">
      <c r="A61" s="57"/>
      <c r="B61" s="57"/>
    </row>
    <row r="62" spans="1:2" ht="18.75">
      <c r="A62" s="57"/>
      <c r="B62" s="57"/>
    </row>
    <row r="63" spans="1:2" ht="18.75">
      <c r="A63" s="57"/>
      <c r="B63" s="57"/>
    </row>
    <row r="64" spans="1:2" ht="18.75">
      <c r="A64" s="57"/>
      <c r="B64" s="57"/>
    </row>
    <row r="65" spans="1:2" ht="18.75">
      <c r="A65" s="57"/>
      <c r="B65" s="57"/>
    </row>
    <row r="66" spans="1:2" ht="18.75">
      <c r="A66" s="57"/>
      <c r="B66" s="57"/>
    </row>
    <row r="67" spans="1:2" ht="18.75">
      <c r="A67" s="57"/>
      <c r="B67" s="57"/>
    </row>
    <row r="68" spans="1:2" ht="18.75">
      <c r="A68" s="57"/>
      <c r="B68" s="57"/>
    </row>
    <row r="69" spans="1:2" ht="18.75">
      <c r="A69" s="57"/>
      <c r="B69" s="57"/>
    </row>
    <row r="70" spans="1:2" ht="18.75">
      <c r="A70" s="57"/>
      <c r="B70" s="57"/>
    </row>
    <row r="71" spans="1:2" ht="18.75">
      <c r="A71" s="57"/>
      <c r="B71" s="57"/>
    </row>
    <row r="72" spans="1:2" ht="18.75">
      <c r="A72" s="57"/>
      <c r="B72" s="57"/>
    </row>
    <row r="73" spans="1:2" ht="18.75">
      <c r="A73" s="57"/>
      <c r="B73" s="57"/>
    </row>
    <row r="74" spans="1:2" ht="18.75">
      <c r="A74" s="57"/>
      <c r="B74" s="57"/>
    </row>
    <row r="75" spans="1:2" ht="18.75">
      <c r="A75" s="57"/>
      <c r="B75" s="57"/>
    </row>
    <row r="76" spans="1:2" ht="18.75">
      <c r="A76" s="57"/>
      <c r="B76" s="57"/>
    </row>
    <row r="77" spans="1:2" ht="18.75">
      <c r="A77" s="57"/>
      <c r="B77" s="57"/>
    </row>
    <row r="78" spans="1:2" ht="18.75">
      <c r="A78" s="57"/>
      <c r="B78" s="57"/>
    </row>
    <row r="79" spans="1:2" ht="18.75">
      <c r="A79" s="57"/>
      <c r="B79" s="57"/>
    </row>
    <row r="80" spans="1:2" ht="18.75">
      <c r="A80" s="57"/>
      <c r="B80" s="57"/>
    </row>
    <row r="81" spans="1:2" ht="18.75">
      <c r="A81" s="57"/>
      <c r="B81" s="57"/>
    </row>
    <row r="82" spans="1:2" ht="18.75">
      <c r="A82" s="57"/>
      <c r="B82" s="57"/>
    </row>
    <row r="83" spans="1:2" ht="18.75">
      <c r="A83" s="57"/>
      <c r="B83" s="57"/>
    </row>
    <row r="84" spans="1:2" ht="18.75">
      <c r="A84" s="57"/>
      <c r="B84" s="57"/>
    </row>
    <row r="85" spans="1:2" ht="18.75">
      <c r="A85" s="57"/>
      <c r="B85" s="57"/>
    </row>
    <row r="86" spans="1:2" ht="18.75">
      <c r="A86" s="57"/>
      <c r="B86" s="57"/>
    </row>
    <row r="87" spans="1:2" ht="18.75">
      <c r="A87" s="57"/>
      <c r="B87" s="57"/>
    </row>
    <row r="88" spans="1:2" ht="18.75">
      <c r="A88" s="57"/>
      <c r="B88" s="57"/>
    </row>
    <row r="89" spans="1:2" ht="18.75">
      <c r="A89" s="57"/>
      <c r="B89" s="57"/>
    </row>
    <row r="90" spans="1:2" ht="18.75">
      <c r="A90" s="57"/>
      <c r="B90" s="57"/>
    </row>
    <row r="91" spans="1:2" ht="18.75">
      <c r="A91" s="57"/>
      <c r="B91" s="57"/>
    </row>
    <row r="92" spans="1:2" ht="18.75">
      <c r="A92" s="57"/>
      <c r="B92" s="57"/>
    </row>
    <row r="93" spans="1:2" ht="18.75">
      <c r="A93" s="57"/>
      <c r="B93" s="57"/>
    </row>
    <row r="94" spans="1:2" ht="18.75">
      <c r="A94" s="57"/>
      <c r="B94" s="57"/>
    </row>
    <row r="95" spans="1:2" ht="18.75">
      <c r="A95" s="57"/>
      <c r="B95" s="57"/>
    </row>
    <row r="96" spans="1:2" ht="18.75">
      <c r="A96" s="57"/>
      <c r="B96" s="57"/>
    </row>
    <row r="97" spans="1:2" ht="18.75">
      <c r="A97" s="57"/>
      <c r="B97" s="57"/>
    </row>
    <row r="98" spans="1:2" ht="18.75">
      <c r="A98" s="57"/>
      <c r="B98" s="57"/>
    </row>
    <row r="99" spans="1:2" ht="18.75">
      <c r="A99" s="57"/>
      <c r="B99" s="57"/>
    </row>
    <row r="100" spans="1:2" ht="18.75">
      <c r="A100" s="57"/>
      <c r="B100" s="59"/>
    </row>
    <row r="101" spans="1:2" ht="18.75">
      <c r="A101" s="57"/>
      <c r="B101" s="57"/>
    </row>
    <row r="102" spans="1:2" ht="18.75">
      <c r="A102" s="57"/>
      <c r="B102" s="59"/>
    </row>
    <row r="103" spans="1:2" ht="18.75">
      <c r="A103" s="57"/>
      <c r="B103" s="59"/>
    </row>
    <row r="104" spans="1:2" ht="18.75">
      <c r="A104" s="57"/>
      <c r="B104" s="57"/>
    </row>
    <row r="105" spans="1:2" ht="18.75">
      <c r="A105" s="57"/>
      <c r="B105" s="57"/>
    </row>
    <row r="106" spans="1:2" ht="18.75">
      <c r="A106" s="57"/>
      <c r="B106" s="57"/>
    </row>
    <row r="107" spans="1:2" ht="18.75">
      <c r="A107" s="57"/>
      <c r="B107" s="57"/>
    </row>
    <row r="108" spans="1:2" ht="18.75">
      <c r="A108" s="57"/>
      <c r="B108" s="57"/>
    </row>
    <row r="109" spans="1:2" ht="18.75">
      <c r="A109" s="57"/>
      <c r="B109" s="57"/>
    </row>
    <row r="110" spans="1:2" ht="18.75">
      <c r="A110" s="57"/>
      <c r="B110" s="57"/>
    </row>
    <row r="111" spans="1:2" ht="18.75">
      <c r="A111" s="57"/>
      <c r="B111" s="57"/>
    </row>
    <row r="112" spans="1:2" ht="18.75">
      <c r="A112" s="57"/>
      <c r="B112" s="57"/>
    </row>
    <row r="113" spans="1:2" ht="18.75">
      <c r="A113" s="57"/>
      <c r="B113" s="57"/>
    </row>
    <row r="114" spans="1:2" ht="18.75">
      <c r="A114" s="57"/>
      <c r="B114" s="57"/>
    </row>
    <row r="115" spans="1:2" ht="18.75">
      <c r="A115" s="57"/>
      <c r="B115" s="59"/>
    </row>
    <row r="116" spans="1:2" ht="18.75">
      <c r="A116" s="57"/>
      <c r="B116" s="57"/>
    </row>
    <row r="117" spans="1:2" ht="18.75">
      <c r="A117" s="57"/>
      <c r="B117" s="57"/>
    </row>
    <row r="118" spans="1:2" ht="18.75">
      <c r="A118" s="57"/>
      <c r="B118" s="57"/>
    </row>
    <row r="119" spans="1:2" ht="18.75">
      <c r="A119" s="57"/>
      <c r="B119" s="59"/>
    </row>
    <row r="120" spans="1:2" ht="18.75">
      <c r="A120" s="57"/>
      <c r="B120" s="59"/>
    </row>
    <row r="121" spans="1:2" ht="18.75">
      <c r="A121" s="57"/>
      <c r="B121" s="57"/>
    </row>
    <row r="122" spans="1:2" ht="18.75">
      <c r="A122" s="57"/>
      <c r="B122" s="57"/>
    </row>
    <row r="123" spans="1:2" ht="18.75">
      <c r="A123" s="57"/>
      <c r="B123" s="57"/>
    </row>
    <row r="124" spans="1:2" ht="18.75">
      <c r="A124" s="57"/>
      <c r="B124" s="57"/>
    </row>
    <row r="125" spans="1:2" ht="18.75">
      <c r="A125" s="57"/>
      <c r="B125" s="57"/>
    </row>
    <row r="126" spans="1:2" ht="18.75">
      <c r="A126" s="57"/>
      <c r="B126" s="57"/>
    </row>
    <row r="127" spans="1:2" ht="18.75">
      <c r="A127" s="57"/>
      <c r="B127" s="57"/>
    </row>
    <row r="128" spans="1:2" ht="18.75">
      <c r="A128" s="57"/>
      <c r="B128" s="57"/>
    </row>
    <row r="129" spans="1:2" ht="18.75">
      <c r="A129" s="57"/>
      <c r="B129" s="57"/>
    </row>
    <row r="130" spans="1:2" ht="18.75">
      <c r="A130" s="57"/>
      <c r="B130" s="57"/>
    </row>
    <row r="131" spans="1:2" ht="18.75">
      <c r="A131" s="57"/>
      <c r="B131" s="57"/>
    </row>
    <row r="132" spans="1:2" ht="18.75">
      <c r="A132" s="57"/>
      <c r="B132" s="57"/>
    </row>
    <row r="133" spans="1:2" ht="18.75">
      <c r="A133" s="57"/>
      <c r="B133" s="57"/>
    </row>
    <row r="134" spans="1:2" ht="18.75">
      <c r="A134" s="57"/>
      <c r="B134" s="57"/>
    </row>
    <row r="135" spans="1:2" ht="18.75">
      <c r="A135" s="57"/>
      <c r="B135" s="57"/>
    </row>
    <row r="136" spans="1:2" ht="18.75">
      <c r="A136" s="57"/>
      <c r="B136" s="57"/>
    </row>
    <row r="137" spans="1:2" ht="18.75">
      <c r="A137" s="57"/>
      <c r="B137" s="57"/>
    </row>
    <row r="138" spans="1:2" ht="18.75">
      <c r="A138" s="57"/>
      <c r="B138" s="57"/>
    </row>
    <row r="139" spans="1:2" ht="18.75">
      <c r="A139" s="57"/>
      <c r="B139" s="57"/>
    </row>
    <row r="140" spans="1:2" ht="18.75">
      <c r="A140" s="57"/>
      <c r="B140" s="57"/>
    </row>
    <row r="141" spans="1:2" ht="18.75">
      <c r="A141" s="57"/>
      <c r="B141" s="57"/>
    </row>
    <row r="142" spans="1:2" ht="18.75">
      <c r="A142" s="57"/>
      <c r="B142" s="57"/>
    </row>
    <row r="143" spans="1:2" ht="18.75">
      <c r="A143" s="57"/>
      <c r="B143" s="57"/>
    </row>
    <row r="144" spans="1:2" ht="18.75">
      <c r="A144" s="57"/>
      <c r="B144" s="57"/>
    </row>
    <row r="145" spans="1:2" ht="18.75">
      <c r="A145" s="57"/>
      <c r="B145" s="57"/>
    </row>
    <row r="146" spans="1:2" ht="18.75">
      <c r="A146" s="57"/>
      <c r="B146" s="57"/>
    </row>
    <row r="147" spans="1:2" ht="18.75">
      <c r="A147" s="57"/>
      <c r="B147" s="57"/>
    </row>
    <row r="148" spans="1:2" ht="18.75">
      <c r="A148" s="57"/>
      <c r="B148" s="57"/>
    </row>
    <row r="149" spans="1:2" ht="18.75">
      <c r="A149" s="57"/>
      <c r="B149" s="57"/>
    </row>
    <row r="150" spans="1:2" ht="18.75">
      <c r="A150" s="57"/>
      <c r="B150" s="57"/>
    </row>
    <row r="151" spans="1:2" ht="18.75">
      <c r="A151" s="57"/>
      <c r="B151" s="59"/>
    </row>
    <row r="152" spans="1:2" ht="18.75">
      <c r="A152" s="57"/>
      <c r="B152" s="57"/>
    </row>
    <row r="153" spans="1:2" ht="18.75">
      <c r="A153" s="57"/>
      <c r="B153" s="57"/>
    </row>
    <row r="154" spans="1:2" ht="18.75">
      <c r="A154" s="57"/>
      <c r="B154" s="57"/>
    </row>
    <row r="155" spans="1:2" ht="18.75">
      <c r="A155" s="57"/>
      <c r="B155" s="57"/>
    </row>
    <row r="156" spans="1:2" ht="18.75">
      <c r="A156" s="57"/>
      <c r="B156" s="57"/>
    </row>
    <row r="157" spans="1:2" ht="18.75">
      <c r="A157" s="57"/>
      <c r="B157" s="57"/>
    </row>
    <row r="158" spans="1:2" ht="18.75">
      <c r="A158" s="57"/>
      <c r="B158" s="57"/>
    </row>
    <row r="159" spans="1:2" ht="18.75">
      <c r="A159" s="57"/>
      <c r="B159" s="57"/>
    </row>
    <row r="160" spans="1:2" ht="18.75">
      <c r="A160" s="57"/>
      <c r="B160" s="57"/>
    </row>
    <row r="161" spans="1:2" ht="18.75">
      <c r="A161" s="57"/>
      <c r="B161" s="57"/>
    </row>
    <row r="162" spans="1:2" ht="18.75">
      <c r="A162" s="57"/>
      <c r="B162" s="57"/>
    </row>
    <row r="163" spans="1:2" ht="18.75">
      <c r="A163" s="57"/>
      <c r="B163" s="57"/>
    </row>
    <row r="164" spans="1:2" ht="18.75">
      <c r="A164" s="57"/>
      <c r="B164" s="57"/>
    </row>
    <row r="165" spans="1:2" ht="18.75">
      <c r="A165" s="57"/>
      <c r="B165" s="57"/>
    </row>
    <row r="166" spans="1:2" ht="18.75">
      <c r="A166" s="57"/>
      <c r="B166" s="57"/>
    </row>
    <row r="167" spans="1:2" ht="18.75">
      <c r="A167" s="57"/>
      <c r="B167" s="57"/>
    </row>
    <row r="168" spans="1:2" ht="18.75">
      <c r="A168" s="57"/>
      <c r="B168" s="59"/>
    </row>
    <row r="169" spans="1:2" ht="18.75">
      <c r="A169" s="57"/>
      <c r="B169" s="57"/>
    </row>
    <row r="170" spans="1:2" ht="18.75">
      <c r="A170" s="57"/>
      <c r="B170" s="57"/>
    </row>
    <row r="171" spans="1:2" ht="18.75">
      <c r="A171" s="57"/>
      <c r="B171" s="57"/>
    </row>
    <row r="172" spans="1:2" ht="18.75">
      <c r="A172" s="57"/>
      <c r="B172" s="57"/>
    </row>
    <row r="173" spans="1:2" ht="18.75">
      <c r="A173" s="57"/>
      <c r="B173" s="57"/>
    </row>
    <row r="174" spans="1:2" ht="18.75">
      <c r="A174" s="57"/>
      <c r="B174" s="57"/>
    </row>
    <row r="175" spans="1:2" ht="18.75">
      <c r="A175" s="57"/>
      <c r="B175" s="57"/>
    </row>
    <row r="176" spans="1:2" ht="18.75">
      <c r="A176" s="57"/>
      <c r="B176" s="57"/>
    </row>
    <row r="177" spans="1:2" ht="18.75">
      <c r="A177" s="57"/>
      <c r="B177" s="57"/>
    </row>
    <row r="178" spans="1:2" ht="18.75">
      <c r="A178" s="57"/>
      <c r="B178" s="57"/>
    </row>
    <row r="179" spans="1:2" ht="18.75">
      <c r="A179" s="57"/>
      <c r="B179" s="57"/>
    </row>
    <row r="180" spans="1:2" ht="18.75">
      <c r="A180" s="57"/>
      <c r="B180" s="57"/>
    </row>
    <row r="181" spans="1:2" ht="18.75">
      <c r="A181" s="57"/>
      <c r="B181" s="57"/>
    </row>
    <row r="182" spans="1:2" ht="18.75">
      <c r="A182" s="57"/>
      <c r="B182" s="57"/>
    </row>
    <row r="183" spans="1:2" ht="18.75">
      <c r="A183" s="57"/>
      <c r="B183" s="57"/>
    </row>
    <row r="184" spans="1:2" ht="18.75">
      <c r="A184" s="57"/>
      <c r="B184" s="57"/>
    </row>
    <row r="185" spans="1:2" ht="18.75">
      <c r="A185" s="57"/>
      <c r="B185" s="57"/>
    </row>
    <row r="186" spans="1:2" ht="18.75">
      <c r="A186" s="57"/>
      <c r="B186" s="57"/>
    </row>
    <row r="187" spans="1:2" ht="18.75">
      <c r="A187" s="57"/>
      <c r="B187" s="57"/>
    </row>
    <row r="188" spans="1:2" ht="18.75">
      <c r="A188" s="57"/>
      <c r="B188" s="57"/>
    </row>
    <row r="189" spans="1:2" ht="18.75">
      <c r="A189" s="57"/>
      <c r="B189" s="57"/>
    </row>
    <row r="190" spans="1:2" ht="18.75">
      <c r="A190" s="57"/>
      <c r="B190" s="57"/>
    </row>
    <row r="191" spans="1:2" ht="18.75">
      <c r="A191" s="57"/>
      <c r="B191" s="57"/>
    </row>
    <row r="192" spans="1:2" ht="18.75">
      <c r="A192" s="57"/>
      <c r="B192" s="57"/>
    </row>
    <row r="193" spans="1:2" ht="18.75">
      <c r="A193" s="57"/>
      <c r="B193" s="57"/>
    </row>
    <row r="194" spans="1:2" ht="18.75">
      <c r="A194" s="57"/>
      <c r="B194" s="57"/>
    </row>
    <row r="195" spans="1:2" ht="18.75">
      <c r="A195" s="57"/>
      <c r="B195" s="57"/>
    </row>
    <row r="196" spans="1:2" ht="18.75">
      <c r="A196" s="57"/>
      <c r="B196" s="57"/>
    </row>
    <row r="197" spans="1:2" ht="18.75">
      <c r="A197" s="57"/>
      <c r="B197" s="57"/>
    </row>
    <row r="198" spans="1:2" ht="18.75">
      <c r="A198" s="57"/>
      <c r="B198" s="57"/>
    </row>
    <row r="199" spans="1:2" ht="18.75">
      <c r="A199" s="57"/>
      <c r="B199" s="57"/>
    </row>
    <row r="200" spans="1:2" ht="18.75">
      <c r="A200" s="57"/>
      <c r="B200" s="57"/>
    </row>
    <row r="201" spans="1:2" ht="18.75">
      <c r="A201" s="57"/>
      <c r="B201" s="57"/>
    </row>
    <row r="202" spans="1:2" ht="18.75">
      <c r="A202" s="57"/>
      <c r="B202" s="57"/>
    </row>
    <row r="203" spans="1:2" ht="18.75">
      <c r="A203" s="57"/>
      <c r="B203" s="57"/>
    </row>
    <row r="204" spans="1:2" ht="18.75">
      <c r="A204" s="57"/>
      <c r="B204" s="57"/>
    </row>
    <row r="205" spans="1:2" ht="18.75">
      <c r="A205" s="57"/>
      <c r="B205" s="57"/>
    </row>
    <row r="206" spans="1:2" ht="18.75">
      <c r="A206" s="57"/>
      <c r="B206" s="57"/>
    </row>
    <row r="207" spans="1:2" ht="18.75">
      <c r="A207" s="57"/>
      <c r="B207" s="57"/>
    </row>
    <row r="208" spans="1:2" ht="18.75">
      <c r="A208" s="57"/>
      <c r="B208" s="57"/>
    </row>
    <row r="209" spans="1:2" ht="18.75">
      <c r="A209" s="57"/>
      <c r="B209" s="57"/>
    </row>
    <row r="210" spans="1:2" ht="18.75">
      <c r="A210" s="57"/>
      <c r="B210" s="57"/>
    </row>
    <row r="211" spans="1:2" ht="18.75">
      <c r="A211" s="57"/>
      <c r="B211" s="57"/>
    </row>
    <row r="212" spans="1:2" ht="18.75">
      <c r="A212" s="57"/>
      <c r="B212" s="57"/>
    </row>
    <row r="213" spans="1:2" ht="18.75">
      <c r="A213" s="57"/>
      <c r="B213" s="57"/>
    </row>
    <row r="214" spans="1:2" ht="18.75">
      <c r="A214" s="57"/>
      <c r="B214" s="57"/>
    </row>
    <row r="215" spans="1:2" ht="18.75">
      <c r="A215" s="57"/>
      <c r="B215" s="59"/>
    </row>
    <row r="216" spans="1:2" ht="18.75">
      <c r="A216" s="57"/>
      <c r="B216" s="59"/>
    </row>
    <row r="217" spans="1:2" ht="18.75">
      <c r="A217" s="57"/>
      <c r="B217" s="59"/>
    </row>
    <row r="218" spans="1:2" ht="18.75">
      <c r="A218" s="57"/>
      <c r="B218" s="59"/>
    </row>
    <row r="219" spans="1:2" ht="18.75">
      <c r="A219" s="57"/>
      <c r="B219" s="57"/>
    </row>
    <row r="220" spans="1:2" ht="18.75">
      <c r="A220" s="57"/>
      <c r="B220" s="57"/>
    </row>
    <row r="221" spans="1:2" ht="18.75">
      <c r="A221" s="57"/>
      <c r="B221" s="57"/>
    </row>
    <row r="222" spans="1:2" ht="18.75">
      <c r="A222" s="57"/>
      <c r="B222" s="57"/>
    </row>
    <row r="223" spans="1:2" ht="18.75">
      <c r="A223" s="57"/>
      <c r="B223" s="57"/>
    </row>
    <row r="224" spans="1:2" ht="18.75">
      <c r="A224" s="57"/>
      <c r="B224" s="57"/>
    </row>
    <row r="225" spans="1:2" ht="18.75">
      <c r="A225" s="57"/>
      <c r="B225" s="57"/>
    </row>
    <row r="226" spans="1:2" ht="18.75">
      <c r="A226" s="57"/>
      <c r="B226" s="57"/>
    </row>
    <row r="227" spans="1:2" ht="18.75">
      <c r="A227" s="57"/>
      <c r="B227" s="57"/>
    </row>
    <row r="228" spans="1:2" ht="18.75">
      <c r="A228" s="57"/>
      <c r="B228" s="57"/>
    </row>
    <row r="229" spans="1:2" ht="18.75">
      <c r="A229" s="57"/>
      <c r="B229" s="57"/>
    </row>
    <row r="230" spans="1:2" ht="18.75">
      <c r="A230" s="57"/>
      <c r="B230" s="59"/>
    </row>
    <row r="231" spans="1:2" ht="18.75">
      <c r="A231" s="57"/>
      <c r="B231" s="59"/>
    </row>
    <row r="232" spans="1:2" ht="18.75">
      <c r="A232" s="57"/>
      <c r="B232" s="57"/>
    </row>
    <row r="233" spans="1:2" ht="18.75">
      <c r="A233" s="57"/>
      <c r="B233" s="57"/>
    </row>
    <row r="234" spans="1:2" ht="18.75">
      <c r="A234" s="57"/>
      <c r="B234" s="57"/>
    </row>
    <row r="235" spans="1:2" ht="18.75">
      <c r="A235" s="57"/>
      <c r="B235" s="59"/>
    </row>
    <row r="236" spans="1:2" ht="18.75">
      <c r="A236" s="57"/>
      <c r="B236" s="57"/>
    </row>
    <row r="237" spans="1:2" ht="18.75">
      <c r="A237" s="57"/>
      <c r="B237" s="57"/>
    </row>
    <row r="238" spans="1:2" ht="18.75">
      <c r="A238" s="57"/>
      <c r="B238" s="57"/>
    </row>
    <row r="239" spans="1:2" ht="18.75">
      <c r="A239" s="57"/>
      <c r="B239" s="57"/>
    </row>
    <row r="240" spans="1:2" ht="18.75">
      <c r="A240" s="57"/>
      <c r="B240" s="57"/>
    </row>
    <row r="241" spans="1:2" ht="18.75">
      <c r="A241" s="57"/>
      <c r="B241" s="57"/>
    </row>
    <row r="242" spans="1:2" ht="18.75">
      <c r="A242" s="57"/>
      <c r="B242" s="57"/>
    </row>
    <row r="243" spans="1:2" ht="18.75">
      <c r="A243" s="57"/>
      <c r="B243" s="57"/>
    </row>
    <row r="244" spans="1:2" ht="18.75">
      <c r="A244" s="57"/>
      <c r="B244" s="57"/>
    </row>
    <row r="245" spans="1:2" ht="18.75">
      <c r="A245" s="57"/>
      <c r="B245" s="57"/>
    </row>
    <row r="246" spans="1:2" ht="18.75">
      <c r="A246" s="57"/>
      <c r="B246" s="57"/>
    </row>
    <row r="247" spans="1:2" ht="18.75">
      <c r="A247" s="57"/>
      <c r="B247" s="57"/>
    </row>
    <row r="248" spans="1:2" ht="18.75">
      <c r="A248" s="57"/>
      <c r="B248" s="57"/>
    </row>
    <row r="249" spans="1:2" ht="18.75">
      <c r="A249" s="57"/>
      <c r="B249" s="57"/>
    </row>
    <row r="250" spans="1:2" ht="18.75">
      <c r="A250" s="57"/>
      <c r="B250" s="57"/>
    </row>
    <row r="251" spans="1:2" ht="18.75">
      <c r="A251" s="57"/>
      <c r="B251" s="57"/>
    </row>
    <row r="252" spans="1:2" ht="18.75">
      <c r="A252" s="57"/>
      <c r="B252" s="57"/>
    </row>
    <row r="253" spans="1:2" ht="18.75">
      <c r="A253" s="57"/>
      <c r="B253" s="57"/>
    </row>
    <row r="254" spans="1:2" ht="18.75">
      <c r="A254" s="57"/>
      <c r="B254" s="57"/>
    </row>
    <row r="255" spans="1:2" ht="18.75">
      <c r="A255" s="57"/>
      <c r="B255" s="57"/>
    </row>
    <row r="256" spans="1:2" ht="18.75">
      <c r="A256" s="57"/>
      <c r="B256" s="57"/>
    </row>
    <row r="257" spans="1:2" ht="18.75">
      <c r="A257" s="57"/>
      <c r="B257" s="57"/>
    </row>
    <row r="258" spans="1:2" ht="18.75">
      <c r="A258" s="57"/>
      <c r="B258" s="57"/>
    </row>
    <row r="259" spans="1:2" ht="18.75">
      <c r="A259" s="57"/>
      <c r="B259" s="57"/>
    </row>
    <row r="260" spans="1:2" ht="18.75">
      <c r="A260" s="57"/>
      <c r="B260" s="57"/>
    </row>
    <row r="261" spans="1:2" ht="18.75">
      <c r="A261" s="57"/>
      <c r="B261" s="57"/>
    </row>
    <row r="262" spans="1:2" ht="18.75">
      <c r="A262" s="57"/>
      <c r="B262" s="57"/>
    </row>
    <row r="263" spans="1:2" ht="18.75">
      <c r="A263" s="57"/>
      <c r="B263" s="57"/>
    </row>
    <row r="264" spans="1:2" ht="18.75">
      <c r="A264" s="57"/>
      <c r="B264" s="57"/>
    </row>
    <row r="265" spans="1:2" ht="18.75">
      <c r="A265" s="57"/>
      <c r="B265" s="57"/>
    </row>
    <row r="266" spans="1:2" ht="18.75">
      <c r="A266" s="57"/>
      <c r="B266" s="57"/>
    </row>
    <row r="267" spans="1:2" ht="18.75">
      <c r="A267" s="57"/>
      <c r="B267" s="57"/>
    </row>
    <row r="268" spans="1:2" ht="18.75">
      <c r="A268" s="57"/>
      <c r="B268" s="57"/>
    </row>
    <row r="269" spans="1:2" ht="18.75">
      <c r="A269" s="57"/>
      <c r="B269" s="57"/>
    </row>
    <row r="270" spans="1:2" ht="18.75">
      <c r="A270" s="57"/>
      <c r="B270" s="57"/>
    </row>
    <row r="271" spans="1:2" ht="18.75">
      <c r="A271" s="57"/>
      <c r="B271" s="57"/>
    </row>
    <row r="272" spans="1:2" ht="18.75">
      <c r="A272" s="57"/>
      <c r="B272" s="57"/>
    </row>
    <row r="273" spans="1:2" ht="18.75">
      <c r="A273" s="57"/>
      <c r="B273" s="57"/>
    </row>
    <row r="274" spans="1:2" ht="18.75">
      <c r="A274" s="57"/>
      <c r="B274" s="57"/>
    </row>
    <row r="275" spans="1:2" ht="18.75">
      <c r="A275" s="57"/>
      <c r="B275" s="57"/>
    </row>
    <row r="276" spans="1:2" ht="18.75">
      <c r="A276" s="57"/>
      <c r="B276" s="57"/>
    </row>
    <row r="277" spans="1:2" ht="18.75">
      <c r="A277" s="57"/>
      <c r="B277" s="57"/>
    </row>
    <row r="278" spans="1:2" ht="18.75">
      <c r="A278" s="57"/>
      <c r="B278" s="57"/>
    </row>
    <row r="279" spans="1:2" ht="18.75">
      <c r="A279" s="57"/>
      <c r="B279" s="57"/>
    </row>
    <row r="280" spans="1:2" ht="18.75">
      <c r="A280" s="57"/>
      <c r="B280" s="57"/>
    </row>
    <row r="281" spans="1:2" ht="18.75">
      <c r="A281" s="57"/>
      <c r="B281" s="57"/>
    </row>
    <row r="282" spans="1:2" ht="18.75">
      <c r="A282" s="57"/>
      <c r="B282" s="57"/>
    </row>
    <row r="283" spans="1:2" ht="18.75">
      <c r="A283" s="57"/>
      <c r="B283" s="57"/>
    </row>
    <row r="284" spans="1:2" ht="18.75">
      <c r="A284" s="57"/>
      <c r="B284" s="57"/>
    </row>
    <row r="285" spans="1:2" ht="18.75">
      <c r="A285" s="57"/>
      <c r="B285" s="57"/>
    </row>
    <row r="286" spans="1:2" ht="18.75">
      <c r="A286" s="57"/>
      <c r="B286" s="57"/>
    </row>
    <row r="287" spans="1:2" ht="18.75">
      <c r="A287" s="57"/>
      <c r="B287" s="57"/>
    </row>
    <row r="288" spans="1:2" ht="18.75">
      <c r="A288" s="57"/>
      <c r="B288" s="57"/>
    </row>
    <row r="289" spans="1:2" ht="18.75">
      <c r="A289" s="57"/>
      <c r="B289" s="57"/>
    </row>
    <row r="290" spans="1:2" ht="18.75">
      <c r="A290" s="57"/>
      <c r="B290" s="57"/>
    </row>
    <row r="291" spans="1:2" ht="18.75">
      <c r="A291" s="57"/>
      <c r="B291" s="57"/>
    </row>
    <row r="292" spans="1:2" ht="18.75">
      <c r="A292" s="57"/>
      <c r="B292" s="57"/>
    </row>
    <row r="293" spans="1:2" ht="18.75">
      <c r="A293" s="57"/>
      <c r="B293" s="57"/>
    </row>
    <row r="294" spans="1:2" ht="18.75">
      <c r="A294" s="57"/>
      <c r="B294" s="57"/>
    </row>
    <row r="295" spans="1:2" ht="18.75">
      <c r="A295" s="57"/>
      <c r="B295" s="57"/>
    </row>
    <row r="296" spans="1:2" ht="18.75">
      <c r="A296" s="57"/>
      <c r="B296" s="57"/>
    </row>
    <row r="297" spans="1:2" ht="18.75">
      <c r="A297" s="57"/>
      <c r="B297" s="57"/>
    </row>
    <row r="298" spans="1:2" ht="18.75">
      <c r="A298" s="57"/>
      <c r="B298" s="57"/>
    </row>
    <row r="299" spans="1:2" ht="18.75">
      <c r="A299" s="57"/>
      <c r="B299" s="57"/>
    </row>
    <row r="300" spans="1:2" ht="18.75">
      <c r="A300" s="57"/>
      <c r="B300" s="57"/>
    </row>
    <row r="301" spans="1:2" ht="18.75">
      <c r="A301" s="57"/>
      <c r="B301" s="57"/>
    </row>
    <row r="302" spans="1:2" ht="18.75">
      <c r="A302" s="57"/>
      <c r="B302" s="57"/>
    </row>
    <row r="303" spans="1:2" ht="18.75">
      <c r="A303" s="57"/>
      <c r="B303" s="57"/>
    </row>
    <row r="304" spans="1:2" ht="18.75">
      <c r="A304" s="57"/>
      <c r="B304" s="57"/>
    </row>
    <row r="305" spans="1:2" ht="18.75">
      <c r="A305" s="57"/>
      <c r="B305" s="57"/>
    </row>
    <row r="306" spans="1:2" ht="18.75">
      <c r="A306" s="57"/>
      <c r="B306" s="57"/>
    </row>
    <row r="307" spans="1:2" ht="18.75">
      <c r="A307" s="57"/>
      <c r="B307" s="57"/>
    </row>
    <row r="308" spans="1:2" ht="18.75">
      <c r="A308" s="57"/>
      <c r="B308" s="57"/>
    </row>
    <row r="309" spans="1:2" ht="18.75">
      <c r="A309" s="57"/>
      <c r="B309" s="57"/>
    </row>
    <row r="310" spans="1:2" ht="18.75">
      <c r="A310" s="57"/>
      <c r="B310" s="57"/>
    </row>
    <row r="311" spans="1:2" ht="18.75">
      <c r="A311" s="57"/>
      <c r="B311" s="57"/>
    </row>
    <row r="312" spans="1:2" ht="18.75">
      <c r="A312" s="57"/>
      <c r="B312" s="57"/>
    </row>
    <row r="313" spans="1:2" ht="18.75">
      <c r="A313" s="57"/>
      <c r="B313" s="57"/>
    </row>
    <row r="314" spans="1:2" ht="18.75">
      <c r="A314" s="57"/>
      <c r="B314" s="57"/>
    </row>
    <row r="315" spans="1:2" ht="18.75">
      <c r="A315" s="57"/>
      <c r="B315" s="57"/>
    </row>
    <row r="316" spans="1:2" ht="18.75">
      <c r="A316" s="57"/>
      <c r="B316" s="57"/>
    </row>
    <row r="317" spans="1:2" ht="18.75">
      <c r="A317" s="57"/>
      <c r="B317" s="57"/>
    </row>
    <row r="318" spans="1:2" ht="18.75">
      <c r="A318" s="57"/>
      <c r="B318" s="57"/>
    </row>
    <row r="319" spans="1:2" ht="18.75">
      <c r="A319" s="57"/>
      <c r="B319" s="57"/>
    </row>
    <row r="320" spans="1:2" ht="18.75">
      <c r="A320" s="57"/>
      <c r="B320" s="57"/>
    </row>
    <row r="321" spans="1:2" ht="18.75">
      <c r="A321" s="57"/>
      <c r="B321" s="57"/>
    </row>
    <row r="322" spans="1:2" ht="18.75">
      <c r="A322" s="57"/>
      <c r="B322" s="57"/>
    </row>
    <row r="323" spans="1:2" ht="18.75">
      <c r="A323" s="57"/>
      <c r="B323" s="57"/>
    </row>
    <row r="324" spans="1:2" ht="18.75">
      <c r="A324" s="57"/>
      <c r="B324" s="57"/>
    </row>
    <row r="325" spans="1:2" ht="18.75">
      <c r="A325" s="57"/>
      <c r="B325" s="57"/>
    </row>
    <row r="326" spans="1:2" ht="18.75">
      <c r="A326" s="57"/>
      <c r="B326" s="57"/>
    </row>
    <row r="327" spans="1:2" ht="18.75">
      <c r="A327" s="57"/>
      <c r="B327" s="57"/>
    </row>
    <row r="328" spans="1:2" ht="18.75">
      <c r="A328" s="57"/>
      <c r="B328" s="57"/>
    </row>
    <row r="329" spans="1:2" ht="18.75">
      <c r="A329" s="57"/>
      <c r="B329" s="57"/>
    </row>
    <row r="330" spans="1:2" ht="18.75">
      <c r="A330" s="57"/>
      <c r="B330" s="59"/>
    </row>
    <row r="331" spans="1:2" ht="18.75">
      <c r="A331" s="57"/>
      <c r="B331" s="59"/>
    </row>
    <row r="332" spans="1:2" ht="18.75">
      <c r="A332" s="57"/>
      <c r="B332" s="59"/>
    </row>
    <row r="333" spans="1:2" ht="18.75">
      <c r="A333" s="57"/>
      <c r="B333" s="59"/>
    </row>
    <row r="334" spans="1:2" ht="18.75">
      <c r="A334" s="57"/>
      <c r="B334" s="57"/>
    </row>
    <row r="335" spans="1:2" ht="18.75">
      <c r="A335" s="57"/>
      <c r="B335" s="57"/>
    </row>
    <row r="336" spans="1:2" ht="18.75">
      <c r="A336" s="57"/>
      <c r="B336" s="57"/>
    </row>
    <row r="337" spans="1:2" ht="18.75">
      <c r="A337" s="57"/>
      <c r="B337" s="57"/>
    </row>
    <row r="338" spans="1:2" ht="18.75">
      <c r="A338" s="57"/>
      <c r="B338" s="57"/>
    </row>
    <row r="339" spans="1:2" ht="18.75">
      <c r="A339" s="57"/>
      <c r="B339" s="57"/>
    </row>
    <row r="340" spans="1:2" ht="18.75">
      <c r="A340" s="57"/>
      <c r="B340" s="57"/>
    </row>
    <row r="341" spans="1:2" ht="18.75">
      <c r="A341" s="57"/>
      <c r="B341" s="57"/>
    </row>
    <row r="342" spans="1:2" ht="18.75">
      <c r="A342" s="57"/>
      <c r="B342" s="57"/>
    </row>
    <row r="343" spans="1:2" ht="18.75">
      <c r="A343" s="57"/>
      <c r="B343" s="57"/>
    </row>
    <row r="344" spans="1:2" ht="18.75">
      <c r="A344" s="57"/>
      <c r="B344" s="57"/>
    </row>
    <row r="345" spans="1:2" ht="18.75">
      <c r="A345" s="57"/>
      <c r="B345" s="59"/>
    </row>
    <row r="346" spans="1:2" ht="18.75">
      <c r="A346" s="57"/>
      <c r="B346" s="59"/>
    </row>
    <row r="347" spans="1:2" ht="18.75">
      <c r="A347" s="57"/>
      <c r="B347" s="57"/>
    </row>
    <row r="348" spans="1:2" ht="18.75">
      <c r="A348" s="57"/>
      <c r="B348" s="57"/>
    </row>
    <row r="349" spans="1:2" ht="18.75">
      <c r="A349" s="57"/>
      <c r="B349" s="59"/>
    </row>
    <row r="350" spans="1:2" ht="18.75">
      <c r="A350" s="57"/>
      <c r="B350" s="59"/>
    </row>
    <row r="351" spans="1:2" ht="18.75">
      <c r="A351" s="57"/>
      <c r="B351" s="57"/>
    </row>
    <row r="352" spans="1:2" ht="18.75">
      <c r="A352" s="57"/>
      <c r="B352" s="57"/>
    </row>
    <row r="353" spans="1:2" ht="18.75">
      <c r="A353" s="57"/>
      <c r="B353" s="57"/>
    </row>
    <row r="354" spans="1:2" ht="18.75">
      <c r="A354" s="57"/>
      <c r="B354" s="57"/>
    </row>
    <row r="355" spans="1:2" ht="18.75">
      <c r="A355" s="57"/>
      <c r="B355" s="57"/>
    </row>
    <row r="356" spans="1:2" ht="18.75">
      <c r="A356" s="57"/>
      <c r="B356" s="57"/>
    </row>
    <row r="357" spans="1:2" ht="18.75">
      <c r="A357" s="57"/>
      <c r="B357" s="57"/>
    </row>
    <row r="358" spans="1:2" ht="18.75">
      <c r="A358" s="57"/>
      <c r="B358" s="57"/>
    </row>
    <row r="359" spans="1:2" ht="18.75">
      <c r="A359" s="57"/>
      <c r="B359" s="57"/>
    </row>
    <row r="360" spans="1:2" ht="18.75">
      <c r="A360" s="57"/>
      <c r="B360" s="57"/>
    </row>
    <row r="361" spans="1:2" ht="18.75">
      <c r="A361" s="57"/>
      <c r="B361" s="57"/>
    </row>
    <row r="362" spans="1:2" ht="18.75">
      <c r="A362" s="57"/>
      <c r="B362" s="57"/>
    </row>
    <row r="363" spans="1:2" ht="18.75">
      <c r="A363" s="57"/>
      <c r="B363" s="57"/>
    </row>
    <row r="364" spans="1:2" ht="18.75">
      <c r="A364" s="57"/>
      <c r="B364" s="57"/>
    </row>
    <row r="365" spans="1:2" ht="18.75">
      <c r="A365" s="57"/>
      <c r="B365" s="57"/>
    </row>
    <row r="366" spans="1:2" ht="18.75">
      <c r="A366" s="57"/>
      <c r="B366" s="57"/>
    </row>
    <row r="367" spans="1:2" ht="18.75">
      <c r="A367" s="57"/>
      <c r="B367" s="57"/>
    </row>
    <row r="368" spans="1:2" ht="18.75">
      <c r="A368" s="57"/>
      <c r="B368" s="57"/>
    </row>
    <row r="369" spans="1:2" ht="18.75">
      <c r="A369" s="57"/>
      <c r="B369" s="57"/>
    </row>
    <row r="370" spans="1:2" ht="18.75">
      <c r="A370" s="57"/>
      <c r="B370" s="57"/>
    </row>
    <row r="371" spans="1:2" ht="18.75">
      <c r="A371" s="57"/>
      <c r="B371" s="57"/>
    </row>
    <row r="372" spans="1:2" ht="18.75">
      <c r="A372" s="57"/>
      <c r="B372" s="57"/>
    </row>
    <row r="373" spans="1:2" ht="18.75">
      <c r="A373" s="57"/>
      <c r="B373" s="57"/>
    </row>
    <row r="374" spans="1:2" ht="18.75">
      <c r="A374" s="57"/>
      <c r="B374" s="57"/>
    </row>
    <row r="375" spans="1:2" ht="18.75">
      <c r="A375" s="57"/>
      <c r="B375" s="57"/>
    </row>
    <row r="376" spans="1:2" ht="18.75">
      <c r="A376" s="57"/>
      <c r="B376" s="57"/>
    </row>
    <row r="377" spans="1:2" ht="18.75">
      <c r="A377" s="57"/>
      <c r="B377" s="57"/>
    </row>
    <row r="378" spans="1:2" ht="18.75">
      <c r="A378" s="57"/>
      <c r="B378" s="57"/>
    </row>
    <row r="379" spans="1:2" ht="18.75">
      <c r="A379" s="57"/>
      <c r="B379" s="57"/>
    </row>
    <row r="380" spans="1:2" ht="18.75">
      <c r="A380" s="57"/>
      <c r="B380" s="57"/>
    </row>
    <row r="381" spans="1:2" ht="18.75">
      <c r="A381" s="57"/>
      <c r="B381" s="57"/>
    </row>
    <row r="382" spans="1:2" ht="18.75">
      <c r="A382" s="57"/>
      <c r="B382" s="57"/>
    </row>
    <row r="383" spans="1:2" ht="18.75">
      <c r="A383" s="57"/>
      <c r="B383" s="57"/>
    </row>
    <row r="384" spans="1:2" ht="18.75">
      <c r="A384" s="57"/>
      <c r="B384" s="57"/>
    </row>
    <row r="385" spans="1:2" ht="18.75">
      <c r="A385" s="57"/>
      <c r="B385" s="57"/>
    </row>
    <row r="386" spans="1:2" ht="18.75">
      <c r="A386" s="57"/>
      <c r="B386" s="57"/>
    </row>
    <row r="387" spans="1:2" ht="18.75">
      <c r="A387" s="57"/>
      <c r="B387" s="57"/>
    </row>
    <row r="388" spans="1:2" ht="18.75">
      <c r="A388" s="57"/>
      <c r="B388" s="57"/>
    </row>
    <row r="389" spans="1:2" ht="18.75">
      <c r="A389" s="57"/>
      <c r="B389" s="57"/>
    </row>
    <row r="390" spans="1:2" ht="18.75">
      <c r="A390" s="57"/>
      <c r="B390" s="57"/>
    </row>
    <row r="391" spans="1:2" ht="18.75">
      <c r="A391" s="57"/>
      <c r="B391" s="57"/>
    </row>
    <row r="392" spans="1:2" ht="18.75">
      <c r="A392" s="57"/>
      <c r="B392" s="57"/>
    </row>
    <row r="393" spans="1:2" ht="18.75">
      <c r="A393" s="57"/>
      <c r="B393" s="57"/>
    </row>
    <row r="394" spans="1:2" ht="18.75">
      <c r="A394" s="57"/>
      <c r="B394" s="57"/>
    </row>
    <row r="395" spans="1:2" ht="18.75">
      <c r="A395" s="57"/>
      <c r="B395" s="57"/>
    </row>
    <row r="396" spans="1:2" ht="18.75">
      <c r="A396" s="57"/>
      <c r="B396" s="57"/>
    </row>
    <row r="397" spans="1:2" ht="18.75">
      <c r="A397" s="57"/>
      <c r="B397" s="57"/>
    </row>
    <row r="398" spans="1:2" ht="18.75">
      <c r="A398" s="57"/>
      <c r="B398" s="57"/>
    </row>
    <row r="399" spans="1:2" ht="18.75">
      <c r="A399" s="57"/>
      <c r="B399" s="57"/>
    </row>
    <row r="400" spans="1:2" ht="18.75">
      <c r="A400" s="57"/>
      <c r="B400" s="57"/>
    </row>
    <row r="401" spans="1:2" ht="18.75">
      <c r="A401" s="57"/>
      <c r="B401" s="57"/>
    </row>
    <row r="402" spans="1:2" ht="18.75">
      <c r="A402" s="57"/>
      <c r="B402" s="57"/>
    </row>
    <row r="403" spans="1:2" ht="18.75">
      <c r="A403" s="57"/>
      <c r="B403" s="57"/>
    </row>
    <row r="404" spans="1:2" ht="18.75">
      <c r="A404" s="57"/>
      <c r="B404" s="57"/>
    </row>
    <row r="405" spans="1:2" ht="18.75">
      <c r="A405" s="57"/>
      <c r="B405" s="57"/>
    </row>
    <row r="406" spans="1:2" ht="18.75">
      <c r="A406" s="57"/>
      <c r="B406" s="57"/>
    </row>
    <row r="407" spans="1:2" ht="18.75">
      <c r="A407" s="57"/>
      <c r="B407" s="57"/>
    </row>
    <row r="408" spans="1:2" ht="18.75">
      <c r="A408" s="57"/>
      <c r="B408" s="57"/>
    </row>
    <row r="409" spans="1:2" ht="18.75">
      <c r="A409" s="57"/>
      <c r="B409" s="57"/>
    </row>
    <row r="410" spans="1:2" ht="18.75">
      <c r="A410" s="57"/>
      <c r="B410" s="57"/>
    </row>
    <row r="411" spans="1:2" ht="18.75">
      <c r="A411" s="57"/>
      <c r="B411" s="57"/>
    </row>
    <row r="412" spans="1:2" ht="18.75">
      <c r="A412" s="57"/>
      <c r="B412" s="57"/>
    </row>
    <row r="413" spans="1:2" ht="18.75">
      <c r="A413" s="57"/>
      <c r="B413" s="57"/>
    </row>
    <row r="414" spans="1:2" ht="18.75">
      <c r="A414" s="57"/>
      <c r="B414" s="57"/>
    </row>
    <row r="415" spans="1:2" ht="18.75">
      <c r="A415" s="57"/>
      <c r="B415" s="57"/>
    </row>
    <row r="416" spans="1:2" ht="18.75">
      <c r="A416" s="57"/>
      <c r="B416" s="57"/>
    </row>
    <row r="417" spans="1:2" ht="18.75">
      <c r="A417" s="57"/>
      <c r="B417" s="57"/>
    </row>
    <row r="418" spans="1:2" ht="18.75">
      <c r="A418" s="57"/>
      <c r="B418" s="57"/>
    </row>
    <row r="419" spans="1:2" ht="18.75">
      <c r="A419" s="57"/>
      <c r="B419" s="57"/>
    </row>
    <row r="420" spans="1:2" ht="18.75">
      <c r="A420" s="57"/>
      <c r="B420" s="57"/>
    </row>
    <row r="421" spans="1:2" ht="18.75">
      <c r="A421" s="57"/>
      <c r="B421" s="57"/>
    </row>
    <row r="422" spans="1:2" ht="18.75">
      <c r="A422" s="57"/>
      <c r="B422" s="57"/>
    </row>
    <row r="423" spans="1:2" ht="18.75">
      <c r="A423" s="57"/>
      <c r="B423" s="57"/>
    </row>
    <row r="424" spans="1:2" ht="18.75">
      <c r="A424" s="57"/>
      <c r="B424" s="57"/>
    </row>
    <row r="425" spans="1:2" ht="18.75">
      <c r="A425" s="57"/>
      <c r="B425" s="57"/>
    </row>
    <row r="426" spans="1:2" ht="18.75">
      <c r="A426" s="57"/>
      <c r="B426" s="57"/>
    </row>
    <row r="427" spans="1:2" ht="18.75">
      <c r="A427" s="57"/>
      <c r="B427" s="57"/>
    </row>
    <row r="428" spans="1:2" ht="18.75">
      <c r="A428" s="57"/>
      <c r="B428" s="57"/>
    </row>
    <row r="429" spans="1:2" ht="18.75">
      <c r="A429" s="57"/>
      <c r="B429" s="57"/>
    </row>
    <row r="430" spans="1:2" ht="18.75">
      <c r="A430" s="57"/>
      <c r="B430" s="57"/>
    </row>
    <row r="431" spans="1:2" ht="18.75">
      <c r="A431" s="57"/>
      <c r="B431" s="57"/>
    </row>
    <row r="432" spans="1:2" ht="18.75">
      <c r="A432" s="57"/>
      <c r="B432" s="57"/>
    </row>
    <row r="433" spans="1:2" ht="18.75">
      <c r="A433" s="57"/>
      <c r="B433" s="57"/>
    </row>
    <row r="434" spans="1:2" ht="18.75">
      <c r="A434" s="57"/>
      <c r="B434" s="57"/>
    </row>
    <row r="435" spans="1:2" ht="18.75">
      <c r="A435" s="57"/>
      <c r="B435" s="57"/>
    </row>
    <row r="436" spans="1:2" ht="18.75">
      <c r="A436" s="57"/>
      <c r="B436" s="57"/>
    </row>
    <row r="437" spans="1:2" ht="18.75">
      <c r="A437" s="57"/>
      <c r="B437" s="57"/>
    </row>
    <row r="438" spans="1:2" ht="18.75">
      <c r="A438" s="57"/>
      <c r="B438" s="57"/>
    </row>
    <row r="439" spans="1:2" ht="18.75">
      <c r="A439" s="57"/>
      <c r="B439" s="57"/>
    </row>
    <row r="440" spans="1:2" ht="18.75">
      <c r="A440" s="57"/>
      <c r="B440" s="57"/>
    </row>
    <row r="441" spans="1:2" ht="18.75">
      <c r="A441" s="57"/>
      <c r="B441" s="57"/>
    </row>
    <row r="442" spans="1:2" ht="18.75">
      <c r="A442" s="57"/>
      <c r="B442" s="57"/>
    </row>
    <row r="443" spans="1:2" ht="18.75">
      <c r="A443" s="57"/>
      <c r="B443" s="57"/>
    </row>
    <row r="444" spans="1:2" ht="18.75">
      <c r="A444" s="57"/>
      <c r="B444" s="57"/>
    </row>
    <row r="445" spans="1:2" ht="18.75">
      <c r="A445" s="57"/>
      <c r="B445" s="59"/>
    </row>
    <row r="446" spans="1:2" ht="18.75">
      <c r="A446" s="57"/>
      <c r="B446" s="59"/>
    </row>
    <row r="447" spans="1:2" ht="18.75">
      <c r="A447" s="57"/>
      <c r="B447" s="59"/>
    </row>
    <row r="448" spans="1:2" ht="18.75">
      <c r="A448" s="57"/>
      <c r="B448" s="59"/>
    </row>
    <row r="449" spans="1:2" ht="18.75">
      <c r="A449" s="57"/>
      <c r="B449" s="57"/>
    </row>
    <row r="450" spans="1:2" ht="18.75">
      <c r="A450" s="57"/>
      <c r="B450" s="57"/>
    </row>
    <row r="451" spans="1:2" ht="18.75">
      <c r="A451" s="57"/>
      <c r="B451" s="57"/>
    </row>
    <row r="452" spans="1:2" ht="18.75">
      <c r="A452" s="57"/>
      <c r="B452" s="57"/>
    </row>
    <row r="453" spans="1:2" ht="18.75">
      <c r="A453" s="57"/>
      <c r="B453" s="57"/>
    </row>
    <row r="454" spans="1:2" ht="18.75">
      <c r="A454" s="57"/>
      <c r="B454" s="57"/>
    </row>
    <row r="455" spans="1:2" ht="18.75">
      <c r="A455" s="57"/>
      <c r="B455" s="57"/>
    </row>
    <row r="456" spans="1:2" ht="18.75">
      <c r="A456" s="57"/>
      <c r="B456" s="57"/>
    </row>
    <row r="457" spans="1:2" ht="18.75">
      <c r="A457" s="57"/>
      <c r="B457" s="57"/>
    </row>
    <row r="458" spans="1:2" ht="18.75">
      <c r="A458" s="57"/>
      <c r="B458" s="57"/>
    </row>
    <row r="459" spans="1:2" ht="18.75">
      <c r="A459" s="57"/>
      <c r="B459" s="57"/>
    </row>
    <row r="460" spans="1:2" ht="18.75">
      <c r="A460" s="57"/>
      <c r="B460" s="59"/>
    </row>
    <row r="461" spans="1:2" ht="18.75">
      <c r="A461" s="57"/>
      <c r="B461" s="57"/>
    </row>
    <row r="462" spans="1:2" ht="18.75">
      <c r="A462" s="57"/>
      <c r="B462" s="57"/>
    </row>
    <row r="463" spans="1:2" ht="18.75">
      <c r="A463" s="57"/>
      <c r="B463" s="57"/>
    </row>
    <row r="464" spans="1:2" ht="18.75">
      <c r="A464" s="57"/>
      <c r="B464" s="57"/>
    </row>
    <row r="465" spans="1:2" ht="18.75">
      <c r="A465" s="57"/>
      <c r="B465" s="57"/>
    </row>
    <row r="466" spans="1:2" ht="18.75">
      <c r="A466" s="57"/>
      <c r="B466" s="57"/>
    </row>
    <row r="467" spans="1:2" ht="18.75">
      <c r="A467" s="57"/>
      <c r="B467" s="57"/>
    </row>
    <row r="468" spans="1:2" ht="18.75">
      <c r="A468" s="57"/>
      <c r="B468" s="57"/>
    </row>
    <row r="469" spans="1:2" ht="18.75">
      <c r="A469" s="57"/>
      <c r="B469" s="57"/>
    </row>
    <row r="470" spans="1:2" ht="18.75">
      <c r="A470" s="57"/>
      <c r="B470" s="57"/>
    </row>
    <row r="471" spans="1:2" ht="18.75">
      <c r="A471" s="57"/>
      <c r="B471" s="57"/>
    </row>
    <row r="472" spans="1:2" ht="18.75">
      <c r="A472" s="57"/>
      <c r="B472" s="57"/>
    </row>
    <row r="473" spans="1:2" ht="18.75">
      <c r="A473" s="57"/>
      <c r="B473" s="57"/>
    </row>
    <row r="474" spans="1:2" ht="18.75">
      <c r="A474" s="57"/>
      <c r="B474" s="57"/>
    </row>
    <row r="475" spans="1:2" ht="18.75">
      <c r="A475" s="57"/>
      <c r="B475" s="57"/>
    </row>
    <row r="476" spans="1:2" ht="18.75">
      <c r="A476" s="57"/>
      <c r="B476" s="57"/>
    </row>
    <row r="477" spans="1:2" ht="18.75">
      <c r="A477" s="57"/>
      <c r="B477" s="57"/>
    </row>
    <row r="478" spans="1:2" ht="18.75">
      <c r="A478" s="57"/>
      <c r="B478" s="57"/>
    </row>
    <row r="479" spans="1:2" ht="18.75">
      <c r="A479" s="57"/>
      <c r="B479" s="57"/>
    </row>
    <row r="480" spans="1:2" ht="18.75">
      <c r="A480" s="57"/>
      <c r="B480" s="57"/>
    </row>
    <row r="481" spans="1:2" ht="18.75">
      <c r="A481" s="57"/>
      <c r="B481" s="57"/>
    </row>
    <row r="482" spans="1:2" ht="18.75">
      <c r="A482" s="57"/>
      <c r="B482" s="57"/>
    </row>
    <row r="483" spans="1:2" ht="18.75">
      <c r="A483" s="57"/>
      <c r="B483" s="57"/>
    </row>
    <row r="484" spans="1:2" ht="18.75">
      <c r="A484" s="57"/>
      <c r="B484" s="57"/>
    </row>
    <row r="485" spans="1:2" ht="18.75">
      <c r="A485" s="57"/>
      <c r="B485" s="57"/>
    </row>
    <row r="486" spans="1:2" ht="18.75">
      <c r="A486" s="57"/>
      <c r="B486" s="57"/>
    </row>
    <row r="487" spans="1:2" ht="18.75">
      <c r="A487" s="57"/>
      <c r="B487" s="57"/>
    </row>
    <row r="488" spans="1:2" ht="18.75">
      <c r="A488" s="57"/>
      <c r="B488" s="57"/>
    </row>
    <row r="489" spans="1:2" ht="18.75">
      <c r="A489" s="57"/>
      <c r="B489" s="57"/>
    </row>
    <row r="490" spans="1:2" ht="18.75">
      <c r="A490" s="57"/>
      <c r="B490" s="57"/>
    </row>
    <row r="491" spans="1:2" ht="18.75">
      <c r="A491" s="57"/>
      <c r="B491" s="57"/>
    </row>
    <row r="492" spans="1:2" ht="18.75">
      <c r="A492" s="57"/>
      <c r="B492" s="57"/>
    </row>
    <row r="493" spans="1:2" ht="18.75">
      <c r="A493" s="57"/>
      <c r="B493" s="57"/>
    </row>
    <row r="494" spans="1:2" ht="18.75">
      <c r="A494" s="57"/>
      <c r="B494" s="57"/>
    </row>
    <row r="495" spans="1:2" ht="18.75">
      <c r="A495" s="57"/>
      <c r="B495" s="57"/>
    </row>
    <row r="496" spans="1:2" ht="18.75">
      <c r="A496" s="57"/>
      <c r="B496" s="57"/>
    </row>
    <row r="497" spans="1:2" ht="18.75">
      <c r="A497" s="57"/>
      <c r="B497" s="57"/>
    </row>
    <row r="498" spans="1:2" ht="18.75">
      <c r="A498" s="57"/>
      <c r="B498" s="57"/>
    </row>
    <row r="499" spans="1:2" ht="18.75">
      <c r="A499" s="57"/>
      <c r="B499" s="57"/>
    </row>
    <row r="500" spans="1:2" ht="18.75">
      <c r="A500" s="57"/>
      <c r="B500" s="57"/>
    </row>
    <row r="501" spans="1:2" ht="18.75">
      <c r="A501" s="57"/>
      <c r="B501" s="57"/>
    </row>
    <row r="502" spans="1:2" ht="18.75">
      <c r="A502" s="57"/>
      <c r="B502" s="57"/>
    </row>
    <row r="503" spans="1:2" ht="18.75">
      <c r="A503" s="57"/>
      <c r="B503" s="57"/>
    </row>
    <row r="504" spans="1:2" ht="18.75">
      <c r="A504" s="57"/>
      <c r="B504" s="59"/>
    </row>
    <row r="505" spans="1:2" ht="18.75">
      <c r="A505" s="57"/>
      <c r="B505" s="59"/>
    </row>
    <row r="506" spans="1:2" ht="18.75">
      <c r="A506" s="57"/>
      <c r="B506" s="57"/>
    </row>
    <row r="507" spans="1:2" ht="18.75">
      <c r="A507" s="57"/>
      <c r="B507" s="57"/>
    </row>
    <row r="508" spans="1:2" ht="18.75">
      <c r="A508" s="57"/>
      <c r="B508" s="59"/>
    </row>
    <row r="509" spans="1:2" ht="18.75">
      <c r="A509" s="57"/>
      <c r="B509" s="59"/>
    </row>
    <row r="510" spans="1:2" ht="18.75">
      <c r="A510" s="57"/>
      <c r="B510" s="59"/>
    </row>
    <row r="511" spans="1:2" ht="18.75">
      <c r="A511" s="57"/>
      <c r="B511" s="59"/>
    </row>
    <row r="512" spans="1:2" ht="18.75">
      <c r="A512" s="57"/>
      <c r="B512" s="59"/>
    </row>
    <row r="513" spans="1:2" ht="18.75">
      <c r="A513" s="57"/>
      <c r="B513" s="57"/>
    </row>
    <row r="514" spans="1:2" ht="18.75">
      <c r="A514" s="57"/>
      <c r="B514" s="59"/>
    </row>
    <row r="515" spans="1:2" ht="18.75">
      <c r="A515" s="57"/>
      <c r="B515" s="59"/>
    </row>
    <row r="516" spans="1:2" ht="18.75">
      <c r="A516" s="57"/>
      <c r="B516" s="59"/>
    </row>
    <row r="517" spans="1:2" ht="18.75">
      <c r="A517" s="57"/>
      <c r="B517" s="59"/>
    </row>
    <row r="518" spans="1:2" ht="18.75">
      <c r="A518" s="57"/>
      <c r="B518" s="59"/>
    </row>
    <row r="519" spans="1:2" ht="18.75">
      <c r="A519" s="57"/>
      <c r="B519" s="59"/>
    </row>
    <row r="520" spans="1:2" ht="18.75">
      <c r="A520" s="57"/>
      <c r="B520" s="59"/>
    </row>
  </sheetData>
  <mergeCells count="2">
    <mergeCell ref="C14:G14"/>
    <mergeCell ref="C15:G27"/>
  </mergeCells>
  <phoneticPr fontId="1" type="noConversion"/>
  <conditionalFormatting sqref="B2:B9">
    <cfRule type="duplicateValues" dxfId="33" priority="4"/>
  </conditionalFormatting>
  <conditionalFormatting sqref="B10:B17">
    <cfRule type="duplicateValues" dxfId="32" priority="3"/>
  </conditionalFormatting>
  <conditionalFormatting sqref="B18:B25">
    <cfRule type="duplicateValues" dxfId="31" priority="2"/>
  </conditionalFormatting>
  <conditionalFormatting sqref="B26:B33">
    <cfRule type="duplicateValues" dxfId="30" priority="1"/>
  </conditionalFormatting>
  <conditionalFormatting sqref="B34:B500">
    <cfRule type="duplicateValues" dxfId="29" priority="5"/>
  </conditionalFormatting>
  <conditionalFormatting sqref="B34:B519">
    <cfRule type="duplicateValues" dxfId="28" priority="14"/>
  </conditionalFormatting>
  <conditionalFormatting sqref="C15:G27">
    <cfRule type="cellIs" dxfId="27" priority="15" operator="equal">
      <formula>"PASS"</formula>
    </cfRule>
    <cfRule type="cellIs" dxfId="26" priority="16" operator="equal">
      <formula>TRUE</formula>
    </cfRule>
    <cfRule type="cellIs" dxfId="25" priority="17" operator="equal">
      <formula>"FAIL"</formula>
    </cfRule>
  </conditionalFormatting>
  <conditionalFormatting sqref="J8:K11">
    <cfRule type="cellIs" dxfId="24" priority="12" operator="equal">
      <formula>FALSE</formula>
    </cfRule>
    <cfRule type="cellIs" dxfId="23" priority="13" operator="equal">
      <formula>TRUE</formula>
    </cfRule>
  </conditionalFormatting>
  <conditionalFormatting sqref="N8:O11">
    <cfRule type="cellIs" dxfId="22" priority="10" operator="equal">
      <formula>FALSE</formula>
    </cfRule>
    <cfRule type="cellIs" dxfId="21" priority="11" operator="equal">
      <formula>TRUE</formula>
    </cfRule>
  </conditionalFormatting>
  <conditionalFormatting sqref="R8:S11">
    <cfRule type="cellIs" dxfId="20" priority="8" operator="equal">
      <formula>FALSE</formula>
    </cfRule>
    <cfRule type="cellIs" dxfId="19" priority="9" operator="equal">
      <formula>TRUE</formula>
    </cfRule>
  </conditionalFormatting>
  <conditionalFormatting sqref="V8:W11">
    <cfRule type="cellIs" dxfId="18" priority="6" operator="equal">
      <formula>FALSE</formula>
    </cfRule>
    <cfRule type="cellIs" dxfId="17" priority="7" operator="equal">
      <formula>TRUE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20"/>
  <sheetViews>
    <sheetView workbookViewId="0">
      <selection activeCell="B2" sqref="B2:B33"/>
    </sheetView>
  </sheetViews>
  <sheetFormatPr defaultRowHeight="15"/>
  <cols>
    <col min="1" max="1" width="33.5703125" style="2" bestFit="1" customWidth="1"/>
    <col min="2" max="2" width="18.7109375" style="2" bestFit="1" customWidth="1"/>
    <col min="3" max="7" width="9.140625" style="2"/>
    <col min="8" max="8" width="26.42578125" style="2" bestFit="1" customWidth="1"/>
    <col min="9" max="9" width="13" style="2" bestFit="1" customWidth="1"/>
    <col min="10" max="10" width="15.28515625" style="2" bestFit="1" customWidth="1"/>
    <col min="11" max="11" width="20.7109375" style="2" bestFit="1" customWidth="1"/>
    <col min="12" max="12" width="27.5703125" style="2" bestFit="1" customWidth="1"/>
    <col min="13" max="13" width="13" style="2" bestFit="1" customWidth="1"/>
    <col min="14" max="14" width="15.28515625" style="2" bestFit="1" customWidth="1"/>
    <col min="15" max="15" width="20.7109375" style="2" bestFit="1" customWidth="1"/>
    <col min="16" max="16" width="26.42578125" style="2" bestFit="1" customWidth="1"/>
    <col min="17" max="17" width="18.85546875" style="2" bestFit="1" customWidth="1"/>
    <col min="18" max="18" width="15.28515625" style="2" bestFit="1" customWidth="1"/>
    <col min="19" max="19" width="20.7109375" style="2" bestFit="1" customWidth="1"/>
    <col min="20" max="20" width="27.5703125" style="2" bestFit="1" customWidth="1"/>
    <col min="21" max="21" width="13" style="2" bestFit="1" customWidth="1"/>
    <col min="22" max="22" width="15.28515625" style="2" bestFit="1" customWidth="1"/>
    <col min="23" max="23" width="20.7109375" style="2" bestFit="1" customWidth="1"/>
    <col min="24" max="16384" width="9.140625" style="2"/>
  </cols>
  <sheetData>
    <row r="1" spans="1:23" ht="15.75" thickBot="1">
      <c r="A1" s="2" t="s">
        <v>1025</v>
      </c>
      <c r="B1" s="2" t="s">
        <v>1026</v>
      </c>
      <c r="C1" s="27" t="s">
        <v>1027</v>
      </c>
      <c r="D1" s="28"/>
      <c r="E1" s="29"/>
      <c r="F1" s="29"/>
      <c r="G1" s="30"/>
      <c r="H1" s="2" t="s">
        <v>1028</v>
      </c>
      <c r="J1" s="31" t="s">
        <v>1029</v>
      </c>
      <c r="K1" s="31" t="s">
        <v>1030</v>
      </c>
      <c r="N1" s="31" t="s">
        <v>1029</v>
      </c>
      <c r="O1" s="31" t="s">
        <v>1030</v>
      </c>
      <c r="R1" s="31" t="s">
        <v>1029</v>
      </c>
      <c r="S1" s="31" t="s">
        <v>1030</v>
      </c>
      <c r="V1" s="32" t="s">
        <v>1029</v>
      </c>
      <c r="W1" s="31" t="s">
        <v>1030</v>
      </c>
    </row>
    <row r="2" spans="1:23">
      <c r="A2" s="2" t="s">
        <v>7</v>
      </c>
      <c r="B2" t="s">
        <v>8</v>
      </c>
      <c r="C2" s="6" t="s">
        <v>1031</v>
      </c>
      <c r="D2" s="35"/>
      <c r="G2" s="36"/>
      <c r="H2" s="2" t="s">
        <v>1048</v>
      </c>
      <c r="I2" s="37" t="s">
        <v>1033</v>
      </c>
      <c r="J2" s="38"/>
      <c r="K2" s="38"/>
      <c r="L2" s="39" t="s">
        <v>1034</v>
      </c>
      <c r="M2" s="37" t="s">
        <v>1035</v>
      </c>
      <c r="N2" s="38"/>
      <c r="O2" s="38"/>
      <c r="P2" s="39" t="s">
        <v>1036</v>
      </c>
      <c r="Q2" s="37" t="s">
        <v>1037</v>
      </c>
      <c r="R2" s="38"/>
      <c r="S2" s="38"/>
      <c r="T2" s="39" t="s">
        <v>1038</v>
      </c>
      <c r="U2" s="37" t="s">
        <v>1039</v>
      </c>
      <c r="V2" s="38"/>
      <c r="W2" s="40"/>
    </row>
    <row r="3" spans="1:23">
      <c r="A3" s="2" t="s">
        <v>9</v>
      </c>
      <c r="B3" t="s">
        <v>10</v>
      </c>
      <c r="C3" s="7" t="s">
        <v>1040</v>
      </c>
      <c r="D3" s="35"/>
      <c r="G3" s="36"/>
      <c r="H3" s="2" t="s">
        <v>3</v>
      </c>
      <c r="I3" s="37" t="str">
        <f>VLOOKUP(H3,A:B,2,0)</f>
        <v>SLOT0.CH122</v>
      </c>
      <c r="J3" s="41" t="str">
        <f>LEFT(I3,5)</f>
        <v>SLOT0</v>
      </c>
      <c r="K3" s="41" t="str">
        <f>MID(I3,9,10)</f>
        <v>122</v>
      </c>
      <c r="L3" s="2" t="s">
        <v>243</v>
      </c>
      <c r="M3" s="37" t="str">
        <f>VLOOKUP(L3,A:B,2,0)</f>
        <v>SLOT0.CH43</v>
      </c>
      <c r="N3" s="41" t="str">
        <f>LEFT(M3,5)</f>
        <v>SLOT0</v>
      </c>
      <c r="O3" s="41" t="str">
        <f>MID(M3,9,10)</f>
        <v>43</v>
      </c>
      <c r="P3" s="2" t="s">
        <v>483</v>
      </c>
      <c r="Q3" s="37" t="str">
        <f>VLOOKUP(P3,A:B,2,0)</f>
        <v>SLOT1.CH89</v>
      </c>
      <c r="R3" s="41" t="str">
        <f>LEFT(Q3,5)</f>
        <v>SLOT1</v>
      </c>
      <c r="S3" s="41" t="str">
        <f>MID(Q3,9,10)</f>
        <v>89</v>
      </c>
      <c r="T3" s="2" t="s">
        <v>723</v>
      </c>
      <c r="U3" s="37" t="str">
        <f>VLOOKUP(T3,A:B,2,0)</f>
        <v>SLOT1.CH1</v>
      </c>
      <c r="V3" s="41" t="str">
        <f>LEFT(U3,5)</f>
        <v>SLOT1</v>
      </c>
      <c r="W3" s="42" t="str">
        <f>MID(U3,9,10)</f>
        <v>1</v>
      </c>
    </row>
    <row r="4" spans="1:23">
      <c r="A4" s="2" t="s">
        <v>185</v>
      </c>
      <c r="B4" t="s">
        <v>186</v>
      </c>
      <c r="C4" s="7" t="s">
        <v>1041</v>
      </c>
      <c r="D4" s="35"/>
      <c r="G4" s="36"/>
      <c r="H4" s="2" t="s">
        <v>5</v>
      </c>
      <c r="I4" s="37" t="str">
        <f t="shared" ref="I4:I6" si="0">VLOOKUP(H4,A:B,2,0)</f>
        <v>SLOT0.CH113</v>
      </c>
      <c r="J4" s="41" t="str">
        <f t="shared" ref="J4:J6" si="1">LEFT(I4,5)</f>
        <v>SLOT0</v>
      </c>
      <c r="K4" s="41" t="str">
        <f t="shared" ref="K4:K6" si="2">MID(I4,9,10)</f>
        <v>113</v>
      </c>
      <c r="L4" s="2" t="s">
        <v>245</v>
      </c>
      <c r="M4" s="37" t="str">
        <f t="shared" ref="M4:M6" si="3">VLOOKUP(L4,A:B,2,0)</f>
        <v>SLOT0.CH45</v>
      </c>
      <c r="N4" s="41" t="str">
        <f t="shared" ref="N4:N6" si="4">LEFT(M4,5)</f>
        <v>SLOT0</v>
      </c>
      <c r="O4" s="41" t="str">
        <f t="shared" ref="O4:O6" si="5">MID(M4,9,10)</f>
        <v>45</v>
      </c>
      <c r="P4" s="2" t="s">
        <v>485</v>
      </c>
      <c r="Q4" s="37" t="str">
        <f t="shared" ref="Q4:Q6" si="6">VLOOKUP(P4,A:B,2,0)</f>
        <v>SLOT1.CH87</v>
      </c>
      <c r="R4" s="41" t="str">
        <f t="shared" ref="R4:R6" si="7">LEFT(Q4,5)</f>
        <v>SLOT1</v>
      </c>
      <c r="S4" s="41" t="str">
        <f t="shared" ref="S4:S6" si="8">MID(Q4,9,10)</f>
        <v>87</v>
      </c>
      <c r="T4" s="2" t="s">
        <v>725</v>
      </c>
      <c r="U4" s="37" t="str">
        <f t="shared" ref="U4:U6" si="9">VLOOKUP(T4,A:B,2,0)</f>
        <v>SLOT1.CH16</v>
      </c>
      <c r="V4" s="41" t="str">
        <f t="shared" ref="V4:V6" si="10">LEFT(U4,5)</f>
        <v>SLOT1</v>
      </c>
      <c r="W4" s="42" t="str">
        <f t="shared" ref="W4:W6" si="11">MID(U4,9,10)</f>
        <v>16</v>
      </c>
    </row>
    <row r="5" spans="1:23">
      <c r="A5" s="2" t="s">
        <v>183</v>
      </c>
      <c r="B5" t="s">
        <v>184</v>
      </c>
      <c r="C5" s="7" t="s">
        <v>1042</v>
      </c>
      <c r="D5" s="35"/>
      <c r="G5" s="36"/>
      <c r="H5" s="2" t="s">
        <v>13</v>
      </c>
      <c r="I5" s="37" t="str">
        <f t="shared" si="0"/>
        <v>SLOT0.CH117</v>
      </c>
      <c r="J5" s="41" t="str">
        <f t="shared" si="1"/>
        <v>SLOT0</v>
      </c>
      <c r="K5" s="41" t="str">
        <f t="shared" si="2"/>
        <v>117</v>
      </c>
      <c r="L5" s="2" t="s">
        <v>253</v>
      </c>
      <c r="M5" s="37" t="str">
        <f t="shared" si="3"/>
        <v>SLOT0.CH49</v>
      </c>
      <c r="N5" s="41" t="str">
        <f t="shared" si="4"/>
        <v>SLOT0</v>
      </c>
      <c r="O5" s="41" t="str">
        <f t="shared" si="5"/>
        <v>49</v>
      </c>
      <c r="P5" s="2" t="s">
        <v>493</v>
      </c>
      <c r="Q5" s="37" t="str">
        <f t="shared" si="6"/>
        <v>SLOT1.CH82</v>
      </c>
      <c r="R5" s="41" t="str">
        <f t="shared" si="7"/>
        <v>SLOT1</v>
      </c>
      <c r="S5" s="41" t="str">
        <f t="shared" si="8"/>
        <v>82</v>
      </c>
      <c r="T5" s="2" t="s">
        <v>733</v>
      </c>
      <c r="U5" s="37" t="str">
        <f t="shared" si="9"/>
        <v>SLOT1.CH7</v>
      </c>
      <c r="V5" s="41" t="str">
        <f t="shared" si="10"/>
        <v>SLOT1</v>
      </c>
      <c r="W5" s="42" t="str">
        <f t="shared" si="11"/>
        <v>7</v>
      </c>
    </row>
    <row r="6" spans="1:23">
      <c r="A6" s="2" t="s">
        <v>3</v>
      </c>
      <c r="B6" s="62" t="s">
        <v>130</v>
      </c>
      <c r="C6" s="7"/>
      <c r="D6" s="35"/>
      <c r="G6" s="36"/>
      <c r="H6" s="2" t="s">
        <v>11</v>
      </c>
      <c r="I6" s="37" t="str">
        <f t="shared" si="0"/>
        <v>SLOT0.CH114</v>
      </c>
      <c r="J6" s="41" t="str">
        <f t="shared" si="1"/>
        <v>SLOT0</v>
      </c>
      <c r="K6" s="41" t="str">
        <f t="shared" si="2"/>
        <v>114</v>
      </c>
      <c r="L6" s="2" t="s">
        <v>251</v>
      </c>
      <c r="M6" s="37" t="str">
        <f t="shared" si="3"/>
        <v>SLOT0.CH47</v>
      </c>
      <c r="N6" s="41" t="str">
        <f t="shared" si="4"/>
        <v>SLOT0</v>
      </c>
      <c r="O6" s="41" t="str">
        <f t="shared" si="5"/>
        <v>47</v>
      </c>
      <c r="P6" s="2" t="s">
        <v>491</v>
      </c>
      <c r="Q6" s="37" t="str">
        <f t="shared" si="6"/>
        <v>SLOT1.CH85</v>
      </c>
      <c r="R6" s="41" t="str">
        <f t="shared" si="7"/>
        <v>SLOT1</v>
      </c>
      <c r="S6" s="41" t="str">
        <f t="shared" si="8"/>
        <v>85</v>
      </c>
      <c r="T6" s="2" t="s">
        <v>731</v>
      </c>
      <c r="U6" s="37" t="str">
        <f t="shared" si="9"/>
        <v>SLOT1.CH13</v>
      </c>
      <c r="V6" s="41" t="str">
        <f t="shared" si="10"/>
        <v>SLOT1</v>
      </c>
      <c r="W6" s="42" t="str">
        <f t="shared" si="11"/>
        <v>13</v>
      </c>
    </row>
    <row r="7" spans="1:23">
      <c r="A7" s="2" t="s">
        <v>5</v>
      </c>
      <c r="B7" s="62" t="s">
        <v>38</v>
      </c>
      <c r="C7" s="7" t="s">
        <v>1043</v>
      </c>
      <c r="D7" s="35"/>
      <c r="G7" s="36"/>
      <c r="I7" s="43"/>
      <c r="J7" s="44"/>
      <c r="K7" s="44"/>
      <c r="L7" s="45"/>
      <c r="M7" s="43"/>
      <c r="N7" s="44"/>
      <c r="O7" s="44"/>
      <c r="P7" s="45"/>
      <c r="Q7" s="43"/>
      <c r="R7" s="44"/>
      <c r="S7" s="44"/>
      <c r="T7" s="45"/>
      <c r="U7" s="43"/>
      <c r="V7" s="38"/>
      <c r="W7" s="40"/>
    </row>
    <row r="8" spans="1:23">
      <c r="A8" s="2" t="s">
        <v>13</v>
      </c>
      <c r="B8" s="62" t="s">
        <v>112</v>
      </c>
      <c r="C8" s="7" t="s">
        <v>1044</v>
      </c>
      <c r="D8" s="35"/>
      <c r="G8" s="36"/>
      <c r="H8" s="46" t="str">
        <f>"RULE: "&amp; MID(C7,24,99)</f>
        <v>RULE: SLOT0 CH64~CH127</v>
      </c>
      <c r="I8" s="34"/>
      <c r="J8" s="47" t="b">
        <f>J3=MID($H$8,7,5)</f>
        <v>1</v>
      </c>
      <c r="K8" s="47" t="b">
        <f>IF(AND(VALUE(K3)&gt;=64,VALUE(K3)&lt;=127),TRUE,FALSE)</f>
        <v>1</v>
      </c>
      <c r="L8" s="46" t="str">
        <f>"RULE: "&amp; MID(C8,24,99)</f>
        <v>RULE: SLOT0 CH0~CH63</v>
      </c>
      <c r="M8" s="34"/>
      <c r="N8" s="47" t="b">
        <f>J3=MID($L$8,7,5)</f>
        <v>1</v>
      </c>
      <c r="O8" s="47" t="b">
        <f>IF(AND(VALUE(O3)&gt;=0,VALUE(O3)&lt;=63),TRUE,FALSE)</f>
        <v>1</v>
      </c>
      <c r="P8" s="46" t="str">
        <f>"RULE: "&amp; MID(C9,24,99)</f>
        <v>RULE: SLOT1 CH64~CH127</v>
      </c>
      <c r="Q8" s="34"/>
      <c r="R8" s="47" t="b">
        <f>R3=MID($P$8,7,5)</f>
        <v>1</v>
      </c>
      <c r="S8" s="47" t="b">
        <f>IF(AND(VALUE(S3)&gt;=64,VALUE(S3)&lt;=127),TRUE,FALSE)</f>
        <v>1</v>
      </c>
      <c r="T8" s="46" t="str">
        <f>"RULE: "&amp; MID(C10,24,99)</f>
        <v>RULE: SLOT1 CH0~CH163</v>
      </c>
      <c r="U8" s="34"/>
      <c r="V8" s="47" t="b">
        <f>V3=MID($T$8,7,5)</f>
        <v>1</v>
      </c>
      <c r="W8" s="47" t="b">
        <f>IF(AND(VALUE(W3)&gt;=0,VALUE(W3)&lt;=63),TRUE,FALSE)</f>
        <v>1</v>
      </c>
    </row>
    <row r="9" spans="1:23">
      <c r="A9" s="2" t="s">
        <v>11</v>
      </c>
      <c r="B9" s="62" t="s">
        <v>114</v>
      </c>
      <c r="C9" s="60" t="s">
        <v>1049</v>
      </c>
      <c r="D9" s="35"/>
      <c r="G9" s="36"/>
      <c r="H9" s="46"/>
      <c r="I9" s="34"/>
      <c r="J9" s="47" t="b">
        <f t="shared" ref="J9:J11" si="12">J4=MID($H$8,7,5)</f>
        <v>1</v>
      </c>
      <c r="K9" s="47" t="b">
        <f t="shared" ref="K9:K11" si="13">IF(AND(VALUE(K4)&gt;=64,VALUE(K4)&lt;=127),TRUE,FALSE)</f>
        <v>1</v>
      </c>
      <c r="L9" s="46"/>
      <c r="M9" s="34"/>
      <c r="N9" s="47" t="b">
        <f t="shared" ref="N9:N11" si="14">J4=MID($L$8,7,5)</f>
        <v>1</v>
      </c>
      <c r="O9" s="47" t="b">
        <f t="shared" ref="O9:O11" si="15">IF(AND(VALUE(O4)&gt;=0,VALUE(O4)&lt;=63),TRUE,FALSE)</f>
        <v>1</v>
      </c>
      <c r="P9" s="46"/>
      <c r="Q9" s="34"/>
      <c r="R9" s="47" t="b">
        <f t="shared" ref="R9:R11" si="16">R4=MID($P$8,7,5)</f>
        <v>1</v>
      </c>
      <c r="S9" s="47" t="b">
        <f t="shared" ref="S9:S11" si="17">IF(AND(VALUE(S4)&gt;=64,VALUE(S4)&lt;=127),TRUE,FALSE)</f>
        <v>1</v>
      </c>
      <c r="T9" s="46"/>
      <c r="U9" s="34"/>
      <c r="V9" s="47" t="b">
        <f t="shared" ref="V9:V11" si="18">V4=MID($T$8,7,5)</f>
        <v>1</v>
      </c>
      <c r="W9" s="47" t="b">
        <f t="shared" ref="W9:W11" si="19">IF(AND(VALUE(W4)&gt;=0,VALUE(W4)&lt;=63),TRUE,FALSE)</f>
        <v>1</v>
      </c>
    </row>
    <row r="10" spans="1:23" ht="15.75" thickBot="1">
      <c r="A10" s="2" t="str">
        <f>REPLACE(A2,2,1,1)</f>
        <v>S1_DS_HSD085</v>
      </c>
      <c r="B10" s="63" t="s">
        <v>134</v>
      </c>
      <c r="C10" s="61" t="s">
        <v>1050</v>
      </c>
      <c r="D10" s="48"/>
      <c r="E10" s="49"/>
      <c r="F10" s="49"/>
      <c r="G10" s="50"/>
      <c r="H10" s="46"/>
      <c r="I10" s="34"/>
      <c r="J10" s="47" t="b">
        <f t="shared" si="12"/>
        <v>1</v>
      </c>
      <c r="K10" s="47" t="b">
        <f t="shared" si="13"/>
        <v>1</v>
      </c>
      <c r="L10" s="46"/>
      <c r="M10" s="34"/>
      <c r="N10" s="47" t="b">
        <f t="shared" si="14"/>
        <v>1</v>
      </c>
      <c r="O10" s="47" t="b">
        <f t="shared" si="15"/>
        <v>1</v>
      </c>
      <c r="P10" s="46"/>
      <c r="Q10" s="34"/>
      <c r="R10" s="47" t="b">
        <f t="shared" si="16"/>
        <v>1</v>
      </c>
      <c r="S10" s="47" t="b">
        <f t="shared" si="17"/>
        <v>1</v>
      </c>
      <c r="T10" s="46"/>
      <c r="U10" s="34"/>
      <c r="V10" s="47" t="b">
        <f t="shared" si="18"/>
        <v>1</v>
      </c>
      <c r="W10" s="47" t="b">
        <f t="shared" si="19"/>
        <v>1</v>
      </c>
    </row>
    <row r="11" spans="1:23" ht="15.75" thickBot="1">
      <c r="A11" s="2" t="str">
        <f t="shared" ref="A11:A17" si="20">REPLACE(A3,2,1,1)</f>
        <v>S1_DS_HSD089</v>
      </c>
      <c r="B11" s="62" t="s">
        <v>118</v>
      </c>
      <c r="C11" s="51"/>
      <c r="H11" s="33"/>
      <c r="I11" s="34"/>
      <c r="J11" s="52" t="b">
        <f t="shared" si="12"/>
        <v>1</v>
      </c>
      <c r="K11" s="47" t="b">
        <f t="shared" si="13"/>
        <v>1</v>
      </c>
      <c r="L11" s="46"/>
      <c r="M11" s="34"/>
      <c r="N11" s="52" t="b">
        <f t="shared" si="14"/>
        <v>1</v>
      </c>
      <c r="O11" s="47" t="b">
        <f t="shared" si="15"/>
        <v>1</v>
      </c>
      <c r="P11" s="46"/>
      <c r="Q11" s="34"/>
      <c r="R11" s="52" t="b">
        <f t="shared" si="16"/>
        <v>1</v>
      </c>
      <c r="S11" s="47" t="b">
        <f t="shared" si="17"/>
        <v>1</v>
      </c>
      <c r="T11" s="46"/>
      <c r="U11" s="34"/>
      <c r="V11" s="52" t="b">
        <f t="shared" si="18"/>
        <v>1</v>
      </c>
      <c r="W11" s="47" t="b">
        <f t="shared" si="19"/>
        <v>1</v>
      </c>
    </row>
    <row r="12" spans="1:23">
      <c r="A12" s="2" t="str">
        <f t="shared" si="20"/>
        <v>S1_SCLK_DS_HSD064</v>
      </c>
      <c r="B12" s="62" t="s">
        <v>136</v>
      </c>
      <c r="C12" s="35"/>
      <c r="H12" s="33"/>
      <c r="I12" s="33"/>
      <c r="J12" s="53"/>
      <c r="K12" s="53"/>
      <c r="L12" s="33"/>
      <c r="M12" s="33"/>
      <c r="N12" s="53"/>
      <c r="O12" s="53"/>
      <c r="P12" s="33"/>
      <c r="Q12" s="33"/>
      <c r="R12" s="53"/>
      <c r="S12" s="53"/>
      <c r="T12" s="33"/>
      <c r="U12" s="33"/>
      <c r="V12" s="53"/>
      <c r="W12" s="53"/>
    </row>
    <row r="13" spans="1:23" ht="15.75" thickBot="1">
      <c r="A13" s="2" t="str">
        <f t="shared" si="20"/>
        <v>S1_SCLK_DS_HSD063</v>
      </c>
      <c r="B13" s="62" t="s">
        <v>116</v>
      </c>
      <c r="H13" s="33"/>
      <c r="I13" s="33"/>
      <c r="J13" s="33"/>
      <c r="K13" s="33"/>
      <c r="L13" s="54"/>
      <c r="M13" s="54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3" ht="15.75" thickBot="1">
      <c r="A14" s="2" t="str">
        <f t="shared" si="20"/>
        <v>S1_DS_GP_HSD303</v>
      </c>
      <c r="B14" s="63" t="s">
        <v>110</v>
      </c>
      <c r="C14" s="69" t="s">
        <v>1045</v>
      </c>
      <c r="D14" s="69"/>
      <c r="E14" s="69"/>
      <c r="F14" s="69"/>
      <c r="G14" s="70"/>
      <c r="H14" s="33"/>
      <c r="I14" s="33"/>
      <c r="J14" s="33" t="s">
        <v>1046</v>
      </c>
      <c r="L14" s="55" t="s">
        <v>1047</v>
      </c>
      <c r="M14" s="56" t="b">
        <f>COUNTIF(J15:J46,"TRUE")=COUNTA(J15:J46)</f>
        <v>1</v>
      </c>
      <c r="N14" s="46"/>
      <c r="O14" s="33"/>
      <c r="P14" s="33"/>
      <c r="Q14" s="33"/>
      <c r="R14" s="33"/>
      <c r="S14" s="33"/>
      <c r="T14" s="33"/>
      <c r="U14" s="33"/>
      <c r="V14" s="33"/>
      <c r="W14" s="33"/>
    </row>
    <row r="15" spans="1:23">
      <c r="A15" s="2" t="str">
        <f t="shared" si="20"/>
        <v>S1_DS_GP_HSD304</v>
      </c>
      <c r="B15" s="62" t="s">
        <v>132</v>
      </c>
      <c r="C15" s="71" t="str">
        <f>IF(M14=TRUE,"PASS","FAIL")</f>
        <v>PASS</v>
      </c>
      <c r="D15" s="71"/>
      <c r="E15" s="71"/>
      <c r="F15" s="71"/>
      <c r="G15" s="72"/>
      <c r="H15" s="33"/>
      <c r="I15" s="33"/>
      <c r="J15" s="33" t="b">
        <f>J8</f>
        <v>1</v>
      </c>
      <c r="K15" s="33"/>
      <c r="L15" s="53"/>
      <c r="M15" s="5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spans="1:23">
      <c r="A16" s="2" t="str">
        <f t="shared" si="20"/>
        <v>S1_DS_HSD999</v>
      </c>
      <c r="B16" s="63" t="s">
        <v>12</v>
      </c>
      <c r="C16" s="71"/>
      <c r="D16" s="71"/>
      <c r="E16" s="71"/>
      <c r="F16" s="71"/>
      <c r="G16" s="72"/>
      <c r="H16" s="33"/>
      <c r="I16" s="33"/>
      <c r="J16" s="33" t="b">
        <f t="shared" ref="J16:J18" si="21">J9</f>
        <v>1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spans="1:23">
      <c r="A17" s="2" t="str">
        <f t="shared" si="20"/>
        <v>S1_DS_HSD998</v>
      </c>
      <c r="B17" s="62" t="s">
        <v>6</v>
      </c>
      <c r="C17" s="71"/>
      <c r="D17" s="71"/>
      <c r="E17" s="71"/>
      <c r="F17" s="71"/>
      <c r="G17" s="72"/>
      <c r="H17" s="33"/>
      <c r="I17" s="33"/>
      <c r="J17" s="33" t="b">
        <f t="shared" si="21"/>
        <v>1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</row>
    <row r="18" spans="1:23">
      <c r="A18" s="2" t="str">
        <f>REPLACE(A10,2,1,2)</f>
        <v>S2_DS_HSD085</v>
      </c>
      <c r="B18" s="62" t="s">
        <v>838</v>
      </c>
      <c r="C18" s="71"/>
      <c r="D18" s="71"/>
      <c r="E18" s="71"/>
      <c r="F18" s="71"/>
      <c r="G18" s="72"/>
      <c r="H18" s="33"/>
      <c r="I18" s="33"/>
      <c r="J18" s="33" t="b">
        <f t="shared" si="21"/>
        <v>1</v>
      </c>
      <c r="K18" s="33"/>
      <c r="Q18" s="33"/>
      <c r="R18" s="33"/>
      <c r="S18" s="33"/>
      <c r="T18" s="33"/>
      <c r="U18" s="33"/>
      <c r="V18" s="33"/>
      <c r="W18" s="33"/>
    </row>
    <row r="19" spans="1:23">
      <c r="A19" s="2" t="str">
        <f t="shared" ref="A19:A25" si="22">REPLACE(A11,2,1,2)</f>
        <v>S2_DS_HSD089</v>
      </c>
      <c r="B19" s="62" t="s">
        <v>764</v>
      </c>
      <c r="C19" s="71"/>
      <c r="D19" s="71"/>
      <c r="E19" s="71"/>
      <c r="F19" s="71"/>
      <c r="G19" s="72"/>
      <c r="H19" s="33"/>
      <c r="I19" s="33"/>
      <c r="J19" s="33" t="b">
        <f>K8</f>
        <v>1</v>
      </c>
      <c r="K19" s="33"/>
      <c r="Q19" s="33"/>
      <c r="R19" s="33"/>
      <c r="S19" s="33"/>
      <c r="T19" s="33"/>
      <c r="U19" s="33"/>
      <c r="V19" s="33"/>
      <c r="W19" s="33"/>
    </row>
    <row r="20" spans="1:23">
      <c r="A20" s="2" t="str">
        <f t="shared" si="22"/>
        <v>S2_SCLK_DS_HSD064</v>
      </c>
      <c r="B20" s="62" t="s">
        <v>854</v>
      </c>
      <c r="C20" s="71"/>
      <c r="D20" s="71"/>
      <c r="E20" s="71"/>
      <c r="F20" s="71"/>
      <c r="G20" s="72"/>
      <c r="H20" s="33"/>
      <c r="I20" s="33"/>
      <c r="J20" s="33" t="b">
        <f t="shared" ref="J20:J22" si="23">K9</f>
        <v>1</v>
      </c>
      <c r="K20" s="33"/>
      <c r="Q20" s="33"/>
      <c r="R20" s="33"/>
      <c r="S20" s="33"/>
      <c r="T20" s="33"/>
      <c r="U20" s="33"/>
      <c r="V20" s="33"/>
      <c r="W20" s="33"/>
    </row>
    <row r="21" spans="1:23">
      <c r="A21" s="2" t="str">
        <f t="shared" si="22"/>
        <v>S2_SCLK_DS_HSD063</v>
      </c>
      <c r="B21" s="63" t="s">
        <v>856</v>
      </c>
      <c r="C21" s="71"/>
      <c r="D21" s="71"/>
      <c r="E21" s="71"/>
      <c r="F21" s="71"/>
      <c r="G21" s="72"/>
      <c r="H21" s="33"/>
      <c r="I21" s="33"/>
      <c r="J21" s="33" t="b">
        <f t="shared" si="23"/>
        <v>1</v>
      </c>
      <c r="K21" s="33"/>
      <c r="Q21" s="33"/>
      <c r="R21" s="33"/>
      <c r="S21" s="33"/>
      <c r="T21" s="33"/>
      <c r="U21" s="33"/>
      <c r="V21" s="33"/>
      <c r="W21" s="33"/>
    </row>
    <row r="22" spans="1:23">
      <c r="A22" s="2" t="str">
        <f t="shared" si="22"/>
        <v>S2_DS_GP_HSD303</v>
      </c>
      <c r="B22" s="62" t="s">
        <v>756</v>
      </c>
      <c r="C22" s="71"/>
      <c r="D22" s="71"/>
      <c r="E22" s="71"/>
      <c r="F22" s="71"/>
      <c r="G22" s="72"/>
      <c r="H22" s="33"/>
      <c r="I22" s="33"/>
      <c r="J22" s="33" t="b">
        <f t="shared" si="23"/>
        <v>1</v>
      </c>
      <c r="K22" s="33"/>
      <c r="L22" s="33"/>
      <c r="M22" s="33"/>
      <c r="O22" s="33"/>
      <c r="P22" s="33"/>
      <c r="Q22" s="33"/>
      <c r="R22" s="33"/>
      <c r="S22" s="33"/>
      <c r="T22" s="33"/>
      <c r="U22" s="33"/>
      <c r="V22" s="33"/>
      <c r="W22" s="33"/>
    </row>
    <row r="23" spans="1:23">
      <c r="A23" s="2" t="str">
        <f t="shared" si="22"/>
        <v>S2_DS_GP_HSD304</v>
      </c>
      <c r="B23" s="62" t="s">
        <v>758</v>
      </c>
      <c r="C23" s="71"/>
      <c r="D23" s="71"/>
      <c r="E23" s="71"/>
      <c r="F23" s="71"/>
      <c r="G23" s="72"/>
      <c r="H23" s="33"/>
      <c r="I23" s="33"/>
      <c r="J23" s="33" t="b">
        <f>N8</f>
        <v>1</v>
      </c>
      <c r="K23" s="33"/>
      <c r="L23" s="33"/>
      <c r="M23" s="33"/>
      <c r="O23" s="33"/>
      <c r="P23" s="33"/>
      <c r="Q23" s="33"/>
      <c r="R23" s="33"/>
      <c r="S23" s="33"/>
      <c r="T23" s="33"/>
      <c r="U23" s="33"/>
      <c r="V23" s="33"/>
      <c r="W23" s="33"/>
    </row>
    <row r="24" spans="1:23">
      <c r="A24" s="2" t="str">
        <f t="shared" si="22"/>
        <v>S2_DS_HSD999</v>
      </c>
      <c r="B24" s="63" t="s">
        <v>844</v>
      </c>
      <c r="C24" s="71"/>
      <c r="D24" s="71"/>
      <c r="E24" s="71"/>
      <c r="F24" s="71"/>
      <c r="G24" s="72"/>
      <c r="H24" s="33"/>
      <c r="I24" s="33"/>
      <c r="J24" s="33" t="b">
        <f t="shared" ref="J24:J26" si="24">N9</f>
        <v>1</v>
      </c>
      <c r="K24" s="33"/>
      <c r="L24" s="33"/>
      <c r="M24" s="33"/>
      <c r="O24" s="33"/>
      <c r="P24" s="33"/>
      <c r="Q24" s="33"/>
      <c r="R24" s="33"/>
      <c r="S24" s="33"/>
      <c r="T24" s="33"/>
      <c r="U24" s="33"/>
      <c r="V24" s="33"/>
      <c r="W24" s="33"/>
    </row>
    <row r="25" spans="1:23">
      <c r="A25" s="2" t="str">
        <f t="shared" si="22"/>
        <v>S2_DS_HSD998</v>
      </c>
      <c r="B25" s="63" t="s">
        <v>830</v>
      </c>
      <c r="C25" s="71"/>
      <c r="D25" s="71"/>
      <c r="E25" s="71"/>
      <c r="F25" s="71"/>
      <c r="G25" s="72"/>
      <c r="H25" s="33"/>
      <c r="I25" s="33"/>
      <c r="J25" s="33" t="b">
        <f t="shared" si="24"/>
        <v>1</v>
      </c>
      <c r="K25" s="33"/>
      <c r="L25" s="33"/>
      <c r="M25" s="33"/>
      <c r="O25" s="33"/>
      <c r="P25" s="33"/>
      <c r="Q25" s="33"/>
      <c r="R25" s="33"/>
      <c r="S25" s="33"/>
      <c r="T25" s="33"/>
      <c r="U25" s="33"/>
      <c r="V25" s="33"/>
      <c r="W25" s="33"/>
    </row>
    <row r="26" spans="1:23">
      <c r="A26" s="2" t="str">
        <f>REPLACE(A18,2,1,3)</f>
        <v>S3_DS_HSD085</v>
      </c>
      <c r="B26" s="63" t="s">
        <v>848</v>
      </c>
      <c r="C26" s="71"/>
      <c r="D26" s="71"/>
      <c r="E26" s="71"/>
      <c r="F26" s="71"/>
      <c r="G26" s="72"/>
      <c r="H26" s="33"/>
      <c r="I26" s="33"/>
      <c r="J26" s="33" t="b">
        <f t="shared" si="24"/>
        <v>1</v>
      </c>
      <c r="K26" s="33"/>
      <c r="L26" s="33"/>
      <c r="M26" s="33"/>
      <c r="O26" s="33"/>
      <c r="P26" s="33"/>
      <c r="Q26" s="33"/>
      <c r="R26" s="33"/>
      <c r="S26" s="33"/>
      <c r="T26" s="33"/>
      <c r="U26" s="33"/>
      <c r="V26" s="33"/>
      <c r="W26" s="33"/>
    </row>
    <row r="27" spans="1:23">
      <c r="A27" s="2" t="str">
        <f t="shared" ref="A27:A33" si="25">REPLACE(A19,2,1,3)</f>
        <v>S3_DS_HSD089</v>
      </c>
      <c r="B27" s="62" t="s">
        <v>760</v>
      </c>
      <c r="C27" s="71"/>
      <c r="D27" s="71"/>
      <c r="E27" s="71"/>
      <c r="F27" s="71"/>
      <c r="G27" s="72"/>
      <c r="H27" s="33"/>
      <c r="I27" s="33"/>
      <c r="J27" s="33" t="b">
        <f>O8</f>
        <v>1</v>
      </c>
      <c r="K27" s="33"/>
      <c r="L27" s="33"/>
      <c r="M27" s="33"/>
      <c r="O27" s="33"/>
      <c r="P27" s="33"/>
      <c r="Q27" s="33"/>
      <c r="R27" s="33"/>
      <c r="S27" s="33"/>
      <c r="T27" s="33"/>
      <c r="U27" s="33"/>
      <c r="V27" s="33"/>
      <c r="W27" s="33"/>
    </row>
    <row r="28" spans="1:23">
      <c r="A28" s="2" t="str">
        <f t="shared" si="25"/>
        <v>S3_SCLK_DS_HSD064</v>
      </c>
      <c r="B28" s="62" t="s">
        <v>846</v>
      </c>
      <c r="H28" s="33"/>
      <c r="I28" s="33"/>
      <c r="J28" s="33" t="b">
        <f t="shared" ref="J28:J30" si="26">O9</f>
        <v>1</v>
      </c>
      <c r="K28" s="33"/>
      <c r="L28" s="33"/>
      <c r="M28" s="33"/>
      <c r="O28" s="33"/>
      <c r="P28" s="33"/>
      <c r="Q28" s="33"/>
      <c r="R28" s="33"/>
      <c r="S28" s="33"/>
      <c r="T28" s="33"/>
      <c r="U28" s="33"/>
      <c r="V28" s="33"/>
      <c r="W28" s="33"/>
    </row>
    <row r="29" spans="1:23">
      <c r="A29" s="2" t="str">
        <f t="shared" si="25"/>
        <v>S3_SCLK_DS_HSD063</v>
      </c>
      <c r="B29" s="62" t="s">
        <v>752</v>
      </c>
      <c r="J29" s="33" t="b">
        <f t="shared" si="26"/>
        <v>1</v>
      </c>
    </row>
    <row r="30" spans="1:23">
      <c r="A30" s="2" t="str">
        <f t="shared" si="25"/>
        <v>S3_DS_GP_HSD303</v>
      </c>
      <c r="B30" t="s">
        <v>724</v>
      </c>
      <c r="J30" s="33" t="b">
        <f t="shared" si="26"/>
        <v>1</v>
      </c>
    </row>
    <row r="31" spans="1:23">
      <c r="A31" s="2" t="str">
        <f t="shared" si="25"/>
        <v>S3_DS_GP_HSD304</v>
      </c>
      <c r="B31" t="s">
        <v>726</v>
      </c>
      <c r="J31" s="58" t="b">
        <f>R8</f>
        <v>1</v>
      </c>
    </row>
    <row r="32" spans="1:23">
      <c r="A32" s="2" t="str">
        <f t="shared" si="25"/>
        <v>S3_DS_HSD999</v>
      </c>
      <c r="B32" t="s">
        <v>734</v>
      </c>
      <c r="J32" s="58" t="b">
        <f t="shared" ref="J32:J34" si="27">R9</f>
        <v>1</v>
      </c>
    </row>
    <row r="33" spans="1:10">
      <c r="A33" s="2" t="str">
        <f t="shared" si="25"/>
        <v>S3_DS_HSD998</v>
      </c>
      <c r="B33" t="s">
        <v>732</v>
      </c>
      <c r="J33" s="58" t="b">
        <f t="shared" si="27"/>
        <v>1</v>
      </c>
    </row>
    <row r="34" spans="1:10" ht="18.75">
      <c r="A34" s="57"/>
      <c r="B34" s="57"/>
      <c r="J34" s="58" t="b">
        <f t="shared" si="27"/>
        <v>1</v>
      </c>
    </row>
    <row r="35" spans="1:10" ht="18.75">
      <c r="A35" s="57"/>
      <c r="B35" s="57"/>
      <c r="J35" s="58" t="b">
        <f>S8</f>
        <v>1</v>
      </c>
    </row>
    <row r="36" spans="1:10" ht="18.75">
      <c r="A36" s="57"/>
      <c r="B36" s="57"/>
      <c r="J36" s="58" t="b">
        <f t="shared" ref="J36:J38" si="28">S9</f>
        <v>1</v>
      </c>
    </row>
    <row r="37" spans="1:10" ht="18.75">
      <c r="A37" s="57"/>
      <c r="B37" s="57"/>
      <c r="J37" s="58" t="b">
        <f t="shared" si="28"/>
        <v>1</v>
      </c>
    </row>
    <row r="38" spans="1:10" ht="18.75">
      <c r="A38" s="57"/>
      <c r="B38" s="57"/>
      <c r="J38" s="58" t="b">
        <f t="shared" si="28"/>
        <v>1</v>
      </c>
    </row>
    <row r="39" spans="1:10" ht="18.75">
      <c r="A39" s="57"/>
      <c r="B39" s="57"/>
      <c r="J39" s="58" t="b">
        <f>V8</f>
        <v>1</v>
      </c>
    </row>
    <row r="40" spans="1:10" ht="18.75">
      <c r="A40" s="57"/>
      <c r="B40" s="57"/>
      <c r="J40" s="58" t="b">
        <f t="shared" ref="J40:J42" si="29">V9</f>
        <v>1</v>
      </c>
    </row>
    <row r="41" spans="1:10" ht="18.75">
      <c r="A41" s="57"/>
      <c r="B41" s="57"/>
      <c r="J41" s="58" t="b">
        <f t="shared" si="29"/>
        <v>1</v>
      </c>
    </row>
    <row r="42" spans="1:10" ht="18.75">
      <c r="A42" s="57"/>
      <c r="B42" s="57"/>
      <c r="J42" s="58" t="b">
        <f t="shared" si="29"/>
        <v>1</v>
      </c>
    </row>
    <row r="43" spans="1:10" ht="18.75">
      <c r="A43" s="57"/>
      <c r="B43" s="57"/>
      <c r="J43" s="58" t="b">
        <f>W8</f>
        <v>1</v>
      </c>
    </row>
    <row r="44" spans="1:10" ht="18.75">
      <c r="A44" s="57"/>
      <c r="B44" s="57"/>
      <c r="J44" s="58" t="b">
        <f t="shared" ref="J44:J46" si="30">W9</f>
        <v>1</v>
      </c>
    </row>
    <row r="45" spans="1:10" ht="18.75">
      <c r="A45" s="57"/>
      <c r="B45" s="57"/>
      <c r="J45" s="58" t="b">
        <f t="shared" si="30"/>
        <v>1</v>
      </c>
    </row>
    <row r="46" spans="1:10" ht="18.75">
      <c r="A46" s="57"/>
      <c r="B46" s="57"/>
      <c r="J46" s="58" t="b">
        <f t="shared" si="30"/>
        <v>1</v>
      </c>
    </row>
    <row r="47" spans="1:10" ht="18.75">
      <c r="A47" s="57"/>
      <c r="B47" s="57"/>
    </row>
    <row r="48" spans="1:10" ht="18.75">
      <c r="A48" s="57"/>
      <c r="B48" s="57"/>
    </row>
    <row r="49" spans="1:2" ht="18.75">
      <c r="A49" s="57"/>
      <c r="B49" s="57"/>
    </row>
    <row r="50" spans="1:2" ht="18.75">
      <c r="A50" s="57"/>
      <c r="B50" s="57"/>
    </row>
    <row r="51" spans="1:2" ht="18.75">
      <c r="A51" s="57"/>
      <c r="B51" s="57"/>
    </row>
    <row r="52" spans="1:2" ht="18.75">
      <c r="A52" s="57"/>
      <c r="B52" s="57"/>
    </row>
    <row r="53" spans="1:2" ht="18.75">
      <c r="A53" s="57"/>
      <c r="B53" s="57"/>
    </row>
    <row r="54" spans="1:2" ht="18.75">
      <c r="A54" s="57"/>
      <c r="B54" s="57"/>
    </row>
    <row r="55" spans="1:2" ht="18.75">
      <c r="A55" s="57"/>
      <c r="B55" s="57"/>
    </row>
    <row r="56" spans="1:2" ht="18.75">
      <c r="A56" s="57"/>
      <c r="B56" s="57"/>
    </row>
    <row r="57" spans="1:2" ht="18.75">
      <c r="A57" s="57"/>
      <c r="B57" s="57"/>
    </row>
    <row r="58" spans="1:2" ht="18.75">
      <c r="A58" s="57"/>
      <c r="B58" s="57"/>
    </row>
    <row r="59" spans="1:2" ht="18.75">
      <c r="A59" s="57"/>
      <c r="B59" s="57"/>
    </row>
    <row r="60" spans="1:2" ht="18.75">
      <c r="A60" s="57"/>
      <c r="B60" s="57"/>
    </row>
    <row r="61" spans="1:2" ht="18.75">
      <c r="A61" s="57"/>
      <c r="B61" s="57"/>
    </row>
    <row r="62" spans="1:2" ht="18.75">
      <c r="A62" s="57"/>
      <c r="B62" s="57"/>
    </row>
    <row r="63" spans="1:2" ht="18.75">
      <c r="A63" s="57"/>
      <c r="B63" s="57"/>
    </row>
    <row r="64" spans="1:2" ht="18.75">
      <c r="A64" s="57"/>
      <c r="B64" s="57"/>
    </row>
    <row r="65" spans="1:2" ht="18.75">
      <c r="A65" s="57"/>
      <c r="B65" s="57"/>
    </row>
    <row r="66" spans="1:2" ht="18.75">
      <c r="A66" s="57"/>
      <c r="B66" s="57"/>
    </row>
    <row r="67" spans="1:2" ht="18.75">
      <c r="A67" s="57"/>
      <c r="B67" s="57"/>
    </row>
    <row r="68" spans="1:2" ht="18.75">
      <c r="A68" s="57"/>
      <c r="B68" s="57"/>
    </row>
    <row r="69" spans="1:2" ht="18.75">
      <c r="A69" s="57"/>
      <c r="B69" s="57"/>
    </row>
    <row r="70" spans="1:2" ht="18.75">
      <c r="A70" s="57"/>
      <c r="B70" s="57"/>
    </row>
    <row r="71" spans="1:2" ht="18.75">
      <c r="A71" s="57"/>
      <c r="B71" s="57"/>
    </row>
    <row r="72" spans="1:2" ht="18.75">
      <c r="A72" s="57"/>
      <c r="B72" s="57"/>
    </row>
    <row r="73" spans="1:2" ht="18.75">
      <c r="A73" s="57"/>
      <c r="B73" s="57"/>
    </row>
    <row r="74" spans="1:2" ht="18.75">
      <c r="A74" s="57"/>
      <c r="B74" s="57"/>
    </row>
    <row r="75" spans="1:2" ht="18.75">
      <c r="A75" s="57"/>
      <c r="B75" s="57"/>
    </row>
    <row r="76" spans="1:2" ht="18.75">
      <c r="A76" s="57"/>
      <c r="B76" s="57"/>
    </row>
    <row r="77" spans="1:2" ht="18.75">
      <c r="A77" s="57"/>
      <c r="B77" s="57"/>
    </row>
    <row r="78" spans="1:2" ht="18.75">
      <c r="A78" s="57"/>
      <c r="B78" s="57"/>
    </row>
    <row r="79" spans="1:2" ht="18.75">
      <c r="A79" s="57"/>
      <c r="B79" s="57"/>
    </row>
    <row r="80" spans="1:2" ht="18.75">
      <c r="A80" s="57"/>
      <c r="B80" s="57"/>
    </row>
    <row r="81" spans="1:2" ht="18.75">
      <c r="A81" s="57"/>
      <c r="B81" s="57"/>
    </row>
    <row r="82" spans="1:2" ht="18.75">
      <c r="A82" s="57"/>
      <c r="B82" s="57"/>
    </row>
    <row r="83" spans="1:2" ht="18.75">
      <c r="A83" s="57"/>
      <c r="B83" s="57"/>
    </row>
    <row r="84" spans="1:2" ht="18.75">
      <c r="A84" s="57"/>
      <c r="B84" s="57"/>
    </row>
    <row r="85" spans="1:2" ht="18.75">
      <c r="A85" s="57"/>
      <c r="B85" s="57"/>
    </row>
    <row r="86" spans="1:2" ht="18.75">
      <c r="A86" s="57"/>
      <c r="B86" s="57"/>
    </row>
    <row r="87" spans="1:2" ht="18.75">
      <c r="A87" s="57"/>
      <c r="B87" s="57"/>
    </row>
    <row r="88" spans="1:2" ht="18.75">
      <c r="A88" s="57"/>
      <c r="B88" s="57"/>
    </row>
    <row r="89" spans="1:2" ht="18.75">
      <c r="A89" s="57"/>
      <c r="B89" s="57"/>
    </row>
    <row r="90" spans="1:2" ht="18.75">
      <c r="A90" s="57"/>
      <c r="B90" s="57"/>
    </row>
    <row r="91" spans="1:2" ht="18.75">
      <c r="A91" s="57"/>
      <c r="B91" s="57"/>
    </row>
    <row r="92" spans="1:2" ht="18.75">
      <c r="A92" s="57"/>
      <c r="B92" s="57"/>
    </row>
    <row r="93" spans="1:2" ht="18.75">
      <c r="A93" s="57"/>
      <c r="B93" s="57"/>
    </row>
    <row r="94" spans="1:2" ht="18.75">
      <c r="A94" s="57"/>
      <c r="B94" s="57"/>
    </row>
    <row r="95" spans="1:2" ht="18.75">
      <c r="A95" s="57"/>
      <c r="B95" s="57"/>
    </row>
    <row r="96" spans="1:2" ht="18.75">
      <c r="A96" s="57"/>
      <c r="B96" s="57"/>
    </row>
    <row r="97" spans="1:2" ht="18.75">
      <c r="A97" s="57"/>
      <c r="B97" s="57"/>
    </row>
    <row r="98" spans="1:2" ht="18.75">
      <c r="A98" s="57"/>
      <c r="B98" s="57"/>
    </row>
    <row r="99" spans="1:2" ht="18.75">
      <c r="A99" s="57"/>
      <c r="B99" s="57"/>
    </row>
    <row r="100" spans="1:2" ht="18.75">
      <c r="A100" s="57"/>
      <c r="B100" s="59"/>
    </row>
    <row r="101" spans="1:2" ht="18.75">
      <c r="A101" s="57"/>
      <c r="B101" s="57"/>
    </row>
    <row r="102" spans="1:2" ht="18.75">
      <c r="A102" s="57"/>
      <c r="B102" s="59"/>
    </row>
    <row r="103" spans="1:2" ht="18.75">
      <c r="A103" s="57"/>
      <c r="B103" s="59"/>
    </row>
    <row r="104" spans="1:2" ht="18.75">
      <c r="A104" s="57"/>
      <c r="B104" s="57"/>
    </row>
    <row r="105" spans="1:2" ht="18.75">
      <c r="A105" s="57"/>
      <c r="B105" s="57"/>
    </row>
    <row r="106" spans="1:2" ht="18.75">
      <c r="A106" s="57"/>
      <c r="B106" s="57"/>
    </row>
    <row r="107" spans="1:2" ht="18.75">
      <c r="A107" s="57"/>
      <c r="B107" s="57"/>
    </row>
    <row r="108" spans="1:2" ht="18.75">
      <c r="A108" s="57"/>
      <c r="B108" s="57"/>
    </row>
    <row r="109" spans="1:2" ht="18.75">
      <c r="A109" s="57"/>
      <c r="B109" s="57"/>
    </row>
    <row r="110" spans="1:2" ht="18.75">
      <c r="A110" s="57"/>
      <c r="B110" s="57"/>
    </row>
    <row r="111" spans="1:2" ht="18.75">
      <c r="A111" s="57"/>
      <c r="B111" s="57"/>
    </row>
    <row r="112" spans="1:2" ht="18.75">
      <c r="A112" s="57"/>
      <c r="B112" s="57"/>
    </row>
    <row r="113" spans="1:2" ht="18.75">
      <c r="A113" s="57"/>
      <c r="B113" s="57"/>
    </row>
    <row r="114" spans="1:2" ht="18.75">
      <c r="A114" s="57"/>
      <c r="B114" s="57"/>
    </row>
    <row r="115" spans="1:2" ht="18.75">
      <c r="A115" s="57"/>
      <c r="B115" s="59"/>
    </row>
    <row r="116" spans="1:2" ht="18.75">
      <c r="A116" s="57"/>
      <c r="B116" s="57"/>
    </row>
    <row r="117" spans="1:2" ht="18.75">
      <c r="A117" s="57"/>
      <c r="B117" s="57"/>
    </row>
    <row r="118" spans="1:2" ht="18.75">
      <c r="A118" s="57"/>
      <c r="B118" s="57"/>
    </row>
    <row r="119" spans="1:2" ht="18.75">
      <c r="A119" s="57"/>
      <c r="B119" s="59"/>
    </row>
    <row r="120" spans="1:2" ht="18.75">
      <c r="A120" s="57"/>
      <c r="B120" s="59"/>
    </row>
    <row r="121" spans="1:2" ht="18.75">
      <c r="A121" s="57"/>
      <c r="B121" s="57"/>
    </row>
    <row r="122" spans="1:2" ht="18.75">
      <c r="A122" s="57"/>
      <c r="B122" s="57"/>
    </row>
    <row r="123" spans="1:2" ht="18.75">
      <c r="A123" s="57"/>
      <c r="B123" s="57"/>
    </row>
    <row r="124" spans="1:2" ht="18.75">
      <c r="A124" s="57"/>
      <c r="B124" s="57"/>
    </row>
    <row r="125" spans="1:2" ht="18.75">
      <c r="A125" s="57"/>
      <c r="B125" s="57"/>
    </row>
    <row r="126" spans="1:2" ht="18.75">
      <c r="A126" s="57"/>
      <c r="B126" s="57"/>
    </row>
    <row r="127" spans="1:2" ht="18.75">
      <c r="A127" s="57"/>
      <c r="B127" s="57"/>
    </row>
    <row r="128" spans="1:2" ht="18.75">
      <c r="A128" s="57"/>
      <c r="B128" s="57"/>
    </row>
    <row r="129" spans="1:2" ht="18.75">
      <c r="A129" s="57"/>
      <c r="B129" s="57"/>
    </row>
    <row r="130" spans="1:2" ht="18.75">
      <c r="A130" s="57"/>
      <c r="B130" s="57"/>
    </row>
    <row r="131" spans="1:2" ht="18.75">
      <c r="A131" s="57"/>
      <c r="B131" s="57"/>
    </row>
    <row r="132" spans="1:2" ht="18.75">
      <c r="A132" s="57"/>
      <c r="B132" s="57"/>
    </row>
    <row r="133" spans="1:2" ht="18.75">
      <c r="A133" s="57"/>
      <c r="B133" s="57"/>
    </row>
    <row r="134" spans="1:2" ht="18.75">
      <c r="A134" s="57"/>
      <c r="B134" s="57"/>
    </row>
    <row r="135" spans="1:2" ht="18.75">
      <c r="A135" s="57"/>
      <c r="B135" s="57"/>
    </row>
    <row r="136" spans="1:2" ht="18.75">
      <c r="A136" s="57"/>
      <c r="B136" s="57"/>
    </row>
    <row r="137" spans="1:2" ht="18.75">
      <c r="A137" s="57"/>
      <c r="B137" s="57"/>
    </row>
    <row r="138" spans="1:2" ht="18.75">
      <c r="A138" s="57"/>
      <c r="B138" s="57"/>
    </row>
    <row r="139" spans="1:2" ht="18.75">
      <c r="A139" s="57"/>
      <c r="B139" s="57"/>
    </row>
    <row r="140" spans="1:2" ht="18.75">
      <c r="A140" s="57"/>
      <c r="B140" s="57"/>
    </row>
    <row r="141" spans="1:2" ht="18.75">
      <c r="A141" s="57"/>
      <c r="B141" s="57"/>
    </row>
    <row r="142" spans="1:2" ht="18.75">
      <c r="A142" s="57"/>
      <c r="B142" s="57"/>
    </row>
    <row r="143" spans="1:2" ht="18.75">
      <c r="A143" s="57"/>
      <c r="B143" s="57"/>
    </row>
    <row r="144" spans="1:2" ht="18.75">
      <c r="A144" s="57"/>
      <c r="B144" s="57"/>
    </row>
    <row r="145" spans="1:2" ht="18.75">
      <c r="A145" s="57"/>
      <c r="B145" s="57"/>
    </row>
    <row r="146" spans="1:2" ht="18.75">
      <c r="A146" s="57"/>
      <c r="B146" s="57"/>
    </row>
    <row r="147" spans="1:2" ht="18.75">
      <c r="A147" s="57"/>
      <c r="B147" s="57"/>
    </row>
    <row r="148" spans="1:2" ht="18.75">
      <c r="A148" s="57"/>
      <c r="B148" s="57"/>
    </row>
    <row r="149" spans="1:2" ht="18.75">
      <c r="A149" s="57"/>
      <c r="B149" s="57"/>
    </row>
    <row r="150" spans="1:2" ht="18.75">
      <c r="A150" s="57"/>
      <c r="B150" s="57"/>
    </row>
    <row r="151" spans="1:2" ht="18.75">
      <c r="A151" s="57"/>
      <c r="B151" s="59"/>
    </row>
    <row r="152" spans="1:2" ht="18.75">
      <c r="A152" s="57"/>
      <c r="B152" s="57"/>
    </row>
    <row r="153" spans="1:2" ht="18.75">
      <c r="A153" s="57"/>
      <c r="B153" s="57"/>
    </row>
    <row r="154" spans="1:2" ht="18.75">
      <c r="A154" s="57"/>
      <c r="B154" s="57"/>
    </row>
    <row r="155" spans="1:2" ht="18.75">
      <c r="A155" s="57"/>
      <c r="B155" s="57"/>
    </row>
    <row r="156" spans="1:2" ht="18.75">
      <c r="A156" s="57"/>
      <c r="B156" s="57"/>
    </row>
    <row r="157" spans="1:2" ht="18.75">
      <c r="A157" s="57"/>
      <c r="B157" s="57"/>
    </row>
    <row r="158" spans="1:2" ht="18.75">
      <c r="A158" s="57"/>
      <c r="B158" s="57"/>
    </row>
    <row r="159" spans="1:2" ht="18.75">
      <c r="A159" s="57"/>
      <c r="B159" s="57"/>
    </row>
    <row r="160" spans="1:2" ht="18.75">
      <c r="A160" s="57"/>
      <c r="B160" s="57"/>
    </row>
    <row r="161" spans="1:2" ht="18.75">
      <c r="A161" s="57"/>
      <c r="B161" s="57"/>
    </row>
    <row r="162" spans="1:2" ht="18.75">
      <c r="A162" s="57"/>
      <c r="B162" s="57"/>
    </row>
    <row r="163" spans="1:2" ht="18.75">
      <c r="A163" s="57"/>
      <c r="B163" s="57"/>
    </row>
    <row r="164" spans="1:2" ht="18.75">
      <c r="A164" s="57"/>
      <c r="B164" s="57"/>
    </row>
    <row r="165" spans="1:2" ht="18.75">
      <c r="A165" s="57"/>
      <c r="B165" s="57"/>
    </row>
    <row r="166" spans="1:2" ht="18.75">
      <c r="A166" s="57"/>
      <c r="B166" s="57"/>
    </row>
    <row r="167" spans="1:2" ht="18.75">
      <c r="A167" s="57"/>
      <c r="B167" s="57"/>
    </row>
    <row r="168" spans="1:2" ht="18.75">
      <c r="A168" s="57"/>
      <c r="B168" s="59"/>
    </row>
    <row r="169" spans="1:2" ht="18.75">
      <c r="A169" s="57"/>
      <c r="B169" s="57"/>
    </row>
    <row r="170" spans="1:2" ht="18.75">
      <c r="A170" s="57"/>
      <c r="B170" s="57"/>
    </row>
    <row r="171" spans="1:2" ht="18.75">
      <c r="A171" s="57"/>
      <c r="B171" s="57"/>
    </row>
    <row r="172" spans="1:2" ht="18.75">
      <c r="A172" s="57"/>
      <c r="B172" s="57"/>
    </row>
    <row r="173" spans="1:2" ht="18.75">
      <c r="A173" s="57"/>
      <c r="B173" s="57"/>
    </row>
    <row r="174" spans="1:2" ht="18.75">
      <c r="A174" s="57"/>
      <c r="B174" s="57"/>
    </row>
    <row r="175" spans="1:2" ht="18.75">
      <c r="A175" s="57"/>
      <c r="B175" s="57"/>
    </row>
    <row r="176" spans="1:2" ht="18.75">
      <c r="A176" s="57"/>
      <c r="B176" s="57"/>
    </row>
    <row r="177" spans="1:2" ht="18.75">
      <c r="A177" s="57"/>
      <c r="B177" s="57"/>
    </row>
    <row r="178" spans="1:2" ht="18.75">
      <c r="A178" s="57"/>
      <c r="B178" s="57"/>
    </row>
    <row r="179" spans="1:2" ht="18.75">
      <c r="A179" s="57"/>
      <c r="B179" s="57"/>
    </row>
    <row r="180" spans="1:2" ht="18.75">
      <c r="A180" s="57"/>
      <c r="B180" s="57"/>
    </row>
    <row r="181" spans="1:2" ht="18.75">
      <c r="A181" s="57"/>
      <c r="B181" s="57"/>
    </row>
    <row r="182" spans="1:2" ht="18.75">
      <c r="A182" s="57"/>
      <c r="B182" s="57"/>
    </row>
    <row r="183" spans="1:2" ht="18.75">
      <c r="A183" s="57"/>
      <c r="B183" s="57"/>
    </row>
    <row r="184" spans="1:2" ht="18.75">
      <c r="A184" s="57"/>
      <c r="B184" s="57"/>
    </row>
    <row r="185" spans="1:2" ht="18.75">
      <c r="A185" s="57"/>
      <c r="B185" s="57"/>
    </row>
    <row r="186" spans="1:2" ht="18.75">
      <c r="A186" s="57"/>
      <c r="B186" s="57"/>
    </row>
    <row r="187" spans="1:2" ht="18.75">
      <c r="A187" s="57"/>
      <c r="B187" s="57"/>
    </row>
    <row r="188" spans="1:2" ht="18.75">
      <c r="A188" s="57"/>
      <c r="B188" s="57"/>
    </row>
    <row r="189" spans="1:2" ht="18.75">
      <c r="A189" s="57"/>
      <c r="B189" s="57"/>
    </row>
    <row r="190" spans="1:2" ht="18.75">
      <c r="A190" s="57"/>
      <c r="B190" s="57"/>
    </row>
    <row r="191" spans="1:2" ht="18.75">
      <c r="A191" s="57"/>
      <c r="B191" s="57"/>
    </row>
    <row r="192" spans="1:2" ht="18.75">
      <c r="A192" s="57"/>
      <c r="B192" s="57"/>
    </row>
    <row r="193" spans="1:2" ht="18.75">
      <c r="A193" s="57"/>
      <c r="B193" s="57"/>
    </row>
    <row r="194" spans="1:2" ht="18.75">
      <c r="A194" s="57"/>
      <c r="B194" s="57"/>
    </row>
    <row r="195" spans="1:2" ht="18.75">
      <c r="A195" s="57"/>
      <c r="B195" s="57"/>
    </row>
    <row r="196" spans="1:2" ht="18.75">
      <c r="A196" s="57"/>
      <c r="B196" s="57"/>
    </row>
    <row r="197" spans="1:2" ht="18.75">
      <c r="A197" s="57"/>
      <c r="B197" s="57"/>
    </row>
    <row r="198" spans="1:2" ht="18.75">
      <c r="A198" s="57"/>
      <c r="B198" s="57"/>
    </row>
    <row r="199" spans="1:2" ht="18.75">
      <c r="A199" s="57"/>
      <c r="B199" s="57"/>
    </row>
    <row r="200" spans="1:2" ht="18.75">
      <c r="A200" s="57"/>
      <c r="B200" s="57"/>
    </row>
    <row r="201" spans="1:2" ht="18.75">
      <c r="A201" s="57"/>
      <c r="B201" s="57"/>
    </row>
    <row r="202" spans="1:2" ht="18.75">
      <c r="A202" s="57"/>
      <c r="B202" s="57"/>
    </row>
    <row r="203" spans="1:2" ht="18.75">
      <c r="A203" s="57"/>
      <c r="B203" s="57"/>
    </row>
    <row r="204" spans="1:2" ht="18.75">
      <c r="A204" s="57"/>
      <c r="B204" s="57"/>
    </row>
    <row r="205" spans="1:2" ht="18.75">
      <c r="A205" s="57"/>
      <c r="B205" s="57"/>
    </row>
    <row r="206" spans="1:2" ht="18.75">
      <c r="A206" s="57"/>
      <c r="B206" s="57"/>
    </row>
    <row r="207" spans="1:2" ht="18.75">
      <c r="A207" s="57"/>
      <c r="B207" s="57"/>
    </row>
    <row r="208" spans="1:2" ht="18.75">
      <c r="A208" s="57"/>
      <c r="B208" s="57"/>
    </row>
    <row r="209" spans="1:2" ht="18.75">
      <c r="A209" s="57"/>
      <c r="B209" s="57"/>
    </row>
    <row r="210" spans="1:2" ht="18.75">
      <c r="A210" s="57"/>
      <c r="B210" s="57"/>
    </row>
    <row r="211" spans="1:2" ht="18.75">
      <c r="A211" s="57"/>
      <c r="B211" s="57"/>
    </row>
    <row r="212" spans="1:2" ht="18.75">
      <c r="A212" s="57"/>
      <c r="B212" s="57"/>
    </row>
    <row r="213" spans="1:2" ht="18.75">
      <c r="A213" s="57"/>
      <c r="B213" s="57"/>
    </row>
    <row r="214" spans="1:2" ht="18.75">
      <c r="A214" s="57"/>
      <c r="B214" s="57"/>
    </row>
    <row r="215" spans="1:2" ht="18.75">
      <c r="A215" s="57"/>
      <c r="B215" s="59"/>
    </row>
    <row r="216" spans="1:2" ht="18.75">
      <c r="A216" s="57"/>
      <c r="B216" s="59"/>
    </row>
    <row r="217" spans="1:2" ht="18.75">
      <c r="A217" s="57"/>
      <c r="B217" s="59"/>
    </row>
    <row r="218" spans="1:2" ht="18.75">
      <c r="A218" s="57"/>
      <c r="B218" s="59"/>
    </row>
    <row r="219" spans="1:2" ht="18.75">
      <c r="A219" s="57"/>
      <c r="B219" s="57"/>
    </row>
    <row r="220" spans="1:2" ht="18.75">
      <c r="A220" s="57"/>
      <c r="B220" s="57"/>
    </row>
    <row r="221" spans="1:2" ht="18.75">
      <c r="A221" s="57"/>
      <c r="B221" s="57"/>
    </row>
    <row r="222" spans="1:2" ht="18.75">
      <c r="A222" s="57"/>
      <c r="B222" s="57"/>
    </row>
    <row r="223" spans="1:2" ht="18.75">
      <c r="A223" s="57"/>
      <c r="B223" s="57"/>
    </row>
    <row r="224" spans="1:2" ht="18.75">
      <c r="A224" s="57"/>
      <c r="B224" s="57"/>
    </row>
    <row r="225" spans="1:2" ht="18.75">
      <c r="A225" s="57"/>
      <c r="B225" s="57"/>
    </row>
    <row r="226" spans="1:2" ht="18.75">
      <c r="A226" s="57"/>
      <c r="B226" s="57"/>
    </row>
    <row r="227" spans="1:2" ht="18.75">
      <c r="A227" s="57"/>
      <c r="B227" s="57"/>
    </row>
    <row r="228" spans="1:2" ht="18.75">
      <c r="A228" s="57"/>
      <c r="B228" s="57"/>
    </row>
    <row r="229" spans="1:2" ht="18.75">
      <c r="A229" s="57"/>
      <c r="B229" s="57"/>
    </row>
    <row r="230" spans="1:2" ht="18.75">
      <c r="A230" s="57"/>
      <c r="B230" s="59"/>
    </row>
    <row r="231" spans="1:2" ht="18.75">
      <c r="A231" s="57"/>
      <c r="B231" s="59"/>
    </row>
    <row r="232" spans="1:2" ht="18.75">
      <c r="A232" s="57"/>
      <c r="B232" s="57"/>
    </row>
    <row r="233" spans="1:2" ht="18.75">
      <c r="A233" s="57"/>
      <c r="B233" s="57"/>
    </row>
    <row r="234" spans="1:2" ht="18.75">
      <c r="A234" s="57"/>
      <c r="B234" s="57"/>
    </row>
    <row r="235" spans="1:2" ht="18.75">
      <c r="A235" s="57"/>
      <c r="B235" s="59"/>
    </row>
    <row r="236" spans="1:2" ht="18.75">
      <c r="A236" s="57"/>
      <c r="B236" s="57"/>
    </row>
    <row r="237" spans="1:2" ht="18.75">
      <c r="A237" s="57"/>
      <c r="B237" s="57"/>
    </row>
    <row r="238" spans="1:2" ht="18.75">
      <c r="A238" s="57"/>
      <c r="B238" s="57"/>
    </row>
    <row r="239" spans="1:2" ht="18.75">
      <c r="A239" s="57"/>
      <c r="B239" s="57"/>
    </row>
    <row r="240" spans="1:2" ht="18.75">
      <c r="A240" s="57"/>
      <c r="B240" s="57"/>
    </row>
    <row r="241" spans="1:2" ht="18.75">
      <c r="A241" s="57"/>
      <c r="B241" s="57"/>
    </row>
    <row r="242" spans="1:2" ht="18.75">
      <c r="A242" s="57"/>
      <c r="B242" s="57"/>
    </row>
    <row r="243" spans="1:2" ht="18.75">
      <c r="A243" s="57"/>
      <c r="B243" s="57"/>
    </row>
    <row r="244" spans="1:2" ht="18.75">
      <c r="A244" s="57"/>
      <c r="B244" s="57"/>
    </row>
    <row r="245" spans="1:2" ht="18.75">
      <c r="A245" s="57"/>
      <c r="B245" s="57"/>
    </row>
    <row r="246" spans="1:2" ht="18.75">
      <c r="A246" s="57"/>
      <c r="B246" s="57"/>
    </row>
    <row r="247" spans="1:2" ht="18.75">
      <c r="A247" s="57"/>
      <c r="B247" s="57"/>
    </row>
    <row r="248" spans="1:2" ht="18.75">
      <c r="A248" s="57"/>
      <c r="B248" s="57"/>
    </row>
    <row r="249" spans="1:2" ht="18.75">
      <c r="A249" s="57"/>
      <c r="B249" s="57"/>
    </row>
    <row r="250" spans="1:2" ht="18.75">
      <c r="A250" s="57"/>
      <c r="B250" s="57"/>
    </row>
    <row r="251" spans="1:2" ht="18.75">
      <c r="A251" s="57"/>
      <c r="B251" s="57"/>
    </row>
    <row r="252" spans="1:2" ht="18.75">
      <c r="A252" s="57"/>
      <c r="B252" s="57"/>
    </row>
    <row r="253" spans="1:2" ht="18.75">
      <c r="A253" s="57"/>
      <c r="B253" s="57"/>
    </row>
    <row r="254" spans="1:2" ht="18.75">
      <c r="A254" s="57"/>
      <c r="B254" s="57"/>
    </row>
    <row r="255" spans="1:2" ht="18.75">
      <c r="A255" s="57"/>
      <c r="B255" s="57"/>
    </row>
    <row r="256" spans="1:2" ht="18.75">
      <c r="A256" s="57"/>
      <c r="B256" s="57"/>
    </row>
    <row r="257" spans="1:2" ht="18.75">
      <c r="A257" s="57"/>
      <c r="B257" s="57"/>
    </row>
    <row r="258" spans="1:2" ht="18.75">
      <c r="A258" s="57"/>
      <c r="B258" s="57"/>
    </row>
    <row r="259" spans="1:2" ht="18.75">
      <c r="A259" s="57"/>
      <c r="B259" s="57"/>
    </row>
    <row r="260" spans="1:2" ht="18.75">
      <c r="A260" s="57"/>
      <c r="B260" s="57"/>
    </row>
    <row r="261" spans="1:2" ht="18.75">
      <c r="A261" s="57"/>
      <c r="B261" s="57"/>
    </row>
    <row r="262" spans="1:2" ht="18.75">
      <c r="A262" s="57"/>
      <c r="B262" s="57"/>
    </row>
    <row r="263" spans="1:2" ht="18.75">
      <c r="A263" s="57"/>
      <c r="B263" s="57"/>
    </row>
    <row r="264" spans="1:2" ht="18.75">
      <c r="A264" s="57"/>
      <c r="B264" s="57"/>
    </row>
    <row r="265" spans="1:2" ht="18.75">
      <c r="A265" s="57"/>
      <c r="B265" s="57"/>
    </row>
    <row r="266" spans="1:2" ht="18.75">
      <c r="A266" s="57"/>
      <c r="B266" s="57"/>
    </row>
    <row r="267" spans="1:2" ht="18.75">
      <c r="A267" s="57"/>
      <c r="B267" s="57"/>
    </row>
    <row r="268" spans="1:2" ht="18.75">
      <c r="A268" s="57"/>
      <c r="B268" s="57"/>
    </row>
    <row r="269" spans="1:2" ht="18.75">
      <c r="A269" s="57"/>
      <c r="B269" s="57"/>
    </row>
    <row r="270" spans="1:2" ht="18.75">
      <c r="A270" s="57"/>
      <c r="B270" s="57"/>
    </row>
    <row r="271" spans="1:2" ht="18.75">
      <c r="A271" s="57"/>
      <c r="B271" s="57"/>
    </row>
    <row r="272" spans="1:2" ht="18.75">
      <c r="A272" s="57"/>
      <c r="B272" s="57"/>
    </row>
    <row r="273" spans="1:2" ht="18.75">
      <c r="A273" s="57"/>
      <c r="B273" s="57"/>
    </row>
    <row r="274" spans="1:2" ht="18.75">
      <c r="A274" s="57"/>
      <c r="B274" s="57"/>
    </row>
    <row r="275" spans="1:2" ht="18.75">
      <c r="A275" s="57"/>
      <c r="B275" s="57"/>
    </row>
    <row r="276" spans="1:2" ht="18.75">
      <c r="A276" s="57"/>
      <c r="B276" s="57"/>
    </row>
    <row r="277" spans="1:2" ht="18.75">
      <c r="A277" s="57"/>
      <c r="B277" s="57"/>
    </row>
    <row r="278" spans="1:2" ht="18.75">
      <c r="A278" s="57"/>
      <c r="B278" s="57"/>
    </row>
    <row r="279" spans="1:2" ht="18.75">
      <c r="A279" s="57"/>
      <c r="B279" s="57"/>
    </row>
    <row r="280" spans="1:2" ht="18.75">
      <c r="A280" s="57"/>
      <c r="B280" s="57"/>
    </row>
    <row r="281" spans="1:2" ht="18.75">
      <c r="A281" s="57"/>
      <c r="B281" s="57"/>
    </row>
    <row r="282" spans="1:2" ht="18.75">
      <c r="A282" s="57"/>
      <c r="B282" s="57"/>
    </row>
    <row r="283" spans="1:2" ht="18.75">
      <c r="A283" s="57"/>
      <c r="B283" s="57"/>
    </row>
    <row r="284" spans="1:2" ht="18.75">
      <c r="A284" s="57"/>
      <c r="B284" s="57"/>
    </row>
    <row r="285" spans="1:2" ht="18.75">
      <c r="A285" s="57"/>
      <c r="B285" s="57"/>
    </row>
    <row r="286" spans="1:2" ht="18.75">
      <c r="A286" s="57"/>
      <c r="B286" s="57"/>
    </row>
    <row r="287" spans="1:2" ht="18.75">
      <c r="A287" s="57"/>
      <c r="B287" s="57"/>
    </row>
    <row r="288" spans="1:2" ht="18.75">
      <c r="A288" s="57"/>
      <c r="B288" s="57"/>
    </row>
    <row r="289" spans="1:2" ht="18.75">
      <c r="A289" s="57"/>
      <c r="B289" s="57"/>
    </row>
    <row r="290" spans="1:2" ht="18.75">
      <c r="A290" s="57"/>
      <c r="B290" s="57"/>
    </row>
    <row r="291" spans="1:2" ht="18.75">
      <c r="A291" s="57"/>
      <c r="B291" s="57"/>
    </row>
    <row r="292" spans="1:2" ht="18.75">
      <c r="A292" s="57"/>
      <c r="B292" s="57"/>
    </row>
    <row r="293" spans="1:2" ht="18.75">
      <c r="A293" s="57"/>
      <c r="B293" s="57"/>
    </row>
    <row r="294" spans="1:2" ht="18.75">
      <c r="A294" s="57"/>
      <c r="B294" s="57"/>
    </row>
    <row r="295" spans="1:2" ht="18.75">
      <c r="A295" s="57"/>
      <c r="B295" s="57"/>
    </row>
    <row r="296" spans="1:2" ht="18.75">
      <c r="A296" s="57"/>
      <c r="B296" s="57"/>
    </row>
    <row r="297" spans="1:2" ht="18.75">
      <c r="A297" s="57"/>
      <c r="B297" s="57"/>
    </row>
    <row r="298" spans="1:2" ht="18.75">
      <c r="A298" s="57"/>
      <c r="B298" s="57"/>
    </row>
    <row r="299" spans="1:2" ht="18.75">
      <c r="A299" s="57"/>
      <c r="B299" s="57"/>
    </row>
    <row r="300" spans="1:2" ht="18.75">
      <c r="A300" s="57"/>
      <c r="B300" s="57"/>
    </row>
    <row r="301" spans="1:2" ht="18.75">
      <c r="A301" s="57"/>
      <c r="B301" s="57"/>
    </row>
    <row r="302" spans="1:2" ht="18.75">
      <c r="A302" s="57"/>
      <c r="B302" s="57"/>
    </row>
    <row r="303" spans="1:2" ht="18.75">
      <c r="A303" s="57"/>
      <c r="B303" s="57"/>
    </row>
    <row r="304" spans="1:2" ht="18.75">
      <c r="A304" s="57"/>
      <c r="B304" s="57"/>
    </row>
    <row r="305" spans="1:2" ht="18.75">
      <c r="A305" s="57"/>
      <c r="B305" s="57"/>
    </row>
    <row r="306" spans="1:2" ht="18.75">
      <c r="A306" s="57"/>
      <c r="B306" s="57"/>
    </row>
    <row r="307" spans="1:2" ht="18.75">
      <c r="A307" s="57"/>
      <c r="B307" s="57"/>
    </row>
    <row r="308" spans="1:2" ht="18.75">
      <c r="A308" s="57"/>
      <c r="B308" s="57"/>
    </row>
    <row r="309" spans="1:2" ht="18.75">
      <c r="A309" s="57"/>
      <c r="B309" s="57"/>
    </row>
    <row r="310" spans="1:2" ht="18.75">
      <c r="A310" s="57"/>
      <c r="B310" s="57"/>
    </row>
    <row r="311" spans="1:2" ht="18.75">
      <c r="A311" s="57"/>
      <c r="B311" s="57"/>
    </row>
    <row r="312" spans="1:2" ht="18.75">
      <c r="A312" s="57"/>
      <c r="B312" s="57"/>
    </row>
    <row r="313" spans="1:2" ht="18.75">
      <c r="A313" s="57"/>
      <c r="B313" s="57"/>
    </row>
    <row r="314" spans="1:2" ht="18.75">
      <c r="A314" s="57"/>
      <c r="B314" s="57"/>
    </row>
    <row r="315" spans="1:2" ht="18.75">
      <c r="A315" s="57"/>
      <c r="B315" s="57"/>
    </row>
    <row r="316" spans="1:2" ht="18.75">
      <c r="A316" s="57"/>
      <c r="B316" s="57"/>
    </row>
    <row r="317" spans="1:2" ht="18.75">
      <c r="A317" s="57"/>
      <c r="B317" s="57"/>
    </row>
    <row r="318" spans="1:2" ht="18.75">
      <c r="A318" s="57"/>
      <c r="B318" s="57"/>
    </row>
    <row r="319" spans="1:2" ht="18.75">
      <c r="A319" s="57"/>
      <c r="B319" s="57"/>
    </row>
    <row r="320" spans="1:2" ht="18.75">
      <c r="A320" s="57"/>
      <c r="B320" s="57"/>
    </row>
    <row r="321" spans="1:2" ht="18.75">
      <c r="A321" s="57"/>
      <c r="B321" s="57"/>
    </row>
    <row r="322" spans="1:2" ht="18.75">
      <c r="A322" s="57"/>
      <c r="B322" s="57"/>
    </row>
    <row r="323" spans="1:2" ht="18.75">
      <c r="A323" s="57"/>
      <c r="B323" s="57"/>
    </row>
    <row r="324" spans="1:2" ht="18.75">
      <c r="A324" s="57"/>
      <c r="B324" s="57"/>
    </row>
    <row r="325" spans="1:2" ht="18.75">
      <c r="A325" s="57"/>
      <c r="B325" s="57"/>
    </row>
    <row r="326" spans="1:2" ht="18.75">
      <c r="A326" s="57"/>
      <c r="B326" s="57"/>
    </row>
    <row r="327" spans="1:2" ht="18.75">
      <c r="A327" s="57"/>
      <c r="B327" s="57"/>
    </row>
    <row r="328" spans="1:2" ht="18.75">
      <c r="A328" s="57"/>
      <c r="B328" s="57"/>
    </row>
    <row r="329" spans="1:2" ht="18.75">
      <c r="A329" s="57"/>
      <c r="B329" s="57"/>
    </row>
    <row r="330" spans="1:2" ht="18.75">
      <c r="A330" s="57"/>
      <c r="B330" s="59"/>
    </row>
    <row r="331" spans="1:2" ht="18.75">
      <c r="A331" s="57"/>
      <c r="B331" s="59"/>
    </row>
    <row r="332" spans="1:2" ht="18.75">
      <c r="A332" s="57"/>
      <c r="B332" s="59"/>
    </row>
    <row r="333" spans="1:2" ht="18.75">
      <c r="A333" s="57"/>
      <c r="B333" s="59"/>
    </row>
    <row r="334" spans="1:2" ht="18.75">
      <c r="A334" s="57"/>
      <c r="B334" s="57"/>
    </row>
    <row r="335" spans="1:2" ht="18.75">
      <c r="A335" s="57"/>
      <c r="B335" s="57"/>
    </row>
    <row r="336" spans="1:2" ht="18.75">
      <c r="A336" s="57"/>
      <c r="B336" s="57"/>
    </row>
    <row r="337" spans="1:2" ht="18.75">
      <c r="A337" s="57"/>
      <c r="B337" s="57"/>
    </row>
    <row r="338" spans="1:2" ht="18.75">
      <c r="A338" s="57"/>
      <c r="B338" s="57"/>
    </row>
    <row r="339" spans="1:2" ht="18.75">
      <c r="A339" s="57"/>
      <c r="B339" s="57"/>
    </row>
    <row r="340" spans="1:2" ht="18.75">
      <c r="A340" s="57"/>
      <c r="B340" s="57"/>
    </row>
    <row r="341" spans="1:2" ht="18.75">
      <c r="A341" s="57"/>
      <c r="B341" s="57"/>
    </row>
    <row r="342" spans="1:2" ht="18.75">
      <c r="A342" s="57"/>
      <c r="B342" s="57"/>
    </row>
    <row r="343" spans="1:2" ht="18.75">
      <c r="A343" s="57"/>
      <c r="B343" s="57"/>
    </row>
    <row r="344" spans="1:2" ht="18.75">
      <c r="A344" s="57"/>
      <c r="B344" s="57"/>
    </row>
    <row r="345" spans="1:2" ht="18.75">
      <c r="A345" s="57"/>
      <c r="B345" s="59"/>
    </row>
    <row r="346" spans="1:2" ht="18.75">
      <c r="A346" s="57"/>
      <c r="B346" s="59"/>
    </row>
    <row r="347" spans="1:2" ht="18.75">
      <c r="A347" s="57"/>
      <c r="B347" s="57"/>
    </row>
    <row r="348" spans="1:2" ht="18.75">
      <c r="A348" s="57"/>
      <c r="B348" s="57"/>
    </row>
    <row r="349" spans="1:2" ht="18.75">
      <c r="A349" s="57"/>
      <c r="B349" s="59"/>
    </row>
    <row r="350" spans="1:2" ht="18.75">
      <c r="A350" s="57"/>
      <c r="B350" s="59"/>
    </row>
    <row r="351" spans="1:2" ht="18.75">
      <c r="A351" s="57"/>
      <c r="B351" s="57"/>
    </row>
    <row r="352" spans="1:2" ht="18.75">
      <c r="A352" s="57"/>
      <c r="B352" s="57"/>
    </row>
    <row r="353" spans="1:2" ht="18.75">
      <c r="A353" s="57"/>
      <c r="B353" s="57"/>
    </row>
    <row r="354" spans="1:2" ht="18.75">
      <c r="A354" s="57"/>
      <c r="B354" s="57"/>
    </row>
    <row r="355" spans="1:2" ht="18.75">
      <c r="A355" s="57"/>
      <c r="B355" s="57"/>
    </row>
    <row r="356" spans="1:2" ht="18.75">
      <c r="A356" s="57"/>
      <c r="B356" s="57"/>
    </row>
    <row r="357" spans="1:2" ht="18.75">
      <c r="A357" s="57"/>
      <c r="B357" s="57"/>
    </row>
    <row r="358" spans="1:2" ht="18.75">
      <c r="A358" s="57"/>
      <c r="B358" s="57"/>
    </row>
    <row r="359" spans="1:2" ht="18.75">
      <c r="A359" s="57"/>
      <c r="B359" s="57"/>
    </row>
    <row r="360" spans="1:2" ht="18.75">
      <c r="A360" s="57"/>
      <c r="B360" s="57"/>
    </row>
    <row r="361" spans="1:2" ht="18.75">
      <c r="A361" s="57"/>
      <c r="B361" s="57"/>
    </row>
    <row r="362" spans="1:2" ht="18.75">
      <c r="A362" s="57"/>
      <c r="B362" s="57"/>
    </row>
    <row r="363" spans="1:2" ht="18.75">
      <c r="A363" s="57"/>
      <c r="B363" s="57"/>
    </row>
    <row r="364" spans="1:2" ht="18.75">
      <c r="A364" s="57"/>
      <c r="B364" s="57"/>
    </row>
    <row r="365" spans="1:2" ht="18.75">
      <c r="A365" s="57"/>
      <c r="B365" s="57"/>
    </row>
    <row r="366" spans="1:2" ht="18.75">
      <c r="A366" s="57"/>
      <c r="B366" s="57"/>
    </row>
    <row r="367" spans="1:2" ht="18.75">
      <c r="A367" s="57"/>
      <c r="B367" s="57"/>
    </row>
    <row r="368" spans="1:2" ht="18.75">
      <c r="A368" s="57"/>
      <c r="B368" s="57"/>
    </row>
    <row r="369" spans="1:2" ht="18.75">
      <c r="A369" s="57"/>
      <c r="B369" s="57"/>
    </row>
    <row r="370" spans="1:2" ht="18.75">
      <c r="A370" s="57"/>
      <c r="B370" s="57"/>
    </row>
    <row r="371" spans="1:2" ht="18.75">
      <c r="A371" s="57"/>
      <c r="B371" s="57"/>
    </row>
    <row r="372" spans="1:2" ht="18.75">
      <c r="A372" s="57"/>
      <c r="B372" s="57"/>
    </row>
    <row r="373" spans="1:2" ht="18.75">
      <c r="A373" s="57"/>
      <c r="B373" s="57"/>
    </row>
    <row r="374" spans="1:2" ht="18.75">
      <c r="A374" s="57"/>
      <c r="B374" s="57"/>
    </row>
    <row r="375" spans="1:2" ht="18.75">
      <c r="A375" s="57"/>
      <c r="B375" s="57"/>
    </row>
    <row r="376" spans="1:2" ht="18.75">
      <c r="A376" s="57"/>
      <c r="B376" s="57"/>
    </row>
    <row r="377" spans="1:2" ht="18.75">
      <c r="A377" s="57"/>
      <c r="B377" s="57"/>
    </row>
    <row r="378" spans="1:2" ht="18.75">
      <c r="A378" s="57"/>
      <c r="B378" s="57"/>
    </row>
    <row r="379" spans="1:2" ht="18.75">
      <c r="A379" s="57"/>
      <c r="B379" s="57"/>
    </row>
    <row r="380" spans="1:2" ht="18.75">
      <c r="A380" s="57"/>
      <c r="B380" s="57"/>
    </row>
    <row r="381" spans="1:2" ht="18.75">
      <c r="A381" s="57"/>
      <c r="B381" s="57"/>
    </row>
    <row r="382" spans="1:2" ht="18.75">
      <c r="A382" s="57"/>
      <c r="B382" s="57"/>
    </row>
    <row r="383" spans="1:2" ht="18.75">
      <c r="A383" s="57"/>
      <c r="B383" s="57"/>
    </row>
    <row r="384" spans="1:2" ht="18.75">
      <c r="A384" s="57"/>
      <c r="B384" s="57"/>
    </row>
    <row r="385" spans="1:2" ht="18.75">
      <c r="A385" s="57"/>
      <c r="B385" s="57"/>
    </row>
    <row r="386" spans="1:2" ht="18.75">
      <c r="A386" s="57"/>
      <c r="B386" s="57"/>
    </row>
    <row r="387" spans="1:2" ht="18.75">
      <c r="A387" s="57"/>
      <c r="B387" s="57"/>
    </row>
    <row r="388" spans="1:2" ht="18.75">
      <c r="A388" s="57"/>
      <c r="B388" s="57"/>
    </row>
    <row r="389" spans="1:2" ht="18.75">
      <c r="A389" s="57"/>
      <c r="B389" s="57"/>
    </row>
    <row r="390" spans="1:2" ht="18.75">
      <c r="A390" s="57"/>
      <c r="B390" s="57"/>
    </row>
    <row r="391" spans="1:2" ht="18.75">
      <c r="A391" s="57"/>
      <c r="B391" s="57"/>
    </row>
    <row r="392" spans="1:2" ht="18.75">
      <c r="A392" s="57"/>
      <c r="B392" s="57"/>
    </row>
    <row r="393" spans="1:2" ht="18.75">
      <c r="A393" s="57"/>
      <c r="B393" s="57"/>
    </row>
    <row r="394" spans="1:2" ht="18.75">
      <c r="A394" s="57"/>
      <c r="B394" s="57"/>
    </row>
    <row r="395" spans="1:2" ht="18.75">
      <c r="A395" s="57"/>
      <c r="B395" s="57"/>
    </row>
    <row r="396" spans="1:2" ht="18.75">
      <c r="A396" s="57"/>
      <c r="B396" s="57"/>
    </row>
    <row r="397" spans="1:2" ht="18.75">
      <c r="A397" s="57"/>
      <c r="B397" s="57"/>
    </row>
    <row r="398" spans="1:2" ht="18.75">
      <c r="A398" s="57"/>
      <c r="B398" s="57"/>
    </row>
    <row r="399" spans="1:2" ht="18.75">
      <c r="A399" s="57"/>
      <c r="B399" s="57"/>
    </row>
    <row r="400" spans="1:2" ht="18.75">
      <c r="A400" s="57"/>
      <c r="B400" s="57"/>
    </row>
    <row r="401" spans="1:2" ht="18.75">
      <c r="A401" s="57"/>
      <c r="B401" s="57"/>
    </row>
    <row r="402" spans="1:2" ht="18.75">
      <c r="A402" s="57"/>
      <c r="B402" s="57"/>
    </row>
    <row r="403" spans="1:2" ht="18.75">
      <c r="A403" s="57"/>
      <c r="B403" s="57"/>
    </row>
    <row r="404" spans="1:2" ht="18.75">
      <c r="A404" s="57"/>
      <c r="B404" s="57"/>
    </row>
    <row r="405" spans="1:2" ht="18.75">
      <c r="A405" s="57"/>
      <c r="B405" s="57"/>
    </row>
    <row r="406" spans="1:2" ht="18.75">
      <c r="A406" s="57"/>
      <c r="B406" s="57"/>
    </row>
    <row r="407" spans="1:2" ht="18.75">
      <c r="A407" s="57"/>
      <c r="B407" s="57"/>
    </row>
    <row r="408" spans="1:2" ht="18.75">
      <c r="A408" s="57"/>
      <c r="B408" s="57"/>
    </row>
    <row r="409" spans="1:2" ht="18.75">
      <c r="A409" s="57"/>
      <c r="B409" s="57"/>
    </row>
    <row r="410" spans="1:2" ht="18.75">
      <c r="A410" s="57"/>
      <c r="B410" s="57"/>
    </row>
    <row r="411" spans="1:2" ht="18.75">
      <c r="A411" s="57"/>
      <c r="B411" s="57"/>
    </row>
    <row r="412" spans="1:2" ht="18.75">
      <c r="A412" s="57"/>
      <c r="B412" s="57"/>
    </row>
    <row r="413" spans="1:2" ht="18.75">
      <c r="A413" s="57"/>
      <c r="B413" s="57"/>
    </row>
    <row r="414" spans="1:2" ht="18.75">
      <c r="A414" s="57"/>
      <c r="B414" s="57"/>
    </row>
    <row r="415" spans="1:2" ht="18.75">
      <c r="A415" s="57"/>
      <c r="B415" s="57"/>
    </row>
    <row r="416" spans="1:2" ht="18.75">
      <c r="A416" s="57"/>
      <c r="B416" s="57"/>
    </row>
    <row r="417" spans="1:2" ht="18.75">
      <c r="A417" s="57"/>
      <c r="B417" s="57"/>
    </row>
    <row r="418" spans="1:2" ht="18.75">
      <c r="A418" s="57"/>
      <c r="B418" s="57"/>
    </row>
    <row r="419" spans="1:2" ht="18.75">
      <c r="A419" s="57"/>
      <c r="B419" s="57"/>
    </row>
    <row r="420" spans="1:2" ht="18.75">
      <c r="A420" s="57"/>
      <c r="B420" s="57"/>
    </row>
    <row r="421" spans="1:2" ht="18.75">
      <c r="A421" s="57"/>
      <c r="B421" s="57"/>
    </row>
    <row r="422" spans="1:2" ht="18.75">
      <c r="A422" s="57"/>
      <c r="B422" s="57"/>
    </row>
    <row r="423" spans="1:2" ht="18.75">
      <c r="A423" s="57"/>
      <c r="B423" s="57"/>
    </row>
    <row r="424" spans="1:2" ht="18.75">
      <c r="A424" s="57"/>
      <c r="B424" s="57"/>
    </row>
    <row r="425" spans="1:2" ht="18.75">
      <c r="A425" s="57"/>
      <c r="B425" s="57"/>
    </row>
    <row r="426" spans="1:2" ht="18.75">
      <c r="A426" s="57"/>
      <c r="B426" s="57"/>
    </row>
    <row r="427" spans="1:2" ht="18.75">
      <c r="A427" s="57"/>
      <c r="B427" s="57"/>
    </row>
    <row r="428" spans="1:2" ht="18.75">
      <c r="A428" s="57"/>
      <c r="B428" s="57"/>
    </row>
    <row r="429" spans="1:2" ht="18.75">
      <c r="A429" s="57"/>
      <c r="B429" s="57"/>
    </row>
    <row r="430" spans="1:2" ht="18.75">
      <c r="A430" s="57"/>
      <c r="B430" s="57"/>
    </row>
    <row r="431" spans="1:2" ht="18.75">
      <c r="A431" s="57"/>
      <c r="B431" s="57"/>
    </row>
    <row r="432" spans="1:2" ht="18.75">
      <c r="A432" s="57"/>
      <c r="B432" s="57"/>
    </row>
    <row r="433" spans="1:2" ht="18.75">
      <c r="A433" s="57"/>
      <c r="B433" s="57"/>
    </row>
    <row r="434" spans="1:2" ht="18.75">
      <c r="A434" s="57"/>
      <c r="B434" s="57"/>
    </row>
    <row r="435" spans="1:2" ht="18.75">
      <c r="A435" s="57"/>
      <c r="B435" s="57"/>
    </row>
    <row r="436" spans="1:2" ht="18.75">
      <c r="A436" s="57"/>
      <c r="B436" s="57"/>
    </row>
    <row r="437" spans="1:2" ht="18.75">
      <c r="A437" s="57"/>
      <c r="B437" s="57"/>
    </row>
    <row r="438" spans="1:2" ht="18.75">
      <c r="A438" s="57"/>
      <c r="B438" s="57"/>
    </row>
    <row r="439" spans="1:2" ht="18.75">
      <c r="A439" s="57"/>
      <c r="B439" s="57"/>
    </row>
    <row r="440" spans="1:2" ht="18.75">
      <c r="A440" s="57"/>
      <c r="B440" s="57"/>
    </row>
    <row r="441" spans="1:2" ht="18.75">
      <c r="A441" s="57"/>
      <c r="B441" s="57"/>
    </row>
    <row r="442" spans="1:2" ht="18.75">
      <c r="A442" s="57"/>
      <c r="B442" s="57"/>
    </row>
    <row r="443" spans="1:2" ht="18.75">
      <c r="A443" s="57"/>
      <c r="B443" s="57"/>
    </row>
    <row r="444" spans="1:2" ht="18.75">
      <c r="A444" s="57"/>
      <c r="B444" s="57"/>
    </row>
    <row r="445" spans="1:2" ht="18.75">
      <c r="A445" s="57"/>
      <c r="B445" s="59"/>
    </row>
    <row r="446" spans="1:2" ht="18.75">
      <c r="A446" s="57"/>
      <c r="B446" s="59"/>
    </row>
    <row r="447" spans="1:2" ht="18.75">
      <c r="A447" s="57"/>
      <c r="B447" s="59"/>
    </row>
    <row r="448" spans="1:2" ht="18.75">
      <c r="A448" s="57"/>
      <c r="B448" s="59"/>
    </row>
    <row r="449" spans="1:2" ht="18.75">
      <c r="A449" s="57"/>
      <c r="B449" s="57"/>
    </row>
    <row r="450" spans="1:2" ht="18.75">
      <c r="A450" s="57"/>
      <c r="B450" s="57"/>
    </row>
    <row r="451" spans="1:2" ht="18.75">
      <c r="A451" s="57"/>
      <c r="B451" s="57"/>
    </row>
    <row r="452" spans="1:2" ht="18.75">
      <c r="A452" s="57"/>
      <c r="B452" s="57"/>
    </row>
    <row r="453" spans="1:2" ht="18.75">
      <c r="A453" s="57"/>
      <c r="B453" s="57"/>
    </row>
    <row r="454" spans="1:2" ht="18.75">
      <c r="A454" s="57"/>
      <c r="B454" s="57"/>
    </row>
    <row r="455" spans="1:2" ht="18.75">
      <c r="A455" s="57"/>
      <c r="B455" s="57"/>
    </row>
    <row r="456" spans="1:2" ht="18.75">
      <c r="A456" s="57"/>
      <c r="B456" s="57"/>
    </row>
    <row r="457" spans="1:2" ht="18.75">
      <c r="A457" s="57"/>
      <c r="B457" s="57"/>
    </row>
    <row r="458" spans="1:2" ht="18.75">
      <c r="A458" s="57"/>
      <c r="B458" s="57"/>
    </row>
    <row r="459" spans="1:2" ht="18.75">
      <c r="A459" s="57"/>
      <c r="B459" s="57"/>
    </row>
    <row r="460" spans="1:2" ht="18.75">
      <c r="A460" s="57"/>
      <c r="B460" s="59"/>
    </row>
    <row r="461" spans="1:2" ht="18.75">
      <c r="A461" s="57"/>
      <c r="B461" s="57"/>
    </row>
    <row r="462" spans="1:2" ht="18.75">
      <c r="A462" s="57"/>
      <c r="B462" s="57"/>
    </row>
    <row r="463" spans="1:2" ht="18.75">
      <c r="A463" s="57"/>
      <c r="B463" s="57"/>
    </row>
    <row r="464" spans="1:2" ht="18.75">
      <c r="A464" s="57"/>
      <c r="B464" s="57"/>
    </row>
    <row r="465" spans="1:2" ht="18.75">
      <c r="A465" s="57"/>
      <c r="B465" s="57"/>
    </row>
    <row r="466" spans="1:2" ht="18.75">
      <c r="A466" s="57"/>
      <c r="B466" s="57"/>
    </row>
    <row r="467" spans="1:2" ht="18.75">
      <c r="A467" s="57"/>
      <c r="B467" s="57"/>
    </row>
    <row r="468" spans="1:2" ht="18.75">
      <c r="A468" s="57"/>
      <c r="B468" s="57"/>
    </row>
    <row r="469" spans="1:2" ht="18.75">
      <c r="A469" s="57"/>
      <c r="B469" s="57"/>
    </row>
    <row r="470" spans="1:2" ht="18.75">
      <c r="A470" s="57"/>
      <c r="B470" s="57"/>
    </row>
    <row r="471" spans="1:2" ht="18.75">
      <c r="A471" s="57"/>
      <c r="B471" s="57"/>
    </row>
    <row r="472" spans="1:2" ht="18.75">
      <c r="A472" s="57"/>
      <c r="B472" s="57"/>
    </row>
    <row r="473" spans="1:2" ht="18.75">
      <c r="A473" s="57"/>
      <c r="B473" s="57"/>
    </row>
    <row r="474" spans="1:2" ht="18.75">
      <c r="A474" s="57"/>
      <c r="B474" s="57"/>
    </row>
    <row r="475" spans="1:2" ht="18.75">
      <c r="A475" s="57"/>
      <c r="B475" s="57"/>
    </row>
    <row r="476" spans="1:2" ht="18.75">
      <c r="A476" s="57"/>
      <c r="B476" s="57"/>
    </row>
    <row r="477" spans="1:2" ht="18.75">
      <c r="A477" s="57"/>
      <c r="B477" s="57"/>
    </row>
    <row r="478" spans="1:2" ht="18.75">
      <c r="A478" s="57"/>
      <c r="B478" s="57"/>
    </row>
    <row r="479" spans="1:2" ht="18.75">
      <c r="A479" s="57"/>
      <c r="B479" s="57"/>
    </row>
    <row r="480" spans="1:2" ht="18.75">
      <c r="A480" s="57"/>
      <c r="B480" s="57"/>
    </row>
    <row r="481" spans="1:2" ht="18.75">
      <c r="A481" s="57"/>
      <c r="B481" s="57"/>
    </row>
    <row r="482" spans="1:2" ht="18.75">
      <c r="A482" s="57"/>
      <c r="B482" s="57"/>
    </row>
    <row r="483" spans="1:2" ht="18.75">
      <c r="A483" s="57"/>
      <c r="B483" s="57"/>
    </row>
    <row r="484" spans="1:2" ht="18.75">
      <c r="A484" s="57"/>
      <c r="B484" s="57"/>
    </row>
    <row r="485" spans="1:2" ht="18.75">
      <c r="A485" s="57"/>
      <c r="B485" s="57"/>
    </row>
    <row r="486" spans="1:2" ht="18.75">
      <c r="A486" s="57"/>
      <c r="B486" s="57"/>
    </row>
    <row r="487" spans="1:2" ht="18.75">
      <c r="A487" s="57"/>
      <c r="B487" s="57"/>
    </row>
    <row r="488" spans="1:2" ht="18.75">
      <c r="A488" s="57"/>
      <c r="B488" s="57"/>
    </row>
    <row r="489" spans="1:2" ht="18.75">
      <c r="A489" s="57"/>
      <c r="B489" s="57"/>
    </row>
    <row r="490" spans="1:2" ht="18.75">
      <c r="A490" s="57"/>
      <c r="B490" s="57"/>
    </row>
    <row r="491" spans="1:2" ht="18.75">
      <c r="A491" s="57"/>
      <c r="B491" s="57"/>
    </row>
    <row r="492" spans="1:2" ht="18.75">
      <c r="A492" s="57"/>
      <c r="B492" s="57"/>
    </row>
    <row r="493" spans="1:2" ht="18.75">
      <c r="A493" s="57"/>
      <c r="B493" s="57"/>
    </row>
    <row r="494" spans="1:2" ht="18.75">
      <c r="A494" s="57"/>
      <c r="B494" s="57"/>
    </row>
    <row r="495" spans="1:2" ht="18.75">
      <c r="A495" s="57"/>
      <c r="B495" s="57"/>
    </row>
    <row r="496" spans="1:2" ht="18.75">
      <c r="A496" s="57"/>
      <c r="B496" s="57"/>
    </row>
    <row r="497" spans="1:2" ht="18.75">
      <c r="A497" s="57"/>
      <c r="B497" s="57"/>
    </row>
    <row r="498" spans="1:2" ht="18.75">
      <c r="A498" s="57"/>
      <c r="B498" s="57"/>
    </row>
    <row r="499" spans="1:2" ht="18.75">
      <c r="A499" s="57"/>
      <c r="B499" s="57"/>
    </row>
    <row r="500" spans="1:2" ht="18.75">
      <c r="A500" s="57"/>
      <c r="B500" s="57"/>
    </row>
    <row r="501" spans="1:2" ht="18.75">
      <c r="A501" s="57"/>
      <c r="B501" s="57"/>
    </row>
    <row r="502" spans="1:2" ht="18.75">
      <c r="A502" s="57"/>
      <c r="B502" s="57"/>
    </row>
    <row r="503" spans="1:2" ht="18.75">
      <c r="A503" s="57"/>
      <c r="B503" s="57"/>
    </row>
    <row r="504" spans="1:2" ht="18.75">
      <c r="A504" s="57"/>
      <c r="B504" s="59"/>
    </row>
    <row r="505" spans="1:2" ht="18.75">
      <c r="A505" s="57"/>
      <c r="B505" s="59"/>
    </row>
    <row r="506" spans="1:2" ht="18.75">
      <c r="A506" s="57"/>
      <c r="B506" s="57"/>
    </row>
    <row r="507" spans="1:2" ht="18.75">
      <c r="A507" s="57"/>
      <c r="B507" s="57"/>
    </row>
    <row r="508" spans="1:2" ht="18.75">
      <c r="A508" s="57"/>
      <c r="B508" s="59"/>
    </row>
    <row r="509" spans="1:2" ht="18.75">
      <c r="A509" s="57"/>
      <c r="B509" s="59"/>
    </row>
    <row r="510" spans="1:2" ht="18.75">
      <c r="A510" s="57"/>
      <c r="B510" s="59"/>
    </row>
    <row r="511" spans="1:2" ht="18.75">
      <c r="A511" s="57"/>
      <c r="B511" s="59"/>
    </row>
    <row r="512" spans="1:2" ht="18.75">
      <c r="A512" s="57"/>
      <c r="B512" s="59"/>
    </row>
    <row r="513" spans="1:2" ht="18.75">
      <c r="A513" s="57"/>
      <c r="B513" s="57"/>
    </row>
    <row r="514" spans="1:2" ht="18.75">
      <c r="A514" s="57"/>
      <c r="B514" s="59"/>
    </row>
    <row r="515" spans="1:2" ht="18.75">
      <c r="A515" s="57"/>
      <c r="B515" s="59"/>
    </row>
    <row r="516" spans="1:2" ht="18.75">
      <c r="A516" s="57"/>
      <c r="B516" s="59"/>
    </row>
    <row r="517" spans="1:2" ht="18.75">
      <c r="A517" s="57"/>
      <c r="B517" s="59"/>
    </row>
    <row r="518" spans="1:2" ht="18.75">
      <c r="A518" s="57"/>
      <c r="B518" s="59"/>
    </row>
    <row r="519" spans="1:2" ht="18.75">
      <c r="A519" s="57"/>
      <c r="B519" s="59"/>
    </row>
    <row r="520" spans="1:2" ht="18.75">
      <c r="A520" s="57"/>
      <c r="B520" s="59"/>
    </row>
  </sheetData>
  <mergeCells count="2">
    <mergeCell ref="C14:G14"/>
    <mergeCell ref="C15:G27"/>
  </mergeCells>
  <phoneticPr fontId="1" type="noConversion"/>
  <conditionalFormatting sqref="B2:B9">
    <cfRule type="duplicateValues" dxfId="16" priority="4"/>
  </conditionalFormatting>
  <conditionalFormatting sqref="B10:B17">
    <cfRule type="duplicateValues" dxfId="15" priority="3"/>
  </conditionalFormatting>
  <conditionalFormatting sqref="B18:B25">
    <cfRule type="duplicateValues" dxfId="14" priority="2"/>
  </conditionalFormatting>
  <conditionalFormatting sqref="B26:B33">
    <cfRule type="duplicateValues" dxfId="13" priority="1"/>
  </conditionalFormatting>
  <conditionalFormatting sqref="B34:B500">
    <cfRule type="duplicateValues" dxfId="12" priority="13"/>
  </conditionalFormatting>
  <conditionalFormatting sqref="B34:B519">
    <cfRule type="duplicateValues" dxfId="11" priority="22"/>
  </conditionalFormatting>
  <conditionalFormatting sqref="C15:G27">
    <cfRule type="cellIs" dxfId="10" priority="23" operator="equal">
      <formula>"PASS"</formula>
    </cfRule>
    <cfRule type="cellIs" dxfId="9" priority="24" operator="equal">
      <formula>TRUE</formula>
    </cfRule>
    <cfRule type="cellIs" dxfId="8" priority="25" operator="equal">
      <formula>"FAIL"</formula>
    </cfRule>
  </conditionalFormatting>
  <conditionalFormatting sqref="J8:K11">
    <cfRule type="cellIs" dxfId="7" priority="20" operator="equal">
      <formula>FALSE</formula>
    </cfRule>
    <cfRule type="cellIs" dxfId="6" priority="21" operator="equal">
      <formula>TRUE</formula>
    </cfRule>
  </conditionalFormatting>
  <conditionalFormatting sqref="N8:O11">
    <cfRule type="cellIs" dxfId="5" priority="18" operator="equal">
      <formula>FALSE</formula>
    </cfRule>
    <cfRule type="cellIs" dxfId="4" priority="19" operator="equal">
      <formula>TRUE</formula>
    </cfRule>
  </conditionalFormatting>
  <conditionalFormatting sqref="R8:S11">
    <cfRule type="cellIs" dxfId="3" priority="16" operator="equal">
      <formula>FALSE</formula>
    </cfRule>
    <cfRule type="cellIs" dxfId="2" priority="17" operator="equal">
      <formula>TRUE</formula>
    </cfRule>
  </conditionalFormatting>
  <conditionalFormatting sqref="V8:W11">
    <cfRule type="cellIs" dxfId="1" priority="14" operator="equal">
      <formula>FALSE</formula>
    </cfRule>
    <cfRule type="cellIs" dxfId="0" priority="15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9071CJ channels</vt:lpstr>
      <vt:lpstr>DSIO</vt:lpstr>
      <vt:lpstr>DUT DSIO RULE CHECK</vt:lpstr>
      <vt:lpstr>GOLDEN DSIO RULE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2026-09-27T08:39:20Z</dcterms:modified>
</cp:coreProperties>
</file>