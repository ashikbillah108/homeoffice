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51196F13-6AD0-C1B8-E2B4-A1F9AE17003E}"/>
  <workbookPr filterPrivacy="1" codeName="ThisWorkbook"/>
  <xr:revisionPtr revIDLastSave="0" documentId="13_ncr:1_{353972EF-7713-49B7-B180-5A898414F7FE}" xr6:coauthVersionLast="47" xr6:coauthVersionMax="47" xr10:uidLastSave="{00000000-0000-0000-0000-000000000000}"/>
  <bookViews>
    <workbookView xWindow="-28920" yWindow="615" windowWidth="29040" windowHeight="15720" activeTab="4" xr2:uid="{00000000-000D-0000-FFFF-FFFF00000000}"/>
  </bookViews>
  <sheets>
    <sheet name="data" sheetId="12" r:id="rId1"/>
    <sheet name="SCAN CHAIN(Y1)" sheetId="23" r:id="rId2"/>
    <sheet name="SCAN CHAIN FORCE(5mil)" sheetId="27" r:id="rId3"/>
    <sheet name="TMU" sheetId="24" r:id="rId4"/>
    <sheet name="TMU_others" sheetId="28" r:id="rId5"/>
  </sheets>
  <definedNames>
    <definedName name="_xlnm._FilterDatabase" localSheetId="1" hidden="1">'SCAN CHAIN(Y1)'!$A$10:$Y$223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7" i="27" l="1"/>
  <c r="F48" i="27"/>
  <c r="F42" i="27"/>
  <c r="F43" i="27"/>
  <c r="F37" i="27"/>
  <c r="F38" i="27"/>
  <c r="F32" i="27"/>
  <c r="F33" i="27"/>
  <c r="F27" i="27"/>
  <c r="F28" i="27"/>
  <c r="F22" i="27"/>
  <c r="F23" i="27"/>
  <c r="F17" i="27"/>
  <c r="F18" i="27"/>
  <c r="F12" i="27"/>
  <c r="F13" i="27"/>
  <c r="D47" i="27"/>
  <c r="D48" i="27"/>
  <c r="D42" i="27"/>
  <c r="D43" i="27"/>
  <c r="D37" i="27"/>
  <c r="D38" i="27"/>
  <c r="D32" i="27"/>
  <c r="D33" i="27"/>
  <c r="D27" i="27"/>
  <c r="D28" i="27"/>
  <c r="D22" i="27"/>
  <c r="D23" i="27"/>
  <c r="D17" i="27"/>
  <c r="D18" i="27"/>
  <c r="D12" i="27"/>
  <c r="D13" i="27"/>
  <c r="G32" i="27" l="1"/>
  <c r="G38" i="27"/>
  <c r="G12" i="27"/>
  <c r="G13" i="27"/>
  <c r="G43" i="27"/>
  <c r="G47" i="27"/>
  <c r="G18" i="27"/>
  <c r="G17" i="27"/>
  <c r="G28" i="27"/>
  <c r="G27" i="27"/>
  <c r="G33" i="27"/>
  <c r="G37" i="27"/>
  <c r="G48" i="27"/>
  <c r="G22" i="27"/>
  <c r="G23" i="27"/>
  <c r="G42" i="27"/>
  <c r="F50" i="27"/>
  <c r="D50" i="27"/>
  <c r="F49" i="27"/>
  <c r="D49" i="27"/>
  <c r="F46" i="27"/>
  <c r="D46" i="27"/>
  <c r="F45" i="27"/>
  <c r="D45" i="27"/>
  <c r="F44" i="27"/>
  <c r="D44" i="27"/>
  <c r="F41" i="27"/>
  <c r="D41" i="27"/>
  <c r="F40" i="27"/>
  <c r="D40" i="27"/>
  <c r="F39" i="27"/>
  <c r="D39" i="27"/>
  <c r="F36" i="27"/>
  <c r="D36" i="27"/>
  <c r="F35" i="27"/>
  <c r="D35" i="27"/>
  <c r="F34" i="27"/>
  <c r="D34" i="27"/>
  <c r="F31" i="27"/>
  <c r="D31" i="27"/>
  <c r="F30" i="27"/>
  <c r="D30" i="27"/>
  <c r="F29" i="27"/>
  <c r="D29" i="27"/>
  <c r="F26" i="27"/>
  <c r="D26" i="27"/>
  <c r="F25" i="27"/>
  <c r="D25" i="27"/>
  <c r="F24" i="27"/>
  <c r="D24" i="27"/>
  <c r="F21" i="27"/>
  <c r="D21" i="27"/>
  <c r="F20" i="27"/>
  <c r="D20" i="27"/>
  <c r="F19" i="27"/>
  <c r="D19" i="27"/>
  <c r="F16" i="27"/>
  <c r="D16" i="27"/>
  <c r="G21" i="27" l="1"/>
  <c r="G31" i="27"/>
  <c r="G41" i="27"/>
  <c r="G24" i="27"/>
  <c r="G44" i="27"/>
  <c r="G25" i="27"/>
  <c r="G35" i="27"/>
  <c r="G45" i="27"/>
  <c r="G16" i="27"/>
  <c r="G26" i="27"/>
  <c r="G36" i="27"/>
  <c r="G46" i="27"/>
  <c r="G19" i="27"/>
  <c r="G29" i="27"/>
  <c r="G40" i="27"/>
  <c r="G50" i="27"/>
  <c r="G34" i="27"/>
  <c r="G49" i="27"/>
  <c r="G30" i="27"/>
  <c r="G39" i="27"/>
  <c r="G20" i="27"/>
  <c r="F79" i="23"/>
  <c r="D79" i="23"/>
  <c r="H74" i="23"/>
  <c r="F74" i="23"/>
  <c r="D74" i="23"/>
  <c r="H73" i="23"/>
  <c r="F73" i="23"/>
  <c r="D73" i="23"/>
  <c r="H72" i="23"/>
  <c r="F72" i="23"/>
  <c r="D72" i="23"/>
  <c r="H71" i="23"/>
  <c r="F71" i="23"/>
  <c r="D71" i="23"/>
  <c r="H70" i="23"/>
  <c r="F70" i="23"/>
  <c r="D70" i="23"/>
  <c r="H69" i="23"/>
  <c r="F69" i="23"/>
  <c r="D69" i="23"/>
  <c r="H68" i="23"/>
  <c r="F68" i="23"/>
  <c r="D68" i="23"/>
  <c r="H67" i="23"/>
  <c r="F67" i="23"/>
  <c r="D67" i="23"/>
  <c r="H66" i="23"/>
  <c r="F66" i="23"/>
  <c r="D66" i="23"/>
  <c r="H65" i="23"/>
  <c r="F65" i="23"/>
  <c r="D65" i="23"/>
  <c r="H64" i="23"/>
  <c r="F64" i="23"/>
  <c r="D64" i="23"/>
  <c r="H63" i="23"/>
  <c r="F63" i="23"/>
  <c r="D63" i="23"/>
  <c r="H62" i="23"/>
  <c r="F62" i="23"/>
  <c r="D62" i="23"/>
  <c r="H61" i="23"/>
  <c r="F61" i="23"/>
  <c r="D61" i="23"/>
  <c r="H60" i="23"/>
  <c r="F60" i="23"/>
  <c r="D60" i="23"/>
  <c r="H59" i="23"/>
  <c r="F59" i="23"/>
  <c r="D59" i="23"/>
  <c r="H58" i="23"/>
  <c r="F58" i="23"/>
  <c r="D58" i="23"/>
  <c r="H57" i="23"/>
  <c r="F57" i="23"/>
  <c r="D57" i="23"/>
  <c r="H56" i="23"/>
  <c r="F56" i="23"/>
  <c r="D56" i="23"/>
  <c r="H55" i="23"/>
  <c r="F55" i="23"/>
  <c r="D55" i="23"/>
  <c r="H54" i="23"/>
  <c r="F54" i="23"/>
  <c r="D54" i="23"/>
  <c r="H53" i="23"/>
  <c r="F53" i="23"/>
  <c r="D53" i="23"/>
  <c r="H52" i="23"/>
  <c r="F52" i="23"/>
  <c r="D52" i="23"/>
  <c r="H51" i="23"/>
  <c r="F51" i="23"/>
  <c r="D51" i="23"/>
  <c r="H50" i="23"/>
  <c r="F50" i="23"/>
  <c r="D50" i="23"/>
  <c r="H49" i="23"/>
  <c r="F49" i="23"/>
  <c r="D49" i="23"/>
  <c r="H48" i="23"/>
  <c r="F48" i="23"/>
  <c r="D48" i="23"/>
  <c r="H47" i="23"/>
  <c r="F47" i="23"/>
  <c r="D47" i="23"/>
  <c r="H46" i="23"/>
  <c r="F46" i="23"/>
  <c r="D46" i="23"/>
  <c r="H45" i="23"/>
  <c r="F45" i="23"/>
  <c r="D45" i="23"/>
  <c r="H44" i="23"/>
  <c r="F44" i="23"/>
  <c r="D44" i="23"/>
  <c r="H43" i="23"/>
  <c r="F43" i="23"/>
  <c r="D43" i="23"/>
  <c r="H42" i="23"/>
  <c r="F42" i="23"/>
  <c r="D42" i="23"/>
  <c r="H41" i="23"/>
  <c r="F41" i="23"/>
  <c r="D41" i="23"/>
  <c r="H40" i="23"/>
  <c r="F40" i="23"/>
  <c r="D40" i="23"/>
  <c r="H39" i="23"/>
  <c r="F39" i="23"/>
  <c r="D39" i="23"/>
  <c r="H38" i="23"/>
  <c r="F38" i="23"/>
  <c r="D38" i="23"/>
  <c r="H37" i="23"/>
  <c r="F37" i="23"/>
  <c r="D37" i="23"/>
  <c r="H36" i="23"/>
  <c r="F36" i="23"/>
  <c r="D36" i="23"/>
  <c r="H35" i="23"/>
  <c r="F35" i="23"/>
  <c r="D35" i="23"/>
  <c r="H34" i="23"/>
  <c r="F34" i="23"/>
  <c r="D34" i="23"/>
  <c r="H33" i="23"/>
  <c r="F33" i="23"/>
  <c r="D33" i="23"/>
  <c r="H32" i="23"/>
  <c r="F32" i="23"/>
  <c r="D32" i="23"/>
  <c r="H31" i="23"/>
  <c r="F31" i="23"/>
  <c r="D31" i="23"/>
  <c r="H30" i="23"/>
  <c r="F30" i="23"/>
  <c r="D30" i="23"/>
  <c r="H29" i="23"/>
  <c r="F29" i="23"/>
  <c r="D29" i="23"/>
  <c r="H28" i="23"/>
  <c r="F28" i="23"/>
  <c r="D28" i="23"/>
  <c r="H27" i="23"/>
  <c r="F27" i="23"/>
  <c r="D27" i="23"/>
  <c r="H26" i="23"/>
  <c r="F26" i="23"/>
  <c r="D26" i="23"/>
  <c r="H25" i="23"/>
  <c r="F25" i="23"/>
  <c r="D25" i="23"/>
  <c r="H24" i="23"/>
  <c r="F24" i="23"/>
  <c r="D24" i="23"/>
  <c r="H23" i="23"/>
  <c r="F23" i="23"/>
  <c r="D23" i="23"/>
  <c r="H22" i="23"/>
  <c r="F22" i="23"/>
  <c r="D22" i="23"/>
  <c r="H21" i="23"/>
  <c r="F21" i="23"/>
  <c r="D21" i="23"/>
  <c r="H20" i="23"/>
  <c r="F20" i="23"/>
  <c r="D20" i="23"/>
  <c r="H19" i="23"/>
  <c r="F19" i="23"/>
  <c r="D19" i="23"/>
  <c r="K26" i="28"/>
  <c r="M26" i="28"/>
  <c r="K27" i="28"/>
  <c r="M27" i="28"/>
  <c r="K28" i="28"/>
  <c r="M28" i="28"/>
  <c r="K29" i="28"/>
  <c r="M29" i="28"/>
  <c r="K30" i="28"/>
  <c r="M30" i="28"/>
  <c r="K31" i="28"/>
  <c r="M31" i="28"/>
  <c r="K32" i="28"/>
  <c r="M32" i="28"/>
  <c r="K33" i="28"/>
  <c r="M33" i="28"/>
  <c r="M50" i="28"/>
  <c r="K50" i="28"/>
  <c r="M17" i="28"/>
  <c r="K17" i="28"/>
  <c r="F50" i="28"/>
  <c r="D50" i="28"/>
  <c r="F33" i="28"/>
  <c r="D33" i="28"/>
  <c r="F17" i="28"/>
  <c r="D17" i="28"/>
  <c r="M49" i="28"/>
  <c r="K49" i="28"/>
  <c r="M16" i="28"/>
  <c r="K16" i="28"/>
  <c r="F49" i="28"/>
  <c r="D49" i="28"/>
  <c r="F32" i="28"/>
  <c r="D32" i="28"/>
  <c r="F16" i="28"/>
  <c r="D16" i="28"/>
  <c r="M48" i="28"/>
  <c r="K48" i="28"/>
  <c r="M15" i="28"/>
  <c r="K15" i="28"/>
  <c r="F48" i="28"/>
  <c r="D48" i="28"/>
  <c r="F31" i="28"/>
  <c r="D31" i="28"/>
  <c r="F15" i="28"/>
  <c r="D15" i="28"/>
  <c r="M47" i="28"/>
  <c r="K47" i="28"/>
  <c r="M14" i="28"/>
  <c r="K14" i="28"/>
  <c r="F47" i="28"/>
  <c r="D47" i="28"/>
  <c r="F30" i="28"/>
  <c r="D30" i="28"/>
  <c r="F14" i="28"/>
  <c r="D14" i="28"/>
  <c r="M46" i="28"/>
  <c r="K46" i="28"/>
  <c r="M13" i="28"/>
  <c r="K13" i="28"/>
  <c r="F46" i="28"/>
  <c r="D46" i="28"/>
  <c r="F29" i="28"/>
  <c r="D29" i="28"/>
  <c r="F13" i="28"/>
  <c r="D13" i="28"/>
  <c r="M45" i="28"/>
  <c r="K45" i="28"/>
  <c r="M12" i="28"/>
  <c r="K12" i="28"/>
  <c r="F45" i="28"/>
  <c r="D45" i="28"/>
  <c r="F28" i="28"/>
  <c r="D28" i="28"/>
  <c r="F12" i="28"/>
  <c r="D12" i="28"/>
  <c r="M44" i="28"/>
  <c r="K44" i="28"/>
  <c r="M11" i="28"/>
  <c r="K11" i="28"/>
  <c r="F44" i="28"/>
  <c r="D44" i="28"/>
  <c r="F27" i="28"/>
  <c r="D27" i="28"/>
  <c r="F11" i="28"/>
  <c r="D11" i="28"/>
  <c r="K43" i="28"/>
  <c r="K10" i="28"/>
  <c r="D43" i="28"/>
  <c r="D26" i="28"/>
  <c r="D10" i="28"/>
  <c r="K19" i="28" l="1"/>
  <c r="D51" i="28"/>
  <c r="M34" i="28"/>
  <c r="K34" i="28"/>
  <c r="I34" i="23"/>
  <c r="I54" i="23"/>
  <c r="I35" i="23"/>
  <c r="I25" i="23"/>
  <c r="I45" i="23"/>
  <c r="I65" i="23"/>
  <c r="I21" i="23"/>
  <c r="I24" i="23"/>
  <c r="I41" i="23"/>
  <c r="K52" i="28"/>
  <c r="I28" i="23"/>
  <c r="I48" i="23"/>
  <c r="I55" i="23"/>
  <c r="J55" i="23" s="1"/>
  <c r="K55" i="23" s="1"/>
  <c r="I22" i="23"/>
  <c r="I42" i="23"/>
  <c r="I62" i="23"/>
  <c r="I29" i="23"/>
  <c r="I36" i="23"/>
  <c r="I23" i="23"/>
  <c r="J23" i="23" s="1"/>
  <c r="K23" i="23" s="1"/>
  <c r="I63" i="23"/>
  <c r="J63" i="23" s="1"/>
  <c r="K63" i="23" s="1"/>
  <c r="I30" i="23"/>
  <c r="I70" i="23"/>
  <c r="I37" i="23"/>
  <c r="I31" i="23"/>
  <c r="J31" i="23" s="1"/>
  <c r="K31" i="23" s="1"/>
  <c r="I51" i="23"/>
  <c r="I71" i="23"/>
  <c r="J71" i="23" s="1"/>
  <c r="K71" i="23" s="1"/>
  <c r="I38" i="23"/>
  <c r="M35" i="28"/>
  <c r="K35" i="28"/>
  <c r="I32" i="23"/>
  <c r="I19" i="23"/>
  <c r="I39" i="23"/>
  <c r="J39" i="23" s="1"/>
  <c r="K39" i="23" s="1"/>
  <c r="I26" i="23"/>
  <c r="I46" i="23"/>
  <c r="I33" i="23"/>
  <c r="D19" i="28"/>
  <c r="I20" i="23"/>
  <c r="I40" i="23"/>
  <c r="D35" i="28"/>
  <c r="I27" i="23"/>
  <c r="I47" i="23"/>
  <c r="I52" i="23"/>
  <c r="I72" i="23"/>
  <c r="I59" i="23"/>
  <c r="I66" i="23"/>
  <c r="I53" i="23"/>
  <c r="I73" i="23"/>
  <c r="I60" i="23"/>
  <c r="I67" i="23"/>
  <c r="I74" i="23"/>
  <c r="I61" i="23"/>
  <c r="I68" i="23"/>
  <c r="D18" i="28"/>
  <c r="I49" i="23"/>
  <c r="I69" i="23"/>
  <c r="I56" i="23"/>
  <c r="I43" i="23"/>
  <c r="I50" i="23"/>
  <c r="I57" i="23"/>
  <c r="I44" i="23"/>
  <c r="I64" i="23"/>
  <c r="I58" i="23"/>
  <c r="K51" i="28"/>
  <c r="K18" i="28"/>
  <c r="D52" i="28"/>
  <c r="D34" i="28"/>
  <c r="D53" i="28" l="1"/>
  <c r="D55" i="28" s="1"/>
  <c r="K20" i="28"/>
  <c r="K22" i="28" s="1"/>
  <c r="K36" i="28"/>
  <c r="K38" i="28" s="1"/>
  <c r="M36" i="28"/>
  <c r="M38" i="28" s="1"/>
  <c r="D20" i="28"/>
  <c r="D22" i="28" s="1"/>
  <c r="D36" i="28"/>
  <c r="D38" i="28" s="1"/>
  <c r="K53" i="28"/>
  <c r="K55" i="28" s="1"/>
  <c r="R11" i="24"/>
  <c r="O11" i="24"/>
  <c r="L11" i="24"/>
  <c r="I34" i="24"/>
  <c r="I33" i="24"/>
  <c r="I32" i="24"/>
  <c r="I31" i="24"/>
  <c r="I30" i="24"/>
  <c r="I29" i="24"/>
  <c r="I28" i="24"/>
  <c r="I27" i="24"/>
  <c r="I17" i="24"/>
  <c r="I16" i="24"/>
  <c r="I15" i="24"/>
  <c r="I14" i="24"/>
  <c r="I13" i="24"/>
  <c r="I12" i="24"/>
  <c r="I11" i="24"/>
  <c r="I10" i="24"/>
  <c r="R34" i="24"/>
  <c r="O34" i="24"/>
  <c r="L34" i="24"/>
  <c r="F34" i="24"/>
  <c r="C34" i="24"/>
  <c r="R17" i="24"/>
  <c r="O17" i="24"/>
  <c r="L17" i="24"/>
  <c r="F17" i="24"/>
  <c r="C17" i="24"/>
  <c r="R33" i="24"/>
  <c r="O33" i="24"/>
  <c r="L33" i="24"/>
  <c r="F33" i="24"/>
  <c r="C33" i="24"/>
  <c r="R16" i="24"/>
  <c r="O16" i="24"/>
  <c r="L16" i="24"/>
  <c r="F16" i="24"/>
  <c r="C16" i="24"/>
  <c r="R32" i="24"/>
  <c r="O32" i="24"/>
  <c r="L32" i="24"/>
  <c r="F32" i="24"/>
  <c r="C32" i="24"/>
  <c r="R15" i="24"/>
  <c r="O15" i="24"/>
  <c r="L15" i="24"/>
  <c r="F15" i="24"/>
  <c r="C15" i="24"/>
  <c r="R31" i="24"/>
  <c r="O31" i="24"/>
  <c r="L31" i="24"/>
  <c r="F31" i="24"/>
  <c r="C31" i="24"/>
  <c r="R14" i="24"/>
  <c r="O14" i="24"/>
  <c r="L14" i="24"/>
  <c r="F14" i="24"/>
  <c r="C14" i="24"/>
  <c r="R30" i="24"/>
  <c r="O30" i="24"/>
  <c r="L30" i="24"/>
  <c r="F30" i="24"/>
  <c r="C30" i="24"/>
  <c r="R13" i="24"/>
  <c r="O13" i="24"/>
  <c r="L13" i="24"/>
  <c r="F13" i="24"/>
  <c r="C13" i="24"/>
  <c r="R29" i="24"/>
  <c r="O29" i="24"/>
  <c r="L29" i="24"/>
  <c r="F29" i="24"/>
  <c r="C29" i="24"/>
  <c r="R12" i="24"/>
  <c r="O12" i="24"/>
  <c r="L12" i="24"/>
  <c r="F12" i="24"/>
  <c r="C12" i="24"/>
  <c r="R28" i="24"/>
  <c r="O28" i="24"/>
  <c r="L28" i="24"/>
  <c r="F28" i="24"/>
  <c r="C28" i="24"/>
  <c r="F11" i="24"/>
  <c r="C11" i="24"/>
  <c r="F10" i="28"/>
  <c r="F26" i="28"/>
  <c r="F43" i="28"/>
  <c r="M10" i="28"/>
  <c r="M43" i="28"/>
  <c r="R27" i="24"/>
  <c r="O27" i="24"/>
  <c r="L27" i="24"/>
  <c r="F27" i="24"/>
  <c r="C27" i="24"/>
  <c r="R10" i="24"/>
  <c r="O10" i="24"/>
  <c r="L10" i="24"/>
  <c r="F15" i="27"/>
  <c r="D15" i="27"/>
  <c r="D14" i="27"/>
  <c r="D11" i="27"/>
  <c r="L36" i="24" l="1"/>
  <c r="R19" i="24"/>
  <c r="F35" i="24"/>
  <c r="R36" i="24"/>
  <c r="I36" i="24"/>
  <c r="G15" i="27"/>
  <c r="O36" i="24"/>
  <c r="L19" i="24"/>
  <c r="I18" i="24"/>
  <c r="O19" i="24"/>
  <c r="D51" i="27"/>
  <c r="D52" i="27"/>
  <c r="F19" i="28"/>
  <c r="F18" i="28"/>
  <c r="F20" i="28" s="1"/>
  <c r="F22" i="28" s="1"/>
  <c r="M52" i="28"/>
  <c r="M51" i="28"/>
  <c r="M18" i="28"/>
  <c r="M19" i="28"/>
  <c r="F52" i="28"/>
  <c r="F51" i="28"/>
  <c r="F34" i="28"/>
  <c r="F35" i="28"/>
  <c r="I19" i="24"/>
  <c r="L18" i="24"/>
  <c r="O18" i="24"/>
  <c r="F36" i="24"/>
  <c r="F37" i="24" s="1"/>
  <c r="F39" i="24" s="1"/>
  <c r="I35" i="24"/>
  <c r="I37" i="24" s="1"/>
  <c r="I39" i="24" s="1"/>
  <c r="C36" i="24"/>
  <c r="L35" i="24"/>
  <c r="R18" i="24"/>
  <c r="R20" i="24" s="1"/>
  <c r="R22" i="24" s="1"/>
  <c r="O35" i="24"/>
  <c r="C35" i="24"/>
  <c r="R35" i="24"/>
  <c r="R37" i="24" s="1"/>
  <c r="R39" i="24" s="1"/>
  <c r="O37" i="24" l="1"/>
  <c r="O39" i="24" s="1"/>
  <c r="L37" i="24"/>
  <c r="L39" i="24" s="1"/>
  <c r="I20" i="24"/>
  <c r="I22" i="24" s="1"/>
  <c r="L20" i="24"/>
  <c r="L22" i="24" s="1"/>
  <c r="O20" i="24"/>
  <c r="O22" i="24" s="1"/>
  <c r="M53" i="28"/>
  <c r="M55" i="28" s="1"/>
  <c r="F36" i="28"/>
  <c r="F38" i="28" s="1"/>
  <c r="C37" i="24"/>
  <c r="C39" i="24" s="1"/>
  <c r="D53" i="27"/>
  <c r="D55" i="27" s="1"/>
  <c r="M20" i="28"/>
  <c r="M22" i="28" s="1"/>
  <c r="F53" i="28"/>
  <c r="F55" i="28" s="1"/>
  <c r="H18" i="23" l="1"/>
  <c r="H17" i="23"/>
  <c r="H16" i="23"/>
  <c r="H15" i="23"/>
  <c r="H14" i="23"/>
  <c r="H13" i="23"/>
  <c r="H12" i="23"/>
  <c r="H11" i="23"/>
  <c r="F11" i="23"/>
  <c r="F18" i="23"/>
  <c r="F17" i="23"/>
  <c r="F16" i="23"/>
  <c r="F15" i="23"/>
  <c r="F14" i="23"/>
  <c r="F13" i="23"/>
  <c r="F12" i="23"/>
  <c r="D16" i="23"/>
  <c r="D17" i="23"/>
  <c r="D18" i="23"/>
  <c r="I17" i="23" l="1"/>
  <c r="I16" i="23"/>
  <c r="I18" i="23"/>
  <c r="F76" i="23"/>
  <c r="F75" i="23"/>
  <c r="H76" i="23"/>
  <c r="H75" i="23"/>
  <c r="F10" i="24"/>
  <c r="C10" i="24"/>
  <c r="F77" i="23" l="1"/>
  <c r="H77" i="23"/>
  <c r="H79" i="23" s="1"/>
  <c r="F19" i="24"/>
  <c r="F18" i="24"/>
  <c r="C19" i="24"/>
  <c r="C18" i="24"/>
  <c r="F14" i="27"/>
  <c r="G14" i="27" s="1"/>
  <c r="F11" i="27"/>
  <c r="C20" i="24" l="1"/>
  <c r="C22" i="24" s="1"/>
  <c r="G11" i="27"/>
  <c r="F51" i="27"/>
  <c r="F52" i="27"/>
  <c r="F20" i="24"/>
  <c r="F22" i="24" s="1"/>
  <c r="D15" i="23"/>
  <c r="I15" i="23" s="1"/>
  <c r="J15" i="23" s="1"/>
  <c r="K15" i="23" s="1"/>
  <c r="D14" i="23"/>
  <c r="I14" i="23" s="1"/>
  <c r="D13" i="23"/>
  <c r="I13" i="23" s="1"/>
  <c r="D12" i="23"/>
  <c r="I12" i="23" s="1"/>
  <c r="F53" i="27" l="1"/>
  <c r="F55" i="27" s="1"/>
  <c r="H52" i="27"/>
  <c r="H51" i="27"/>
  <c r="D11" i="23"/>
  <c r="I11" i="23" s="1"/>
  <c r="J76" i="23" l="1"/>
  <c r="J75" i="23"/>
  <c r="D76" i="23"/>
  <c r="D75" i="23"/>
  <c r="H53" i="27"/>
  <c r="H55" i="27" s="1"/>
  <c r="J77" i="23" l="1"/>
  <c r="J79" i="23" s="1"/>
  <c r="D77" i="23"/>
</calcChain>
</file>

<file path=xl/sharedStrings.xml><?xml version="1.0" encoding="utf-8"?>
<sst xmlns="http://schemas.openxmlformats.org/spreadsheetml/2006/main" count="5234" uniqueCount="4318">
  <si>
    <t>Site</t>
    <phoneticPr fontId="8" type="noConversion"/>
  </si>
  <si>
    <t>Ball Name</t>
    <phoneticPr fontId="8" type="noConversion"/>
  </si>
  <si>
    <t>Net Name</t>
    <phoneticPr fontId="9" type="noConversion"/>
  </si>
  <si>
    <t>Length</t>
  </si>
  <si>
    <t>Total Length</t>
    <phoneticPr fontId="9" type="noConversion"/>
  </si>
  <si>
    <t>SITE1</t>
    <phoneticPr fontId="9" type="noConversion"/>
  </si>
  <si>
    <t>Net Name</t>
  </si>
  <si>
    <t>Etch Length (mils)</t>
  </si>
  <si>
    <t>Manhattan Length (mils)</t>
  </si>
  <si>
    <t>Percent Manhattan (mils)</t>
  </si>
  <si>
    <t>+15V</t>
  </si>
  <si>
    <t>-15V</t>
  </si>
  <si>
    <t>SITE2</t>
    <phoneticPr fontId="9" type="noConversion"/>
  </si>
  <si>
    <t>SITE3</t>
    <phoneticPr fontId="9" type="noConversion"/>
  </si>
  <si>
    <t>SITE4</t>
    <phoneticPr fontId="9" type="noConversion"/>
  </si>
  <si>
    <t>SITE5</t>
    <phoneticPr fontId="9" type="noConversion"/>
  </si>
  <si>
    <t>SITE6</t>
    <phoneticPr fontId="9" type="noConversion"/>
  </si>
  <si>
    <t>SITE7</t>
    <phoneticPr fontId="9" type="noConversion"/>
  </si>
  <si>
    <t>SITE8</t>
    <phoneticPr fontId="9" type="noConversion"/>
  </si>
  <si>
    <t>MAX</t>
  </si>
  <si>
    <t>MIN</t>
  </si>
  <si>
    <t>MAX-MIN</t>
  </si>
  <si>
    <t>Standard(mil)</t>
  </si>
  <si>
    <t>DIO48</t>
  </si>
  <si>
    <t>DIO32</t>
  </si>
  <si>
    <t>DIO16</t>
  </si>
  <si>
    <t>DIO0</t>
  </si>
  <si>
    <t>DIO49</t>
  </si>
  <si>
    <t>DIO33</t>
  </si>
  <si>
    <t>DIO17</t>
  </si>
  <si>
    <t>DIO1</t>
  </si>
  <si>
    <t>DIO50</t>
  </si>
  <si>
    <t>DIO34</t>
  </si>
  <si>
    <t>DIO18</t>
  </si>
  <si>
    <t>DIO2</t>
  </si>
  <si>
    <t>DIO51</t>
  </si>
  <si>
    <t>DIO35</t>
  </si>
  <si>
    <t>DIO19</t>
  </si>
  <si>
    <t>DIO3</t>
  </si>
  <si>
    <t>DIO52</t>
  </si>
  <si>
    <t>DIO36</t>
  </si>
  <si>
    <t>DIO20</t>
  </si>
  <si>
    <t>DIO4</t>
  </si>
  <si>
    <t>DIO53</t>
  </si>
  <si>
    <t>DIO37</t>
  </si>
  <si>
    <t>DIO21</t>
  </si>
  <si>
    <t>DIO5</t>
  </si>
  <si>
    <t>+3.3V</t>
  </si>
  <si>
    <t>CBIT0</t>
  </si>
  <si>
    <t>CBIT1</t>
  </si>
  <si>
    <t>CBIT3</t>
  </si>
  <si>
    <t>CBIT4</t>
  </si>
  <si>
    <t>CBIT5</t>
  </si>
  <si>
    <t>CBIT6</t>
  </si>
  <si>
    <t>CBIT7</t>
  </si>
  <si>
    <t>CBIT8</t>
  </si>
  <si>
    <t>CBIT9</t>
  </si>
  <si>
    <t>CBIT10</t>
  </si>
  <si>
    <t>CBIT11</t>
  </si>
  <si>
    <t>CBIT12</t>
  </si>
  <si>
    <t>CBIT13</t>
  </si>
  <si>
    <t>CBIT14</t>
  </si>
  <si>
    <t>CBIT15</t>
  </si>
  <si>
    <t>CBIT16</t>
  </si>
  <si>
    <t>CBIT17</t>
  </si>
  <si>
    <t>CBIT18</t>
  </si>
  <si>
    <t>CBIT19</t>
  </si>
  <si>
    <t>CBIT23</t>
  </si>
  <si>
    <t>CBIT24</t>
  </si>
  <si>
    <t>CBIT25</t>
  </si>
  <si>
    <t>CBIT26</t>
  </si>
  <si>
    <t>CBIT27</t>
  </si>
  <si>
    <t>CBIT28</t>
  </si>
  <si>
    <t>CBIT29</t>
  </si>
  <si>
    <t>CBIT30</t>
  </si>
  <si>
    <t>CBIT31</t>
  </si>
  <si>
    <t>CBIT33</t>
  </si>
  <si>
    <t>CBIT35</t>
  </si>
  <si>
    <t>CBIT37</t>
  </si>
  <si>
    <t>CBIT48</t>
  </si>
  <si>
    <t>CBIT50</t>
  </si>
  <si>
    <t>CBIT51</t>
  </si>
  <si>
    <t>CBIT52</t>
  </si>
  <si>
    <t>CBIT53</t>
  </si>
  <si>
    <t>CBIT54</t>
  </si>
  <si>
    <t>CBIT64</t>
  </si>
  <si>
    <t>CBIT65</t>
  </si>
  <si>
    <t>CBIT66</t>
  </si>
  <si>
    <t>CBIT67</t>
  </si>
  <si>
    <t>CBIT69</t>
  </si>
  <si>
    <t>CBIT128</t>
  </si>
  <si>
    <t>CBIT129</t>
  </si>
  <si>
    <t>CBIT131</t>
  </si>
  <si>
    <t>CBIT132</t>
  </si>
  <si>
    <t>CBIT133</t>
  </si>
  <si>
    <t>CBIT134</t>
  </si>
  <si>
    <t>CBIT135</t>
  </si>
  <si>
    <t>CBIT136</t>
  </si>
  <si>
    <t>CBIT137</t>
  </si>
  <si>
    <t>CBIT138</t>
  </si>
  <si>
    <t>CBIT139</t>
  </si>
  <si>
    <t>CBIT141</t>
  </si>
  <si>
    <t>CBIT142</t>
  </si>
  <si>
    <t>CBIT143</t>
  </si>
  <si>
    <t>CBIT144</t>
  </si>
  <si>
    <t>CBIT145</t>
  </si>
  <si>
    <t>CBIT146</t>
  </si>
  <si>
    <t>CBIT147</t>
  </si>
  <si>
    <t>CBIT151</t>
  </si>
  <si>
    <t>CBIT152</t>
  </si>
  <si>
    <t>CBIT153</t>
  </si>
  <si>
    <t>CBIT154</t>
  </si>
  <si>
    <t>CBIT155</t>
  </si>
  <si>
    <t>CBIT156</t>
  </si>
  <si>
    <t>CBIT157</t>
  </si>
  <si>
    <t>CBIT158</t>
  </si>
  <si>
    <t>CBIT159</t>
  </si>
  <si>
    <t>CBIT163</t>
  </si>
  <si>
    <t>CBIT165</t>
  </si>
  <si>
    <t>CBIT169</t>
  </si>
  <si>
    <t>CBIT176</t>
  </si>
  <si>
    <t>CBIT178</t>
  </si>
  <si>
    <t>CBIT179</t>
  </si>
  <si>
    <t>CBIT180</t>
  </si>
  <si>
    <t>CBIT181</t>
  </si>
  <si>
    <t>CBIT182</t>
  </si>
  <si>
    <t>CBIT192</t>
  </si>
  <si>
    <t>CBIT193</t>
  </si>
  <si>
    <t>CBIT194</t>
  </si>
  <si>
    <t>CBIT195</t>
  </si>
  <si>
    <t>CHK_HFB</t>
  </si>
  <si>
    <t>CHK_LFB</t>
  </si>
  <si>
    <t>EE_SCK</t>
  </si>
  <si>
    <t>EE_SI</t>
  </si>
  <si>
    <t>EE_SO</t>
  </si>
  <si>
    <t>FVI2_FH0</t>
  </si>
  <si>
    <t>FVI2_FH1</t>
  </si>
  <si>
    <t>FVI2_FH2</t>
  </si>
  <si>
    <t>FVI2_FH3</t>
  </si>
  <si>
    <t>FVI2_FH4</t>
  </si>
  <si>
    <t>FVI2_FH5</t>
  </si>
  <si>
    <t>FVI2_FH6</t>
  </si>
  <si>
    <t>FVI2_FH7</t>
  </si>
  <si>
    <t>FVI2_FH8</t>
  </si>
  <si>
    <t>FVI2_FH9</t>
  </si>
  <si>
    <t>FVI2_FH10</t>
  </si>
  <si>
    <t>FVI2_FH11</t>
  </si>
  <si>
    <t>FVI2_FH12</t>
  </si>
  <si>
    <t>FVI2_FH13</t>
  </si>
  <si>
    <t>FVI2_FH14</t>
  </si>
  <si>
    <t>FVI2_FH15</t>
  </si>
  <si>
    <t>FVI2_FH16</t>
  </si>
  <si>
    <t>FVI2_FH17</t>
  </si>
  <si>
    <t>FVI2_FH18</t>
  </si>
  <si>
    <t>FVI2_FH19</t>
  </si>
  <si>
    <t>FVI2_FH20</t>
  </si>
  <si>
    <t>FVI2_FH21</t>
  </si>
  <si>
    <t>FVI2_FH22</t>
  </si>
  <si>
    <t>FVI2_FH23</t>
  </si>
  <si>
    <t>FVI2_FH24</t>
  </si>
  <si>
    <t>FVI2_FH25</t>
  </si>
  <si>
    <t>FVI2_FH26</t>
  </si>
  <si>
    <t>FVI2_FH27</t>
  </si>
  <si>
    <t>FVI2_FH28</t>
  </si>
  <si>
    <t>FVI2_FH29</t>
  </si>
  <si>
    <t>FVI2_FH30</t>
  </si>
  <si>
    <t>FVI2_FH31</t>
  </si>
  <si>
    <t>FVI2_FL0</t>
  </si>
  <si>
    <t>FVI2_FL1</t>
  </si>
  <si>
    <t>FVI2_FL2</t>
  </si>
  <si>
    <t>FVI2_FL3</t>
  </si>
  <si>
    <t>FVI2_FL4</t>
  </si>
  <si>
    <t>FVI2_FL5</t>
  </si>
  <si>
    <t>FVI2_FL6</t>
  </si>
  <si>
    <t>FVI2_FL7</t>
  </si>
  <si>
    <t>FVI2_FL8</t>
  </si>
  <si>
    <t>FVI2_FL9</t>
  </si>
  <si>
    <t>FVI2_FL10</t>
  </si>
  <si>
    <t>FVI2_FL11</t>
  </si>
  <si>
    <t>FVI2_FL12</t>
  </si>
  <si>
    <t>FVI2_FL13</t>
  </si>
  <si>
    <t>FVI2_FL14</t>
  </si>
  <si>
    <t>FVI2_FL15</t>
  </si>
  <si>
    <t>FVI2_FL16</t>
  </si>
  <si>
    <t>FVI2_FL17</t>
  </si>
  <si>
    <t>FVI2_FL18</t>
  </si>
  <si>
    <t>FVI2_FL19</t>
  </si>
  <si>
    <t>FVI2_FL20</t>
  </si>
  <si>
    <t>FVI2_FL21</t>
  </si>
  <si>
    <t>FVI2_FL22</t>
  </si>
  <si>
    <t>FVI2_FL23</t>
  </si>
  <si>
    <t>FVI2_FL24</t>
  </si>
  <si>
    <t>FVI2_FL25</t>
  </si>
  <si>
    <t>FVI2_FL26</t>
  </si>
  <si>
    <t>FVI2_FL27</t>
  </si>
  <si>
    <t>FVI2_FL28</t>
  </si>
  <si>
    <t>FVI2_FL29</t>
  </si>
  <si>
    <t>FVI2_FL30</t>
  </si>
  <si>
    <t>FVI2_FL31</t>
  </si>
  <si>
    <t>FVI8_0_3_FL</t>
  </si>
  <si>
    <t>FVI8_0_3_SL</t>
  </si>
  <si>
    <t>FVI8_4_7_FL</t>
  </si>
  <si>
    <t>FVI8_4_7_SL</t>
  </si>
  <si>
    <t>FVI8_8_11_FL</t>
  </si>
  <si>
    <t>FVI8_8_11_SL</t>
  </si>
  <si>
    <t>FVI8_12_15_FL</t>
  </si>
  <si>
    <t>FVI8_12_15_SL</t>
  </si>
  <si>
    <t>FVI8_16_19_FL</t>
  </si>
  <si>
    <t>FVI8_16_19_SL</t>
  </si>
  <si>
    <t>FVI8_20_23_FL</t>
  </si>
  <si>
    <t>FVI8_20_23_SL</t>
  </si>
  <si>
    <t>FVI8_24_27_FL</t>
  </si>
  <si>
    <t>FVI8_24_27_SL</t>
  </si>
  <si>
    <t>FVI8_28_31_FL</t>
  </si>
  <si>
    <t>FVI8_28_31_SL</t>
  </si>
  <si>
    <t>FVI8_FH0</t>
  </si>
  <si>
    <t>FVI8_FH1</t>
  </si>
  <si>
    <t>FVI8_FH2</t>
  </si>
  <si>
    <t>FVI8_FH3</t>
  </si>
  <si>
    <t>FVI8_FH4</t>
  </si>
  <si>
    <t>FVI8_FH5</t>
  </si>
  <si>
    <t>FVI8_FH6</t>
  </si>
  <si>
    <t>FVI8_FH7</t>
  </si>
  <si>
    <t>FVI8_FH8</t>
  </si>
  <si>
    <t>FVI8_FH9</t>
  </si>
  <si>
    <t>FVI8_FH10</t>
  </si>
  <si>
    <t>FVI8_FH11</t>
  </si>
  <si>
    <t>FVI8_FH12</t>
  </si>
  <si>
    <t>FVI8_FH13</t>
  </si>
  <si>
    <t>FVI8_FH14</t>
  </si>
  <si>
    <t>FVI8_FH15</t>
  </si>
  <si>
    <t>FVI8_FH16</t>
  </si>
  <si>
    <t>FVI8_FH17</t>
  </si>
  <si>
    <t>FVI8_FH18</t>
  </si>
  <si>
    <t>FVI8_FH19</t>
  </si>
  <si>
    <t>FVI8_FH20</t>
  </si>
  <si>
    <t>FVI8_FH21</t>
  </si>
  <si>
    <t>FVI8_FH22</t>
  </si>
  <si>
    <t>FVI8_FH23</t>
  </si>
  <si>
    <t>FVI8_FH24</t>
  </si>
  <si>
    <t>FVI8_FH25</t>
  </si>
  <si>
    <t>FVI8_FH26</t>
  </si>
  <si>
    <t>FVI8_FH27</t>
  </si>
  <si>
    <t>FVI8_FH28</t>
  </si>
  <si>
    <t>FVI8_FH29</t>
  </si>
  <si>
    <t>FVI8_FH30</t>
  </si>
  <si>
    <t>FVI8_FH31</t>
  </si>
  <si>
    <t>FVI16_32_35_FL</t>
  </si>
  <si>
    <t>FVI16_36_39_FL</t>
  </si>
  <si>
    <t>FVI16_40_43_FL</t>
  </si>
  <si>
    <t>FVI16_44_47_FL</t>
  </si>
  <si>
    <t>FVI16_48_51_FL</t>
  </si>
  <si>
    <t>FVI16_48_51_SL</t>
  </si>
  <si>
    <t>FVI16_52_55_FL</t>
  </si>
  <si>
    <t>FVI16_52_55_SL</t>
  </si>
  <si>
    <t>FVI16_56_59_FL</t>
  </si>
  <si>
    <t>FVI16_56_59_SL</t>
  </si>
  <si>
    <t>FVI16_60_63_FL</t>
  </si>
  <si>
    <t>FVI16_60_63_SL</t>
  </si>
  <si>
    <t>FVI16_64_67_FL</t>
  </si>
  <si>
    <t>FVI16_64_67_SL</t>
  </si>
  <si>
    <t>FVI16_68_71_FL</t>
  </si>
  <si>
    <t>FVI16_68_71_SL</t>
  </si>
  <si>
    <t>FVI16_72_75_FL</t>
  </si>
  <si>
    <t>FVI16_72_75_SL</t>
  </si>
  <si>
    <t>FVI16_76_79_FL</t>
  </si>
  <si>
    <t>FVI16_76_79_SL</t>
  </si>
  <si>
    <t>FVI16_80_83_FL</t>
  </si>
  <si>
    <t>FVI16_80_83_SL</t>
  </si>
  <si>
    <t>FVI16_84_87_FL</t>
  </si>
  <si>
    <t>FVI16_84_87_SL</t>
  </si>
  <si>
    <t>FVI16_88_91_FL</t>
  </si>
  <si>
    <t>FVI16_88_91_SL</t>
  </si>
  <si>
    <t>FVI16_92_95_FL</t>
  </si>
  <si>
    <t>FVI16_92_95_SL</t>
  </si>
  <si>
    <t>FVI16_96_99_FL</t>
  </si>
  <si>
    <t>FVI16_96_99_SL</t>
  </si>
  <si>
    <t>FVI16_100_103_FL</t>
  </si>
  <si>
    <t>FVI16_100_103_SL</t>
  </si>
  <si>
    <t>FVI16_104_107_FL</t>
  </si>
  <si>
    <t>FVI16_104_107_SL</t>
  </si>
  <si>
    <t>FVI16_108_111_FL</t>
  </si>
  <si>
    <t>FVI16_108_111_SL</t>
  </si>
  <si>
    <t>FVI16_192_195_FL</t>
  </si>
  <si>
    <t>FVI16_192_195_SL</t>
  </si>
  <si>
    <t>FVI16_196_199_FL</t>
  </si>
  <si>
    <t>FVI16_196_199_SL</t>
  </si>
  <si>
    <t>FVI16_200_203_FL</t>
  </si>
  <si>
    <t>FVI16_200_203_SL</t>
  </si>
  <si>
    <t>FVI16_204_207_FL</t>
  </si>
  <si>
    <t>FVI16_204_207_SL</t>
  </si>
  <si>
    <t>FVI16_208_211_FL</t>
  </si>
  <si>
    <t>FVI16_208_211_SL</t>
  </si>
  <si>
    <t>FVI16_212_215_FL</t>
  </si>
  <si>
    <t>FVI16_212_215_SL</t>
  </si>
  <si>
    <t>FVI16_216_219_FL</t>
  </si>
  <si>
    <t>FVI16_216_219_SL</t>
  </si>
  <si>
    <t>FVI16_220_223_FL</t>
  </si>
  <si>
    <t>FVI16_220_223_SL</t>
  </si>
  <si>
    <t>FVI16_224_227_FL</t>
  </si>
  <si>
    <t>FVI16_224_227_SL</t>
  </si>
  <si>
    <t>FVI16_228_231_FL</t>
  </si>
  <si>
    <t>FVI16_228_231_SL</t>
  </si>
  <si>
    <t>FVI16_232_235_FL</t>
  </si>
  <si>
    <t>FVI16_232_235_SL</t>
  </si>
  <si>
    <t>FVI16_236_239_FL</t>
  </si>
  <si>
    <t>FVI16_236_239_SL</t>
  </si>
  <si>
    <t>FVI16_240_243_FL</t>
  </si>
  <si>
    <t>FVI16_240_243_SL</t>
  </si>
  <si>
    <t>FVI16_244_247_FL</t>
  </si>
  <si>
    <t>FVI16_244_247_SL</t>
  </si>
  <si>
    <t>FVI16_248_251_FL</t>
  </si>
  <si>
    <t>FVI16_248_251_SL</t>
  </si>
  <si>
    <t>FVI16_252_255_FL</t>
  </si>
  <si>
    <t>FVI16_252_255_SL</t>
  </si>
  <si>
    <t>FVI16_FH32</t>
  </si>
  <si>
    <t>FVI16_FH33</t>
  </si>
  <si>
    <t>FVI16_FH34</t>
  </si>
  <si>
    <t>FVI16_FH35</t>
  </si>
  <si>
    <t>FVI16_FH36</t>
  </si>
  <si>
    <t>FVI16_FH37</t>
  </si>
  <si>
    <t>FVI16_FH38</t>
  </si>
  <si>
    <t>FVI16_FH39</t>
  </si>
  <si>
    <t>FVI16_FH40</t>
  </si>
  <si>
    <t>FVI16_FH41</t>
  </si>
  <si>
    <t>FVI16_FH42</t>
  </si>
  <si>
    <t>FVI16_FH43</t>
  </si>
  <si>
    <t>FVI16_FH44</t>
  </si>
  <si>
    <t>FVI16_FH45</t>
  </si>
  <si>
    <t>FVI16_FH46</t>
  </si>
  <si>
    <t>FVI16_FH47</t>
  </si>
  <si>
    <t>FVI16_FH48</t>
  </si>
  <si>
    <t>FVI16_FH49</t>
  </si>
  <si>
    <t>FVI16_FH50</t>
  </si>
  <si>
    <t>FVI16_FH51</t>
  </si>
  <si>
    <t>FVI16_FH52</t>
  </si>
  <si>
    <t>FVI16_FH53</t>
  </si>
  <si>
    <t>FVI16_FH54</t>
  </si>
  <si>
    <t>FVI16_FH55</t>
  </si>
  <si>
    <t>FVI16_FH56</t>
  </si>
  <si>
    <t>FVI16_FH57</t>
  </si>
  <si>
    <t>FVI16_FH58</t>
  </si>
  <si>
    <t>FVI16_FH59</t>
  </si>
  <si>
    <t>FVI16_FH60</t>
  </si>
  <si>
    <t>FVI16_FH61</t>
  </si>
  <si>
    <t>FVI16_FH62</t>
  </si>
  <si>
    <t>FVI16_FH63</t>
  </si>
  <si>
    <t>FVI16_FH64</t>
  </si>
  <si>
    <t>FVI16_FH65</t>
  </si>
  <si>
    <t>FVI16_FH66</t>
  </si>
  <si>
    <t>FVI16_FH67</t>
  </si>
  <si>
    <t>FVI16_FH68</t>
  </si>
  <si>
    <t>FVI16_FH69</t>
  </si>
  <si>
    <t>FVI16_FH70</t>
  </si>
  <si>
    <t>FVI16_FH71</t>
  </si>
  <si>
    <t>FVI16_FH72</t>
  </si>
  <si>
    <t>FVI16_FH73</t>
  </si>
  <si>
    <t>FVI16_FH74</t>
  </si>
  <si>
    <t>FVI16_FH75</t>
  </si>
  <si>
    <t>FVI16_FH76</t>
  </si>
  <si>
    <t>FVI16_FH77</t>
  </si>
  <si>
    <t>FVI16_FH78</t>
  </si>
  <si>
    <t>FVI16_FH79</t>
  </si>
  <si>
    <t>FVI16_FH80</t>
  </si>
  <si>
    <t>FVI16_FH81</t>
  </si>
  <si>
    <t>FVI16_FH82</t>
  </si>
  <si>
    <t>FVI16_FH83</t>
  </si>
  <si>
    <t>FVI16_FH84</t>
  </si>
  <si>
    <t>FVI16_FH85</t>
  </si>
  <si>
    <t>FVI16_FH86</t>
  </si>
  <si>
    <t>FVI16_FH87</t>
  </si>
  <si>
    <t>FVI16_FH88</t>
  </si>
  <si>
    <t>FVI16_FH89</t>
  </si>
  <si>
    <t>FVI16_FH90</t>
  </si>
  <si>
    <t>FVI16_FH91</t>
  </si>
  <si>
    <t>FVI16_FH92</t>
  </si>
  <si>
    <t>FVI16_FH93</t>
  </si>
  <si>
    <t>FVI16_FH94</t>
  </si>
  <si>
    <t>FVI16_FH95</t>
  </si>
  <si>
    <t>FVI16_FH96</t>
  </si>
  <si>
    <t>FVI16_FH97</t>
  </si>
  <si>
    <t>FVI16_FH98</t>
  </si>
  <si>
    <t>FVI16_FH99</t>
  </si>
  <si>
    <t>FVI16_FH100</t>
  </si>
  <si>
    <t>FVI16_FH101</t>
  </si>
  <si>
    <t>FVI16_FH102</t>
  </si>
  <si>
    <t>FVI16_FH103</t>
  </si>
  <si>
    <t>FVI16_FH104</t>
  </si>
  <si>
    <t>FVI16_FH105</t>
  </si>
  <si>
    <t>FVI16_FH106</t>
  </si>
  <si>
    <t>FVI16_FH107</t>
  </si>
  <si>
    <t>FVI16_FH108</t>
  </si>
  <si>
    <t>FVI16_FH109</t>
  </si>
  <si>
    <t>FVI16_FH110</t>
  </si>
  <si>
    <t>FVI16_FH111</t>
  </si>
  <si>
    <t>FVI16_FH192</t>
  </si>
  <si>
    <t>FVI16_FH193</t>
  </si>
  <si>
    <t>FVI16_FH194</t>
  </si>
  <si>
    <t>FVI16_FH195</t>
  </si>
  <si>
    <t>FVI16_FH196</t>
  </si>
  <si>
    <t>FVI16_FH197</t>
  </si>
  <si>
    <t>FVI16_FH198</t>
  </si>
  <si>
    <t>FVI16_FH199</t>
  </si>
  <si>
    <t>FVI16_FH200</t>
  </si>
  <si>
    <t>FVI16_FH201</t>
  </si>
  <si>
    <t>FVI16_FH202</t>
  </si>
  <si>
    <t>FVI16_FH203</t>
  </si>
  <si>
    <t>FVI16_FH204</t>
  </si>
  <si>
    <t>FVI16_FH205</t>
  </si>
  <si>
    <t>FVI16_FH206</t>
  </si>
  <si>
    <t>FVI16_FH207</t>
  </si>
  <si>
    <t>FVI16_FH208</t>
  </si>
  <si>
    <t>FVI16_FH209</t>
  </si>
  <si>
    <t>FVI16_FH210</t>
  </si>
  <si>
    <t>FVI16_FH211</t>
  </si>
  <si>
    <t>FVI16_FH212</t>
  </si>
  <si>
    <t>FVI16_FH213</t>
  </si>
  <si>
    <t>FVI16_FH214</t>
  </si>
  <si>
    <t>FVI16_FH215</t>
  </si>
  <si>
    <t>FVI16_FH216</t>
  </si>
  <si>
    <t>FVI16_FH217</t>
  </si>
  <si>
    <t>FVI16_FH218</t>
  </si>
  <si>
    <t>FVI16_FH219</t>
  </si>
  <si>
    <t>FVI16_FH220</t>
  </si>
  <si>
    <t>FVI16_FH221</t>
  </si>
  <si>
    <t>FVI16_FH222</t>
  </si>
  <si>
    <t>FVI16_FH223</t>
  </si>
  <si>
    <t>FVI16_FH224</t>
  </si>
  <si>
    <t>FVI16_FH225</t>
  </si>
  <si>
    <t>FVI16_FH226</t>
  </si>
  <si>
    <t>FVI16_FH227</t>
  </si>
  <si>
    <t>FVI16_FH228</t>
  </si>
  <si>
    <t>FVI16_FH229</t>
  </si>
  <si>
    <t>FVI16_FH230</t>
  </si>
  <si>
    <t>FVI16_FH231</t>
  </si>
  <si>
    <t>FVI16_FH232</t>
  </si>
  <si>
    <t>FVI16_FH233</t>
  </si>
  <si>
    <t>FVI16_FH234</t>
  </si>
  <si>
    <t>FVI16_FH235</t>
  </si>
  <si>
    <t>FVI16_FH236</t>
  </si>
  <si>
    <t>FVI16_FH237</t>
  </si>
  <si>
    <t>FVI16_FH238</t>
  </si>
  <si>
    <t>FVI16_FH239</t>
  </si>
  <si>
    <t>FVI16_FH240</t>
  </si>
  <si>
    <t>FVI16_FH241</t>
  </si>
  <si>
    <t>FVI16_FH242</t>
  </si>
  <si>
    <t>FVI16_FH243</t>
  </si>
  <si>
    <t>FVI16_FH244</t>
  </si>
  <si>
    <t>FVI16_FH245</t>
  </si>
  <si>
    <t>FVI16_FH246</t>
  </si>
  <si>
    <t>FVI16_FH247</t>
  </si>
  <si>
    <t>FVI16_FH248</t>
  </si>
  <si>
    <t>FVI16_FH249</t>
  </si>
  <si>
    <t>FVI16_FH250</t>
  </si>
  <si>
    <t>FVI16_FH251</t>
  </si>
  <si>
    <t>FVI16_FH252</t>
  </si>
  <si>
    <t>FVI16_FH253</t>
  </si>
  <si>
    <t>FVI16_FH254</t>
  </si>
  <si>
    <t>FVI16_FH255</t>
  </si>
  <si>
    <t>FVI16_SH48</t>
  </si>
  <si>
    <t>FVI16_SH49</t>
  </si>
  <si>
    <t>FVI16_SH50</t>
  </si>
  <si>
    <t>FVI16_SH51</t>
  </si>
  <si>
    <t>FVI16_SH64</t>
  </si>
  <si>
    <t>FVI16_SH65</t>
  </si>
  <si>
    <t>FVI16_SH66</t>
  </si>
  <si>
    <t>FVI16_SH67</t>
  </si>
  <si>
    <t>FVI16_SH68</t>
  </si>
  <si>
    <t>FVI16_SH69</t>
  </si>
  <si>
    <t>FVI16_SH70</t>
  </si>
  <si>
    <t>FVI16_SH71</t>
  </si>
  <si>
    <t>FVI16_SH72</t>
  </si>
  <si>
    <t>FVI16_SH73</t>
  </si>
  <si>
    <t>FVI16_SH74</t>
  </si>
  <si>
    <t>FVI16_SH75</t>
  </si>
  <si>
    <t>FVI16_SH76</t>
  </si>
  <si>
    <t>FVI16_SH77</t>
  </si>
  <si>
    <t>FVI16_SH78</t>
  </si>
  <si>
    <t>FVI16_SH79</t>
  </si>
  <si>
    <t>FVI16_SH80</t>
  </si>
  <si>
    <t>FVI16_SH81</t>
  </si>
  <si>
    <t>FVI16_SH82</t>
  </si>
  <si>
    <t>FVI16_SH83</t>
  </si>
  <si>
    <t>FVI16_SH96</t>
  </si>
  <si>
    <t>FVI16_SH97</t>
  </si>
  <si>
    <t>FVI16_SH98</t>
  </si>
  <si>
    <t>FVI16_SH99</t>
  </si>
  <si>
    <t>FVI16_SH100</t>
  </si>
  <si>
    <t>FVI16_SH101</t>
  </si>
  <si>
    <t>FVI16_SH102</t>
  </si>
  <si>
    <t>FVI16_SH103</t>
  </si>
  <si>
    <t>FVI16_SH104</t>
  </si>
  <si>
    <t>FVI16_SH105</t>
  </si>
  <si>
    <t>FVI16_SH106</t>
  </si>
  <si>
    <t>FVI16_SH107</t>
  </si>
  <si>
    <t>FVI16_SH108</t>
  </si>
  <si>
    <t>FVI16_SH109</t>
  </si>
  <si>
    <t>FVI16_SH110</t>
  </si>
  <si>
    <t>FVI16_SH111</t>
  </si>
  <si>
    <t>FVI16_SH192</t>
  </si>
  <si>
    <t>FVI16_SH193</t>
  </si>
  <si>
    <t>FVI16_SH194</t>
  </si>
  <si>
    <t>FVI16_SH195</t>
  </si>
  <si>
    <t>FVI16_SH196</t>
  </si>
  <si>
    <t>FVI16_SH197</t>
  </si>
  <si>
    <t>FVI16_SH198</t>
  </si>
  <si>
    <t>FVI16_SH199</t>
  </si>
  <si>
    <t>FVI16_SH200</t>
  </si>
  <si>
    <t>FVI16_SH201</t>
  </si>
  <si>
    <t>FVI16_SH202</t>
  </si>
  <si>
    <t>FVI16_SH203</t>
  </si>
  <si>
    <t>FVI16_SH204</t>
  </si>
  <si>
    <t>FVI16_SH205</t>
  </si>
  <si>
    <t>FVI16_SH206</t>
  </si>
  <si>
    <t>FVI16_SH207</t>
  </si>
  <si>
    <t>FVI16_SH208</t>
  </si>
  <si>
    <t>FVI16_SH209</t>
  </si>
  <si>
    <t>FVI16_SH210</t>
  </si>
  <si>
    <t>FVI16_SH211</t>
  </si>
  <si>
    <t>FVI16_SH224</t>
  </si>
  <si>
    <t>FVI16_SH225</t>
  </si>
  <si>
    <t>FVI16_SH226</t>
  </si>
  <si>
    <t>FVI16_SH227</t>
  </si>
  <si>
    <t>FVI16_SH228</t>
  </si>
  <si>
    <t>FVI16_SH229</t>
  </si>
  <si>
    <t>FVI16_SH230</t>
  </si>
  <si>
    <t>FVI16_SH231</t>
  </si>
  <si>
    <t>FVI16_SH232</t>
  </si>
  <si>
    <t>FVI16_SH233</t>
  </si>
  <si>
    <t>FVI16_SH234</t>
  </si>
  <si>
    <t>FVI16_SH235</t>
  </si>
  <si>
    <t>FVI16_SH236</t>
  </si>
  <si>
    <t>FVI16_SH237</t>
  </si>
  <si>
    <t>FVI16_SH238</t>
  </si>
  <si>
    <t>FVI16_SH239</t>
  </si>
  <si>
    <t>FVI16_SH240</t>
  </si>
  <si>
    <t>FVI16_SH241</t>
  </si>
  <si>
    <t>FVI16_SH242</t>
  </si>
  <si>
    <t>FVI16_SH243</t>
  </si>
  <si>
    <t>HAD0_DIG_IN+</t>
  </si>
  <si>
    <t>HAD0_DIG_IN-</t>
  </si>
  <si>
    <t>HAD0_GND</t>
  </si>
  <si>
    <t>HAD1_DIG_IN+</t>
  </si>
  <si>
    <t>HAD1_DIG_IN-</t>
  </si>
  <si>
    <t>HAD1_GND</t>
  </si>
  <si>
    <t>HAD2_DIG_IN+</t>
  </si>
  <si>
    <t>HAD2_DIG_IN-</t>
  </si>
  <si>
    <t>HAD2_GND</t>
  </si>
  <si>
    <t>HAD3_DIG_IN+</t>
  </si>
  <si>
    <t>HAD3_DIG_IN-</t>
  </si>
  <si>
    <t>HAD3_GND</t>
  </si>
  <si>
    <t>HAD4_GND</t>
  </si>
  <si>
    <t>HAD5_GND</t>
  </si>
  <si>
    <t>HAD6_GND</t>
  </si>
  <si>
    <t>HAD7_GND</t>
  </si>
  <si>
    <t>HAD8_GND</t>
  </si>
  <si>
    <t>HAD9_GND</t>
  </si>
  <si>
    <t>HAD10_GND</t>
  </si>
  <si>
    <t>HAD11_GND</t>
  </si>
  <si>
    <t>HAD12_GND</t>
  </si>
  <si>
    <t>HAD13_GND</t>
  </si>
  <si>
    <t>HAD14_GND</t>
  </si>
  <si>
    <t>HAD15_GND</t>
  </si>
  <si>
    <t>N15V</t>
  </si>
  <si>
    <t>-1.#J</t>
  </si>
  <si>
    <t>P15V</t>
  </si>
  <si>
    <t>TMU_A0</t>
  </si>
  <si>
    <t>TMU_A1</t>
  </si>
  <si>
    <t>TMU_A2</t>
  </si>
  <si>
    <t>TMU_A3</t>
  </si>
  <si>
    <t>TMU_A4</t>
  </si>
  <si>
    <t>TMU_A5</t>
  </si>
  <si>
    <t>TMU_A6</t>
  </si>
  <si>
    <t>TMU_A7</t>
  </si>
  <si>
    <t>TMU_B0</t>
  </si>
  <si>
    <t>TMU_B1</t>
  </si>
  <si>
    <t>TMU_B2</t>
  </si>
  <si>
    <t>TMU_B3</t>
  </si>
  <si>
    <t>TMU_B4</t>
  </si>
  <si>
    <t>TMU_B5</t>
  </si>
  <si>
    <t>TMU_B6</t>
  </si>
  <si>
    <t>TMU_B7</t>
  </si>
  <si>
    <t>UB_EECS0</t>
  </si>
  <si>
    <t>S5_SS_S17</t>
  </si>
  <si>
    <t>S6_SS_S17</t>
  </si>
  <si>
    <t>S7_SS_S17</t>
  </si>
  <si>
    <t>S8_SS_S17</t>
  </si>
  <si>
    <t>S5_NC_SDAT_S4</t>
  </si>
  <si>
    <t>S5_PGD_S3</t>
  </si>
  <si>
    <t>S5_VTEMP_S16</t>
  </si>
  <si>
    <t>S6_NC_SDAT_S4</t>
  </si>
  <si>
    <t>S6_CS_S21</t>
  </si>
  <si>
    <t>S6_PGD_S3</t>
  </si>
  <si>
    <t>S6_VTEMP_S16</t>
  </si>
  <si>
    <t>S7_NC_SDAT_S4</t>
  </si>
  <si>
    <t>S7_CS_S21</t>
  </si>
  <si>
    <t>S7_PGD_S3</t>
  </si>
  <si>
    <t>S7_VTEMP_S16</t>
  </si>
  <si>
    <t>S8_NC_SDAT_S4</t>
  </si>
  <si>
    <t>S8_CS_S21</t>
  </si>
  <si>
    <t>S8_PGD_S3</t>
  </si>
  <si>
    <t>S8_VTEMP_S16</t>
  </si>
  <si>
    <t>TMUA</t>
    <phoneticPr fontId="7" type="noConversion"/>
  </si>
  <si>
    <t>SPARE</t>
    <phoneticPr fontId="7" type="noConversion"/>
  </si>
  <si>
    <t>TMUB</t>
    <phoneticPr fontId="7" type="noConversion"/>
  </si>
  <si>
    <t xml:space="preserve"> </t>
    <phoneticPr fontId="7" type="noConversion"/>
  </si>
  <si>
    <t>S5_V3</t>
  </si>
  <si>
    <t>S5_ON/PD_S2</t>
  </si>
  <si>
    <t>S5_START_COMP</t>
  </si>
  <si>
    <t>S5_STOP_COMP</t>
  </si>
  <si>
    <t>S6_V3</t>
  </si>
  <si>
    <t>S6_ON/PD_S2</t>
  </si>
  <si>
    <t>S6_START_COMP</t>
  </si>
  <si>
    <t>S6_D_OC_S1</t>
  </si>
  <si>
    <t>S6_STOP_COMP</t>
  </si>
  <si>
    <t>S7_V3</t>
  </si>
  <si>
    <t>S7_ON/PD_S2</t>
  </si>
  <si>
    <t>S7_START_COMP</t>
  </si>
  <si>
    <t>S7_D_OC_S1</t>
  </si>
  <si>
    <t>S7_STOP_COMP</t>
  </si>
  <si>
    <t>S8_V3</t>
  </si>
  <si>
    <t>S8_ON/PD_S2</t>
  </si>
  <si>
    <t>S8_START_COMP</t>
  </si>
  <si>
    <t>S8_D_OC_S1</t>
  </si>
  <si>
    <t>S8_STOP_COMP</t>
  </si>
  <si>
    <t>S5_SS_F17</t>
  </si>
  <si>
    <t>S5_NC_SDAT_F4</t>
  </si>
  <si>
    <t>S5_PGD_F3</t>
  </si>
  <si>
    <t>S5_VTEMP_F16</t>
  </si>
  <si>
    <t>S6_SS_F17</t>
  </si>
  <si>
    <t>S6_NC_SDAT_F4</t>
  </si>
  <si>
    <t>S6_CS_F21</t>
  </si>
  <si>
    <t>S6_PGD_F3</t>
  </si>
  <si>
    <t>S6_VTEMP_F16</t>
  </si>
  <si>
    <t>S7_SS_F17</t>
  </si>
  <si>
    <t>S7_NC_SDAT_F4</t>
  </si>
  <si>
    <t>S7_CS_F21</t>
  </si>
  <si>
    <t>S7_PGD_F3</t>
  </si>
  <si>
    <t>S7_VTEMP_F16</t>
  </si>
  <si>
    <t>S8_SS_F17</t>
  </si>
  <si>
    <t>S8_NC_SDAT_F4</t>
  </si>
  <si>
    <t>S8_CS_F21</t>
  </si>
  <si>
    <t>S8_PGD_F3</t>
  </si>
  <si>
    <t>S8_VTEMP_F16</t>
  </si>
  <si>
    <t>CBIT2</t>
  </si>
  <si>
    <t>CBIT20</t>
  </si>
  <si>
    <t>CBIT21</t>
  </si>
  <si>
    <t>CBIT22</t>
  </si>
  <si>
    <t>CBIT34</t>
  </si>
  <si>
    <t>CBIT36</t>
  </si>
  <si>
    <t>CBIT38</t>
  </si>
  <si>
    <t>CBIT43</t>
  </si>
  <si>
    <t>CBIT45</t>
  </si>
  <si>
    <t>CBIT46</t>
  </si>
  <si>
    <t>CBIT47</t>
  </si>
  <si>
    <t>CBIT58</t>
  </si>
  <si>
    <t>CBIT59</t>
  </si>
  <si>
    <t>CBIT60</t>
  </si>
  <si>
    <t>CBIT68</t>
  </si>
  <si>
    <t>CBIT70</t>
  </si>
  <si>
    <t>CBIT71</t>
  </si>
  <si>
    <t>CBIT72</t>
  </si>
  <si>
    <t>CBIT73</t>
  </si>
  <si>
    <t>CBIT74</t>
  </si>
  <si>
    <t>CBIT75</t>
  </si>
  <si>
    <t>CBIT76</t>
  </si>
  <si>
    <t>CBIT130</t>
  </si>
  <si>
    <t>CBIT148</t>
  </si>
  <si>
    <t>CBIT149</t>
  </si>
  <si>
    <t>CBIT150</t>
  </si>
  <si>
    <t>CBIT162</t>
  </si>
  <si>
    <t>CBIT164</t>
  </si>
  <si>
    <t>CBIT166</t>
  </si>
  <si>
    <t>CBIT168</t>
  </si>
  <si>
    <t>CBIT171</t>
  </si>
  <si>
    <t>CBIT173</t>
  </si>
  <si>
    <t>CBIT174</t>
  </si>
  <si>
    <t>CBIT175</t>
  </si>
  <si>
    <t>CBIT186</t>
  </si>
  <si>
    <t>CBIT187</t>
  </si>
  <si>
    <t>CBIT188</t>
  </si>
  <si>
    <t>N6259367</t>
  </si>
  <si>
    <t>N6259383</t>
  </si>
  <si>
    <t>N6259405</t>
  </si>
  <si>
    <t>N6259465</t>
  </si>
  <si>
    <t>N6259731</t>
  </si>
  <si>
    <t>N6259785</t>
  </si>
  <si>
    <t>N6259881</t>
  </si>
  <si>
    <t>N6259957</t>
  </si>
  <si>
    <t>P5V</t>
  </si>
  <si>
    <t>S1_K5_5_10MIL</t>
  </si>
  <si>
    <t>S1_K7_5_10MIL</t>
  </si>
  <si>
    <t>S1_K54_1_10MIL</t>
  </si>
  <si>
    <t>S1_K69_2_30MIL</t>
  </si>
  <si>
    <t>S1_K71_6_10MIL</t>
  </si>
  <si>
    <t>S1_K72_1_10MIL</t>
  </si>
  <si>
    <t>S1_K73_1_10MIL</t>
  </si>
  <si>
    <t>S1_K75_1_10MIL</t>
  </si>
  <si>
    <t>S1_K75_2_10MIL</t>
  </si>
  <si>
    <t>S1_K76_1_10MIL</t>
  </si>
  <si>
    <t>S2_K5_5_10MIL</t>
  </si>
  <si>
    <t>S2_K7_5_10MIL</t>
  </si>
  <si>
    <t>S2_K54_1_10MIL</t>
  </si>
  <si>
    <t>S2_K69_2_30MIL</t>
  </si>
  <si>
    <t>S2_K71_6_10MIL</t>
  </si>
  <si>
    <t>S2_K72_1_10MIL</t>
  </si>
  <si>
    <t>S2_K73_1_10MIL</t>
  </si>
  <si>
    <t>S2_K75_1_10MIL</t>
  </si>
  <si>
    <t>S2_K75_2_10MIL</t>
  </si>
  <si>
    <t>S2_K76_1_10MIL</t>
  </si>
  <si>
    <t>S3_K5_5_10MIL</t>
  </si>
  <si>
    <t>S3_K7_5_10MIL</t>
  </si>
  <si>
    <t>S3_K54_1_10MIL</t>
  </si>
  <si>
    <t>S3_K69_2_30MIL</t>
  </si>
  <si>
    <t>S3_K71_6_10MIL</t>
  </si>
  <si>
    <t>S3_K72_1_10MIL</t>
  </si>
  <si>
    <t>S3_K73_1_10MIL</t>
  </si>
  <si>
    <t>S3_K75_1_10MIL</t>
  </si>
  <si>
    <t>S3_K75_2_10MIL</t>
  </si>
  <si>
    <t>S3_K76_1_10MIL</t>
  </si>
  <si>
    <t>S4_K5_5_10MIL</t>
  </si>
  <si>
    <t>S4_K7_5_10MIL</t>
  </si>
  <si>
    <t>S4_K54_1_10MIL</t>
  </si>
  <si>
    <t>S4_K69_2_30MIL</t>
  </si>
  <si>
    <t>S4_K71_6_10MIL</t>
  </si>
  <si>
    <t>S4_K72_1_10MIL</t>
  </si>
  <si>
    <t>S4_K73_1_10MIL</t>
  </si>
  <si>
    <t>S4_K75_1_10MIL</t>
  </si>
  <si>
    <t>S4_K75_2_10MIL</t>
  </si>
  <si>
    <t>S4_K76_1_10MIL</t>
  </si>
  <si>
    <t>S5_K5_5_10MIL</t>
  </si>
  <si>
    <t>S5_K7_5_10MIL</t>
  </si>
  <si>
    <t>S5_K47_6_10MIL</t>
  </si>
  <si>
    <t>S5_K48_10MIL</t>
  </si>
  <si>
    <t>S5_K49_6_10MIL</t>
  </si>
  <si>
    <t>S5_K50_1_10MIL</t>
  </si>
  <si>
    <t>S5_K50_2_10MIL</t>
  </si>
  <si>
    <t>S5_K51_23_10A</t>
  </si>
  <si>
    <t>S5_K53_2_50OHM</t>
  </si>
  <si>
    <t>S5_K53_6_50OHM</t>
  </si>
  <si>
    <t>S5_K54_1_10MIL</t>
  </si>
  <si>
    <t>S5_K54_2_10MIL</t>
  </si>
  <si>
    <t>S5_K54_5_10MIL</t>
  </si>
  <si>
    <t>S5_K54_6_10MIL</t>
  </si>
  <si>
    <t>S5_K55_2_10MIL</t>
  </si>
  <si>
    <t>S5_K55_3_5MIL</t>
  </si>
  <si>
    <t>S5_K55_4_30MIL</t>
  </si>
  <si>
    <t>S5_K55_5_10MIL</t>
  </si>
  <si>
    <t>S5_K55_6_50OHM_NS</t>
  </si>
  <si>
    <t>S5_K55_7_10MIL</t>
  </si>
  <si>
    <t>S5_K56_1_10MIL</t>
  </si>
  <si>
    <t>S5_K56_2_10MIL</t>
  </si>
  <si>
    <t>S5_K56_5_10MIL</t>
  </si>
  <si>
    <t>S5_K56_6_10MIL</t>
  </si>
  <si>
    <t>S5_K57_1_10MIL</t>
  </si>
  <si>
    <t>S5_K57_2_10MIL</t>
  </si>
  <si>
    <t>S5_K57_3_50OHM</t>
  </si>
  <si>
    <t>S5_K57_4_50OHM</t>
  </si>
  <si>
    <t>S5_K58_1_10MIL</t>
  </si>
  <si>
    <t>S5_K58_2_10MIL</t>
  </si>
  <si>
    <t>S5_K58_3_50OHM</t>
  </si>
  <si>
    <t>S5_K58_4_50OHM</t>
  </si>
  <si>
    <t>S5_K59_1_10MIL</t>
  </si>
  <si>
    <t>S5_K59_2_10MIL</t>
  </si>
  <si>
    <t>S5_K59_3_50OHM</t>
  </si>
  <si>
    <t>S5_K59_4_50OHM</t>
  </si>
  <si>
    <t>S5_K60_2_10MIL</t>
  </si>
  <si>
    <t>S5_K60_3_30MIL</t>
  </si>
  <si>
    <t>S5_K60_4_30MIL</t>
  </si>
  <si>
    <t>S5_K60_5_10MIL</t>
  </si>
  <si>
    <t>S5_K60_6_10MIL</t>
  </si>
  <si>
    <t>S5_K60_7_10MIL</t>
  </si>
  <si>
    <t>S5_K61_1_10MIL</t>
  </si>
  <si>
    <t>S5_K61_2_10MIL</t>
  </si>
  <si>
    <t>S5_K61_3_50OHM</t>
  </si>
  <si>
    <t>S5_K61_4_50OHM</t>
  </si>
  <si>
    <t>S5_K62_1_10MIL</t>
  </si>
  <si>
    <t>S5_K62_2_5MIL</t>
  </si>
  <si>
    <t>S5_K63_1_10MIL</t>
  </si>
  <si>
    <t>S5_K63_2_10MIL</t>
  </si>
  <si>
    <t>S5_K63_5_10MIL</t>
  </si>
  <si>
    <t>S5_K63_6_10MIL</t>
  </si>
  <si>
    <t>S5_K64_1_10MIL</t>
  </si>
  <si>
    <t>S5_K64_2_10MIL</t>
  </si>
  <si>
    <t>S5_K64_5_10MIL</t>
  </si>
  <si>
    <t>S5_K64_6_10MIL</t>
  </si>
  <si>
    <t>S5_K65_1_10MIL</t>
  </si>
  <si>
    <t>S5_K65_2_10MIL</t>
  </si>
  <si>
    <t>S5_K65_5_10MIL</t>
  </si>
  <si>
    <t>S5_K65_6_10MIL</t>
  </si>
  <si>
    <t>S5_K66_1_10MIL</t>
  </si>
  <si>
    <t>S5_K66_2_10MIL</t>
  </si>
  <si>
    <t>S5_K66_5_10MIL</t>
  </si>
  <si>
    <t>S5_K66_6_10MIL</t>
  </si>
  <si>
    <t>S5_K67_1_10MIL</t>
  </si>
  <si>
    <t>S5_K67_2_5MIL</t>
  </si>
  <si>
    <t>S5_K68_1_10MIL</t>
  </si>
  <si>
    <t>S5_K68_2_10MIL</t>
  </si>
  <si>
    <t>S5_K68_3_50OHM</t>
  </si>
  <si>
    <t>S5_K68_4_50OHM</t>
  </si>
  <si>
    <t>S5_K69_1_30MIL</t>
  </si>
  <si>
    <t>S5_K69_2_30MIL</t>
  </si>
  <si>
    <t>S5_K69_5_10MIL</t>
  </si>
  <si>
    <t>S5_K69_6_10MIL</t>
  </si>
  <si>
    <t>S5_K70_1_10MIL</t>
  </si>
  <si>
    <t>S5_K70_2_5MIL</t>
  </si>
  <si>
    <t>S5_K71_1_10MIL</t>
  </si>
  <si>
    <t>S5_K71_2_10MIL</t>
  </si>
  <si>
    <t>S5_K71_5_10MIL</t>
  </si>
  <si>
    <t>S5_K71_6_10MIL</t>
  </si>
  <si>
    <t>S5_K72_1_10MIL</t>
  </si>
  <si>
    <t>S5_K72_2_5MIL</t>
  </si>
  <si>
    <t>S5_K73_1_10MIL</t>
  </si>
  <si>
    <t>S5_K73_2_5MIL</t>
  </si>
  <si>
    <t>S5_K74_2_50OHM_NS</t>
  </si>
  <si>
    <t>S5_K75_1_10MIL</t>
  </si>
  <si>
    <t>S5_K75_2_10MIL</t>
  </si>
  <si>
    <t>S5_K76_1_10MIL</t>
  </si>
  <si>
    <t>S5_K76_2_5MIL</t>
  </si>
  <si>
    <t>S5_K77_1_10MIL</t>
  </si>
  <si>
    <t>S5_K77_2_10MIL</t>
  </si>
  <si>
    <t>S5_K78_1_10MIL</t>
  </si>
  <si>
    <t>S5_K78_2_5MIL</t>
  </si>
  <si>
    <t>S5_K79_3_30MIL</t>
  </si>
  <si>
    <t>S5_K79_4_30MIL</t>
  </si>
  <si>
    <t>S5_K79_5_10MIL</t>
  </si>
  <si>
    <t>S5_K79_6_10MIL</t>
  </si>
  <si>
    <t>S5_MG_15V</t>
  </si>
  <si>
    <t>S5_MG_N15V</t>
  </si>
  <si>
    <t>S5_NC_F15</t>
  </si>
  <si>
    <t>S5_NC_GATE_F6</t>
  </si>
  <si>
    <t>S5_NC_GATE_S6</t>
  </si>
  <si>
    <t>S5_NC_S15</t>
  </si>
  <si>
    <t>S5_NC_VOUTSENSE_F28</t>
  </si>
  <si>
    <t>S5_NC_VOUTSENSE_S28</t>
  </si>
  <si>
    <t>S5_ON/PD_F2</t>
  </si>
  <si>
    <t>S5_Q1_1_30MIL</t>
  </si>
  <si>
    <t>S5_Q1_S_10A</t>
  </si>
  <si>
    <t>S5_QK0_2_10MIL</t>
  </si>
  <si>
    <t>S5_QK0_3_10MIL</t>
  </si>
  <si>
    <t>S5_QK35_2_10MIL</t>
  </si>
  <si>
    <t>S5_QK35_3_10MIL</t>
  </si>
  <si>
    <t>S5_R20_30MIL</t>
  </si>
  <si>
    <t>S5_R21_30MIL</t>
  </si>
  <si>
    <t>S5_RCOUTDISCHARGE_10A</t>
  </si>
  <si>
    <t>S5_RDDISCHARGE_10A</t>
  </si>
  <si>
    <t>S5_RFU6_4_10MIL</t>
  </si>
  <si>
    <t>S5_RIFT_1_10MIL</t>
  </si>
  <si>
    <t>S5_RIFT_2_10MIL</t>
  </si>
  <si>
    <t>S5_RK0_2_10MIL</t>
  </si>
  <si>
    <t>S5_RK10_1_50OHM</t>
  </si>
  <si>
    <t>S5_RK10_6_50OHM</t>
  </si>
  <si>
    <t>S5_RK12_3_10MIL</t>
  </si>
  <si>
    <t>S5_RK12_6_10MIL</t>
  </si>
  <si>
    <t>S5_RK15_1_50OHM</t>
  </si>
  <si>
    <t>S5_RK15_6_50OHM</t>
  </si>
  <si>
    <t>S5_RK17_10MIL</t>
  </si>
  <si>
    <t>S5_RK18_1_50OHM</t>
  </si>
  <si>
    <t>S5_RK18_6_50OHM</t>
  </si>
  <si>
    <t>S5_RK20_1_50OHM</t>
  </si>
  <si>
    <t>S5_RK20_6_50OHM</t>
  </si>
  <si>
    <t>S5_RK22_1_50OHM</t>
  </si>
  <si>
    <t>S5_RK22_6_50OHM</t>
  </si>
  <si>
    <t>S5_RK31_1_10MIL</t>
  </si>
  <si>
    <t>S5_RK33_10MIL</t>
  </si>
  <si>
    <t>S5_RK35_2_10MIL</t>
  </si>
  <si>
    <t>S5_RK50_2_10MIL</t>
  </si>
  <si>
    <t>S5_RK55_2_10MIL</t>
  </si>
  <si>
    <t>S5_RK55_4_30MIL</t>
  </si>
  <si>
    <t>S5_RK55_5_10MIL</t>
  </si>
  <si>
    <t>S5_RK57_10MIL</t>
  </si>
  <si>
    <t>S5_RK58_10MIL</t>
  </si>
  <si>
    <t>S5_RK59_10MIL</t>
  </si>
  <si>
    <t>S5_RK60_2_10MIL</t>
  </si>
  <si>
    <t>S5_RK60_4_30MIL</t>
  </si>
  <si>
    <t>S5_RK60_5_10MIL</t>
  </si>
  <si>
    <t>S5_RK61_10MIL</t>
  </si>
  <si>
    <t>S5_RK62_10MIL</t>
  </si>
  <si>
    <t>S5_RK67_10MIL</t>
  </si>
  <si>
    <t>S5_RK68_10MIL</t>
  </si>
  <si>
    <t>S5_RK70_1_10MIL</t>
  </si>
  <si>
    <t>S5_RK72_10MIL</t>
  </si>
  <si>
    <t>S5_RK73_10MIL</t>
  </si>
  <si>
    <t>S5_RK76_10MIL</t>
  </si>
  <si>
    <t>S5_RK77_10MIL</t>
  </si>
  <si>
    <t>S5_RK78_10MIL</t>
  </si>
  <si>
    <t>S5_RU5_4_10MIL</t>
  </si>
  <si>
    <t>S5_RU7_3_10MIL</t>
  </si>
  <si>
    <t>S5_RU7_4_10MIL</t>
  </si>
  <si>
    <t>S5_RU7_5_10MIL</t>
  </si>
  <si>
    <t>S5_RU7_8_10MIL</t>
  </si>
  <si>
    <t>S5_R_IFT_E1_10MIL</t>
  </si>
  <si>
    <t>S5_R_IFT_E2_10MIL</t>
  </si>
  <si>
    <t>S5_R_IFT_I2_10A</t>
  </si>
  <si>
    <t>S5_R_U11_5_10MIL</t>
  </si>
  <si>
    <t>S5_R_U11_8_10MIL</t>
  </si>
  <si>
    <t>S5_R_U_IO2_10MIL</t>
  </si>
  <si>
    <t>S5_R_U_IO3_10MIL</t>
  </si>
  <si>
    <t>S5_R_U_IO4_10MIL</t>
  </si>
  <si>
    <t>S5_U5_1_50OHM</t>
  </si>
  <si>
    <t>S5_U5_2_10MIL</t>
  </si>
  <si>
    <t>S5_U5_3_50OHM</t>
  </si>
  <si>
    <t>S5_U5_4_10MIL</t>
  </si>
  <si>
    <t>S5_U5_5_10MIL</t>
  </si>
  <si>
    <t>S5_U6_1_50OHM</t>
  </si>
  <si>
    <t>S5_U6_2_10MIL</t>
  </si>
  <si>
    <t>S5_U6_3_50OHM</t>
  </si>
  <si>
    <t>S5_U6_4_10MIL</t>
  </si>
  <si>
    <t>S5_U6_5_10MIL</t>
  </si>
  <si>
    <t>S5_U7A_LB_10MIL</t>
  </si>
  <si>
    <t>S5_U7B_LB_10MIL</t>
  </si>
  <si>
    <t>S5_U7_1_10MIL</t>
  </si>
  <si>
    <t>S5_U7_2_10MIL</t>
  </si>
  <si>
    <t>S5_U7_3_10MIL</t>
  </si>
  <si>
    <t>S5_U7_4_10MIL</t>
  </si>
  <si>
    <t>S5_U7_5_10MIL</t>
  </si>
  <si>
    <t>S5_U7_6_10MIL</t>
  </si>
  <si>
    <t>S5_U7_7_10MIL</t>
  </si>
  <si>
    <t>S5_U7_8_10MIL</t>
  </si>
  <si>
    <t>S5_U7_N15V_10MIL</t>
  </si>
  <si>
    <t>S5_U7_P15V_10MIL</t>
  </si>
  <si>
    <t>S5_U9_1_10MIL</t>
  </si>
  <si>
    <t>S5_U9_2_10MIL</t>
  </si>
  <si>
    <t>S5_U9_3_10MIL</t>
  </si>
  <si>
    <t>S5_U9_4_10MIL</t>
  </si>
  <si>
    <t>S5_U9_4_30MIL</t>
  </si>
  <si>
    <t>S5_U9_5_30MIL</t>
  </si>
  <si>
    <t>S5_U9_6_10MIL</t>
  </si>
  <si>
    <t>S5_U9_7_30MIL</t>
  </si>
  <si>
    <t>S5_U10_4_10MIL</t>
  </si>
  <si>
    <t>S5_U10_5_10MIL</t>
  </si>
  <si>
    <t>S5_U10_6_10MIL</t>
  </si>
  <si>
    <t>S5_U10_13_10MIL</t>
  </si>
  <si>
    <t>S5_U11_1_10MIL</t>
  </si>
  <si>
    <t>S5_U11_2_10MIL</t>
  </si>
  <si>
    <t>S5_U11_3_10MIL</t>
  </si>
  <si>
    <t>S5_U11_4_10MIL</t>
  </si>
  <si>
    <t>S5_U11_5_10MIL</t>
  </si>
  <si>
    <t>S5_U11_6_10MIL</t>
  </si>
  <si>
    <t>S5_U11_7_10MIL</t>
  </si>
  <si>
    <t>S5_U11_8_10MIL</t>
  </si>
  <si>
    <t>S5_U11_FILTER_10MIL</t>
  </si>
  <si>
    <t>S5_UG6_1_10MIL</t>
  </si>
  <si>
    <t>S5_UG6_2_10MIL</t>
  </si>
  <si>
    <t>S5_UG6_3_10MIL</t>
  </si>
  <si>
    <t>S5_UG6_4_10A</t>
  </si>
  <si>
    <t>S5_UG6_5_10MIL</t>
  </si>
  <si>
    <t>S5_UG6_6_10A</t>
  </si>
  <si>
    <t>S5_UG8_1_10MIL</t>
  </si>
  <si>
    <t>S5_UG8_2_10MIL</t>
  </si>
  <si>
    <t>S5_UG8_3_10MIL</t>
  </si>
  <si>
    <t>S5_UG8_4_10A</t>
  </si>
  <si>
    <t>S5_UG8_5_10MIL</t>
  </si>
  <si>
    <t>S5_UG8_6_10A</t>
  </si>
  <si>
    <t>S5_U_IO2_1_50OHM</t>
  </si>
  <si>
    <t>S5_U_IO2_2_10MIL</t>
  </si>
  <si>
    <t>S5_U_IO2_3_50OHM</t>
  </si>
  <si>
    <t>S5_U_IO2_4_50OHM</t>
  </si>
  <si>
    <t>S5_U_IO2_5_10MIL</t>
  </si>
  <si>
    <t>S5_U_IO2_6_50OHM</t>
  </si>
  <si>
    <t>S5_U_IO3_1_50OHM</t>
  </si>
  <si>
    <t>S5_U_IO3_2_10MIL</t>
  </si>
  <si>
    <t>S5_U_IO3_3_50OHM</t>
  </si>
  <si>
    <t>S5_U_IO3_4_50OHM</t>
  </si>
  <si>
    <t>S5_U_IO3_5_10MIL</t>
  </si>
  <si>
    <t>S5_U_IO3_6_50OHM</t>
  </si>
  <si>
    <t>S5_U_IO4_1_50OHM</t>
  </si>
  <si>
    <t>S5_U_IO4_2_10MIL</t>
  </si>
  <si>
    <t>S5_U_IO4_3_50OHM</t>
  </si>
  <si>
    <t>S5_U_IO4_4_50OHM</t>
  </si>
  <si>
    <t>S5_U_IO4_5_10MIL</t>
  </si>
  <si>
    <t>S5_U_IO4_6_50OHM</t>
  </si>
  <si>
    <t>S5_VDD_F19</t>
  </si>
  <si>
    <t>S5_VDD_S19</t>
  </si>
  <si>
    <t>S5_VINF_F5</t>
  </si>
  <si>
    <t>S5_VINF_S5</t>
  </si>
  <si>
    <t>S5_VINSENSE_F7</t>
  </si>
  <si>
    <t>S5_VINSENSE_S7</t>
  </si>
  <si>
    <t>S5_VIN[1]_F8</t>
  </si>
  <si>
    <t>S5_VIN[4]_F11</t>
  </si>
  <si>
    <t>S5_VIN[4]_S11</t>
  </si>
  <si>
    <t>S5_VOUT[1]_F22</t>
  </si>
  <si>
    <t>S6_C_OUT_10A</t>
  </si>
  <si>
    <t>S6_C_VIN_10A</t>
  </si>
  <si>
    <t>S6_D2_1_10MIL</t>
  </si>
  <si>
    <t>S6_D2_2_10MIL</t>
  </si>
  <si>
    <t>S6_D_OC_F1</t>
  </si>
  <si>
    <t>S6_D_OUT_10A</t>
  </si>
  <si>
    <t>S6_GND_F18</t>
  </si>
  <si>
    <t>S6_GND_S18</t>
  </si>
  <si>
    <t>S6_IMON_F20</t>
  </si>
  <si>
    <t>S6_IMON_S20</t>
  </si>
  <si>
    <t>S6_K0A_1_10MIL</t>
  </si>
  <si>
    <t>S6_K0A_6_10MIL</t>
  </si>
  <si>
    <t>S6_K0B_1_10MIL</t>
  </si>
  <si>
    <t>S6_K0B_2_10MIL</t>
  </si>
  <si>
    <t>S6_K0B_W1_10MIL</t>
  </si>
  <si>
    <t>S6_K0B_W2_10MIL</t>
  </si>
  <si>
    <t>S6_K0_1_10MIL</t>
  </si>
  <si>
    <t>S6_K0_2_10MIL</t>
  </si>
  <si>
    <t>S6_K0_MULTI</t>
  </si>
  <si>
    <t>S6_K1_1_30MIL</t>
  </si>
  <si>
    <t>S6_K1_2_30MIL</t>
  </si>
  <si>
    <t>S6_K1_5_10MIL</t>
  </si>
  <si>
    <t>S6_K1_6_10MIL</t>
  </si>
  <si>
    <t>S6_K2_1_30MIL</t>
  </si>
  <si>
    <t>S6_K2_2_30MIL</t>
  </si>
  <si>
    <t>S6_K2_5_10MIL</t>
  </si>
  <si>
    <t>S6_K2_6_10MIL</t>
  </si>
  <si>
    <t>S6_K3_1_30MIL</t>
  </si>
  <si>
    <t>S6_K3_2_30MIL</t>
  </si>
  <si>
    <t>S6_K4_1_30MIL</t>
  </si>
  <si>
    <t>S6_K4_2_30MIL</t>
  </si>
  <si>
    <t>S6_K4_5_10MIL</t>
  </si>
  <si>
    <t>S6_K4_6_10MIL</t>
  </si>
  <si>
    <t>S6_K5_1_30MIL</t>
  </si>
  <si>
    <t>S6_K5_2_30MIL</t>
  </si>
  <si>
    <t>S6_K5_5_10MIL</t>
  </si>
  <si>
    <t>S6_K5_6_10MIL</t>
  </si>
  <si>
    <t>S6_K6_1_30MIL</t>
  </si>
  <si>
    <t>S6_K6_2_30MIL</t>
  </si>
  <si>
    <t>S6_K6_5_10MIL</t>
  </si>
  <si>
    <t>S6_K6_6_10MIL</t>
  </si>
  <si>
    <t>S6_K7_1_30MIL</t>
  </si>
  <si>
    <t>S6_K7_2_30MIL</t>
  </si>
  <si>
    <t>S6_K7_5_10MIL</t>
  </si>
  <si>
    <t>S6_K7_6_10MIL</t>
  </si>
  <si>
    <t>S6_K8_1_30MIL</t>
  </si>
  <si>
    <t>S6_K8_2_30MIL</t>
  </si>
  <si>
    <t>S6_K8_5_10MIL</t>
  </si>
  <si>
    <t>S6_K8_6_10MIL</t>
  </si>
  <si>
    <t>S6_K9_1_30MIL</t>
  </si>
  <si>
    <t>S6_K9_2_30MIL</t>
  </si>
  <si>
    <t>S6_K9_5_10MIL</t>
  </si>
  <si>
    <t>S6_K9_6_10MIL</t>
  </si>
  <si>
    <t>S6_K10_1_50OHM</t>
  </si>
  <si>
    <t>S6_K10_2_50OHM</t>
  </si>
  <si>
    <t>S6_K10_6_50OHM</t>
  </si>
  <si>
    <t>S6_K11_1_30MIL</t>
  </si>
  <si>
    <t>S6_K11_2_5MIL</t>
  </si>
  <si>
    <t>S6_K11_5_50OHM_NS</t>
  </si>
  <si>
    <t>S6_K11_6_10MIL</t>
  </si>
  <si>
    <t>S6_K12_2_10MIL</t>
  </si>
  <si>
    <t>S6_K12_3_10MIL</t>
  </si>
  <si>
    <t>S6_K12_4_10MIL</t>
  </si>
  <si>
    <t>S6_K12_5_50OHM_NS</t>
  </si>
  <si>
    <t>S6_K12_6_10MIL</t>
  </si>
  <si>
    <t>S6_K12_7_10MIL</t>
  </si>
  <si>
    <t>S6_K13_1_50OHM</t>
  </si>
  <si>
    <t>S6_K13_2_50OHM</t>
  </si>
  <si>
    <t>S6_K14_1_30MIL</t>
  </si>
  <si>
    <t>S6_K14_2_30MIL</t>
  </si>
  <si>
    <t>S6_K14_5_10MIL</t>
  </si>
  <si>
    <t>S6_K14_6_10MIL</t>
  </si>
  <si>
    <t>S6_K15_1_50OHM</t>
  </si>
  <si>
    <t>S6_K15_2_50OHM</t>
  </si>
  <si>
    <t>S6_K15_6_50OHM</t>
  </si>
  <si>
    <t>S6_K16_1_30MIL</t>
  </si>
  <si>
    <t>S6_K16_5_50OHM_NS</t>
  </si>
  <si>
    <t>S6_K16_6_10MIL</t>
  </si>
  <si>
    <t>S6_K17_1_10MIL</t>
  </si>
  <si>
    <t>S6_K17_2_10MIL</t>
  </si>
  <si>
    <t>S6_K18_1_50OHM</t>
  </si>
  <si>
    <t>S6_K18_2_50OHM</t>
  </si>
  <si>
    <t>S6_K18_6_50OHM</t>
  </si>
  <si>
    <t>S6_K19_1_30MIL</t>
  </si>
  <si>
    <t>S6_K19_2_30MIL</t>
  </si>
  <si>
    <t>S6_K19_5_10MIL</t>
  </si>
  <si>
    <t>S6_K19_6_10MIL</t>
  </si>
  <si>
    <t>S6_K20_1_50OHM</t>
  </si>
  <si>
    <t>S6_K20_2_50OHM</t>
  </si>
  <si>
    <t>S6_K20_6_50OHM</t>
  </si>
  <si>
    <t>S6_K21_1_30MIL</t>
  </si>
  <si>
    <t>S6_K21_2_5MIL</t>
  </si>
  <si>
    <t>S6_K21_5_50OHM_NS</t>
  </si>
  <si>
    <t>S6_K21_6_10MIL</t>
  </si>
  <si>
    <t>S6_K22_1_50OHM</t>
  </si>
  <si>
    <t>S6_K22_2_50OHM</t>
  </si>
  <si>
    <t>S6_K22_6_50OHM</t>
  </si>
  <si>
    <t>S6_K23_1_30MIL</t>
  </si>
  <si>
    <t>S6_K23_2_5MIL</t>
  </si>
  <si>
    <t>S6_K23_5_50OHM_NS</t>
  </si>
  <si>
    <t>S6_K23_6_10MIL</t>
  </si>
  <si>
    <t>S6_K24_45_10A</t>
  </si>
  <si>
    <t>S6_K25_1_10MIL</t>
  </si>
  <si>
    <t>S6_K25_2_10MIL</t>
  </si>
  <si>
    <t>S6_K25_5_10MIL</t>
  </si>
  <si>
    <t>S6_K25_6_10MIL</t>
  </si>
  <si>
    <t>S6_K26_1_10MIL</t>
  </si>
  <si>
    <t>S6_K26_2_10MIL</t>
  </si>
  <si>
    <t>S6_K26_5_10MIL</t>
  </si>
  <si>
    <t>S6_K26_6_10MIL</t>
  </si>
  <si>
    <t>S6_K28_2_10MIL</t>
  </si>
  <si>
    <t>S6_K28_3_10MIL</t>
  </si>
  <si>
    <t>S6_K28_4_10MIL</t>
  </si>
  <si>
    <t>S6_K28_5_10MIL</t>
  </si>
  <si>
    <t>S6_K28_6_10MIL</t>
  </si>
  <si>
    <t>S6_K28_7_10MIL</t>
  </si>
  <si>
    <t>S6_K29_1_30MIL</t>
  </si>
  <si>
    <t>S6_K29_2_30MIL</t>
  </si>
  <si>
    <t>S6_K29_5_10MIL</t>
  </si>
  <si>
    <t>S6_K29_6_10MIL</t>
  </si>
  <si>
    <t>S6_K30_1_30MIL</t>
  </si>
  <si>
    <t>S6_K30_2_30MIL</t>
  </si>
  <si>
    <t>S6_K31_1_10MIL</t>
  </si>
  <si>
    <t>S6_K31_2_50OHM_NS</t>
  </si>
  <si>
    <t>S6_K33_1_10MIL</t>
  </si>
  <si>
    <t>S6_K33_2_10MIL</t>
  </si>
  <si>
    <t>S6_K33_3_50OHM</t>
  </si>
  <si>
    <t>S6_K33_4_50OHM</t>
  </si>
  <si>
    <t>S6_K34_1_30MIL</t>
  </si>
  <si>
    <t>S6_K34_2_30MIL</t>
  </si>
  <si>
    <t>S6_K35A_1_10MIL</t>
  </si>
  <si>
    <t>S6_K35A_6_10MIL</t>
  </si>
  <si>
    <t>S6_K35B_1_10MIL</t>
  </si>
  <si>
    <t>S6_K35B_2_10MIL</t>
  </si>
  <si>
    <t>S6_K35B_W1_10MIL</t>
  </si>
  <si>
    <t>S6_K35B_W2_10MIL</t>
  </si>
  <si>
    <t>S6_K35_1_10MIL</t>
  </si>
  <si>
    <t>S6_K35_2_10MIL</t>
  </si>
  <si>
    <t>S6_K35_MULTI</t>
  </si>
  <si>
    <t>S6_K36_1_30MIL</t>
  </si>
  <si>
    <t>S6_K36_2_30MIL</t>
  </si>
  <si>
    <t>S6_K37_1_30MIL</t>
  </si>
  <si>
    <t>S6_K37_2_30MIL</t>
  </si>
  <si>
    <t>S6_K38_1_30MIL</t>
  </si>
  <si>
    <t>S6_K38_2_30MIL</t>
  </si>
  <si>
    <t>S6_K38_5_30MIL</t>
  </si>
  <si>
    <t>S6_K38_6_10MIL</t>
  </si>
  <si>
    <t>S6_K39_1_30MIL</t>
  </si>
  <si>
    <t>S6_K39_2_30MIL</t>
  </si>
  <si>
    <t>S6_K39_5_30MIL</t>
  </si>
  <si>
    <t>S6_K39_6_10MIL</t>
  </si>
  <si>
    <t>S6_K42_1_10MIL</t>
  </si>
  <si>
    <t>S6_K42_2_10MIL</t>
  </si>
  <si>
    <t>S6_K44_1_10MIL</t>
  </si>
  <si>
    <t>S6_K45_2_10A</t>
  </si>
  <si>
    <t>S6_K45_3_10A</t>
  </si>
  <si>
    <t>S6_K45_4_10A</t>
  </si>
  <si>
    <t>S6_K45_5_10A</t>
  </si>
  <si>
    <t>S6_K45_6_10A</t>
  </si>
  <si>
    <t>S6_K45_7_10A</t>
  </si>
  <si>
    <t>S6_K46_1_10MIL</t>
  </si>
  <si>
    <t>S6_K46_2_10MIL</t>
  </si>
  <si>
    <t>S6_K46_5_10MIL</t>
  </si>
  <si>
    <t>S6_K46_6_10MIL</t>
  </si>
  <si>
    <t>S6_K47_1_10MIL</t>
  </si>
  <si>
    <t>S6_K47_2_10MIL</t>
  </si>
  <si>
    <t>S6_K47_5_10MIL</t>
  </si>
  <si>
    <t>S6_K47_6_10MIL</t>
  </si>
  <si>
    <t>S6_K48_10MIL</t>
  </si>
  <si>
    <t>S6_K49_6_10MIL</t>
  </si>
  <si>
    <t>S6_K50_1_10MIL</t>
  </si>
  <si>
    <t>S6_K50_2_10MIL</t>
  </si>
  <si>
    <t>S6_K51_23_10A</t>
  </si>
  <si>
    <t>S6_K53_2_50OHM</t>
  </si>
  <si>
    <t>S6_K53_6_50OHM</t>
  </si>
  <si>
    <t>S6_K54_1_10MIL</t>
  </si>
  <si>
    <t>S6_K54_2_10MIL</t>
  </si>
  <si>
    <t>S6_K54_5_10MIL</t>
  </si>
  <si>
    <t>S6_K54_6_10MIL</t>
  </si>
  <si>
    <t>S6_K55_2_10MIL</t>
  </si>
  <si>
    <t>S6_K55_3_5MIL</t>
  </si>
  <si>
    <t>S6_K55_4_30MIL</t>
  </si>
  <si>
    <t>S6_K55_5_10MIL</t>
  </si>
  <si>
    <t>S6_K55_6_50OHM_NS</t>
  </si>
  <si>
    <t>S6_K55_7_10MIL</t>
  </si>
  <si>
    <t>S6_K56_1_10MIL</t>
  </si>
  <si>
    <t>S6_K56_2_10MIL</t>
  </si>
  <si>
    <t>S6_K56_5_10MIL</t>
  </si>
  <si>
    <t>S6_K56_6_10MIL</t>
  </si>
  <si>
    <t>S6_K57_1_10MIL</t>
  </si>
  <si>
    <t>S6_K57_2_10MIL</t>
  </si>
  <si>
    <t>S6_K57_3_50OHM</t>
  </si>
  <si>
    <t>S6_K57_4_50OHM</t>
  </si>
  <si>
    <t>S6_K58_1_10MIL</t>
  </si>
  <si>
    <t>S6_K58_2_10MIL</t>
  </si>
  <si>
    <t>S6_K58_3_50OHM</t>
  </si>
  <si>
    <t>S6_K58_4_50OHM</t>
  </si>
  <si>
    <t>S6_K59_1_10MIL</t>
  </si>
  <si>
    <t>S6_K59_2_10MIL</t>
  </si>
  <si>
    <t>S6_K59_3_50OHM</t>
  </si>
  <si>
    <t>S6_K59_4_50OHM</t>
  </si>
  <si>
    <t>S6_K60_2_10MIL</t>
  </si>
  <si>
    <t>S6_K60_3_30MIL</t>
  </si>
  <si>
    <t>S6_K60_4_30MIL</t>
  </si>
  <si>
    <t>S6_K60_5_10MIL</t>
  </si>
  <si>
    <t>S6_K60_6_10MIL</t>
  </si>
  <si>
    <t>S6_K60_7_10MIL</t>
  </si>
  <si>
    <t>S6_K61_1_10MIL</t>
  </si>
  <si>
    <t>S6_K61_2_10MIL</t>
  </si>
  <si>
    <t>S6_K61_3_50OHM</t>
  </si>
  <si>
    <t>S6_K61_4_50OHM</t>
  </si>
  <si>
    <t>S6_K62_1_10MIL</t>
  </si>
  <si>
    <t>S6_K62_2_5MIL</t>
  </si>
  <si>
    <t>S6_K63_1_10MIL</t>
  </si>
  <si>
    <t>S6_K63_2_10MIL</t>
  </si>
  <si>
    <t>S6_K63_5_10MIL</t>
  </si>
  <si>
    <t>S6_K63_6_10MIL</t>
  </si>
  <si>
    <t>S6_K64_1_10MIL</t>
  </si>
  <si>
    <t>S6_K64_2_10MIL</t>
  </si>
  <si>
    <t>S6_K64_5_10MIL</t>
  </si>
  <si>
    <t>S6_K64_6_10MIL</t>
  </si>
  <si>
    <t>S6_K65_1_10MIL</t>
  </si>
  <si>
    <t>S6_K65_2_10MIL</t>
  </si>
  <si>
    <t>S6_K65_5_10MIL</t>
  </si>
  <si>
    <t>S6_K65_6_10MIL</t>
  </si>
  <si>
    <t>S6_K66_1_10MIL</t>
  </si>
  <si>
    <t>S6_K66_2_10MIL</t>
  </si>
  <si>
    <t>S6_K66_5_10MIL</t>
  </si>
  <si>
    <t>S6_K66_6_10MIL</t>
  </si>
  <si>
    <t>S6_K67_1_10MIL</t>
  </si>
  <si>
    <t>S6_K67_2_5MIL</t>
  </si>
  <si>
    <t>S6_K68_1_10MIL</t>
  </si>
  <si>
    <t>S6_K68_2_10MIL</t>
  </si>
  <si>
    <t>S6_K68_3_50OHM</t>
  </si>
  <si>
    <t>S6_K68_4_50OHM</t>
  </si>
  <si>
    <t>S6_K69_1_30MIL</t>
  </si>
  <si>
    <t>S6_K69_2_30MIL</t>
  </si>
  <si>
    <t>S6_K69_5_10MIL</t>
  </si>
  <si>
    <t>S6_K69_6_10MIL</t>
  </si>
  <si>
    <t>S6_K70_1_10MIL</t>
  </si>
  <si>
    <t>S6_K70_2_5MIL</t>
  </si>
  <si>
    <t>S6_K71_1_10MIL</t>
  </si>
  <si>
    <t>S6_K71_2_10MIL</t>
  </si>
  <si>
    <t>S6_K71_5_10MIL</t>
  </si>
  <si>
    <t>S6_K71_6_10MIL</t>
  </si>
  <si>
    <t>S6_K72_1_10MIL</t>
  </si>
  <si>
    <t>S6_K72_2_5MIL</t>
  </si>
  <si>
    <t>S6_K73_1_10MIL</t>
  </si>
  <si>
    <t>S6_K73_2_5MIL</t>
  </si>
  <si>
    <t>S6_K74_2_50OHM_NS</t>
  </si>
  <si>
    <t>S6_K75_1_10MIL</t>
  </si>
  <si>
    <t>S6_K75_2_10MIL</t>
  </si>
  <si>
    <t>S6_K76_1_10MIL</t>
  </si>
  <si>
    <t>S6_K76_2_5MIL</t>
  </si>
  <si>
    <t>S6_K77_1_10MIL</t>
  </si>
  <si>
    <t>S6_K77_2_10MIL</t>
  </si>
  <si>
    <t>S6_K78_1_10MIL</t>
  </si>
  <si>
    <t>S6_K78_2_5MIL</t>
  </si>
  <si>
    <t>S6_K79_3_30MIL</t>
  </si>
  <si>
    <t>S6_K79_4_30MIL</t>
  </si>
  <si>
    <t>S6_K79_5_10MIL</t>
  </si>
  <si>
    <t>S6_K79_6_10MIL</t>
  </si>
  <si>
    <t>S6_MG_15V</t>
  </si>
  <si>
    <t>S6_MG_N15V</t>
  </si>
  <si>
    <t>S6_NC_F15</t>
  </si>
  <si>
    <t>S6_NC_GATE_F6</t>
  </si>
  <si>
    <t>S6_NC_GATE_S6</t>
  </si>
  <si>
    <t>S6_NC_S15</t>
  </si>
  <si>
    <t>S6_NC_VOUTSENSE_F28</t>
  </si>
  <si>
    <t>S6_NC_VOUTSENSE_S28</t>
  </si>
  <si>
    <t>S6_ON/PD_F2</t>
  </si>
  <si>
    <t>S6_Q1_1_30MIL</t>
  </si>
  <si>
    <t>S6_Q1_S_10A</t>
  </si>
  <si>
    <t>S6_QK0_2_10MIL</t>
  </si>
  <si>
    <t>S6_QK0_3_10MIL</t>
  </si>
  <si>
    <t>S6_QK35_2_10MIL</t>
  </si>
  <si>
    <t>S6_QK35_3_10MIL</t>
  </si>
  <si>
    <t>S6_R20_30MIL</t>
  </si>
  <si>
    <t>S6_R21_30MIL</t>
  </si>
  <si>
    <t>S6_RCOUTDISCHARGE_10A</t>
  </si>
  <si>
    <t>S6_RDDISCHARGE_10A</t>
  </si>
  <si>
    <t>S6_RFU6_4_10MIL</t>
  </si>
  <si>
    <t>S6_RIFT_1_10MIL</t>
  </si>
  <si>
    <t>S6_RIFT_2_10MIL</t>
  </si>
  <si>
    <t>S6_RK0_2_10MIL</t>
  </si>
  <si>
    <t>S6_RK10_1_50OHM</t>
  </si>
  <si>
    <t>S6_RK10_6_50OHM</t>
  </si>
  <si>
    <t>S6_RK12_3_10MIL</t>
  </si>
  <si>
    <t>S6_RK12_6_10MIL</t>
  </si>
  <si>
    <t>S6_RK15_1_50OHM</t>
  </si>
  <si>
    <t>S6_RK15_6_50OHM</t>
  </si>
  <si>
    <t>S6_RK17_10MIL</t>
  </si>
  <si>
    <t>S6_RK18_1_50OHM</t>
  </si>
  <si>
    <t>S6_RK18_6_50OHM</t>
  </si>
  <si>
    <t>S6_RK20_1_50OHM</t>
  </si>
  <si>
    <t>S6_RK20_6_50OHM</t>
  </si>
  <si>
    <t>S6_RK22_1_50OHM</t>
  </si>
  <si>
    <t>S6_RK22_6_50OHM</t>
  </si>
  <si>
    <t>S6_RK31_1_10MIL</t>
  </si>
  <si>
    <t>S6_RK33_10MIL</t>
  </si>
  <si>
    <t>S6_RK35_2_10MIL</t>
  </si>
  <si>
    <t>S6_RK50_2_10MIL</t>
  </si>
  <si>
    <t>S6_RK55_2_10MIL</t>
  </si>
  <si>
    <t>S6_RK55_4_30MIL</t>
  </si>
  <si>
    <t>S6_RK55_5_10MIL</t>
  </si>
  <si>
    <t>S6_RK57_10MIL</t>
  </si>
  <si>
    <t>S6_RK58_10MIL</t>
  </si>
  <si>
    <t>S6_RK59_10MIL</t>
  </si>
  <si>
    <t>S6_RK60_2_10MIL</t>
  </si>
  <si>
    <t>S6_RK60_4_30MIL</t>
  </si>
  <si>
    <t>S6_RK60_5_10MIL</t>
  </si>
  <si>
    <t>S6_RK61_10MIL</t>
  </si>
  <si>
    <t>S6_RK62_10MIL</t>
  </si>
  <si>
    <t>S6_RK67_10MIL</t>
  </si>
  <si>
    <t>S6_RK68_10MIL</t>
  </si>
  <si>
    <t>S6_RK70_1_10MIL</t>
  </si>
  <si>
    <t>S6_RK72_10MIL</t>
  </si>
  <si>
    <t>S6_RK73_10MIL</t>
  </si>
  <si>
    <t>S6_RK76_10MIL</t>
  </si>
  <si>
    <t>S6_RK77_10MIL</t>
  </si>
  <si>
    <t>S6_RK78_10MIL</t>
  </si>
  <si>
    <t>S6_RU5_4_10MIL</t>
  </si>
  <si>
    <t>S6_RU7_3_10MIL</t>
  </si>
  <si>
    <t>S6_RU7_4_10MIL</t>
  </si>
  <si>
    <t>S6_RU7_5_10MIL</t>
  </si>
  <si>
    <t>S6_RU7_8_10MIL</t>
  </si>
  <si>
    <t>S6_R_IFT_E1_10MIL</t>
  </si>
  <si>
    <t>S6_R_IFT_E2_10MIL</t>
  </si>
  <si>
    <t>S6_R_IFT_I2_10A</t>
  </si>
  <si>
    <t>S6_R_U11_5_10MIL</t>
  </si>
  <si>
    <t>S6_R_U11_8_10MIL</t>
  </si>
  <si>
    <t>S6_R_U_IO2_10MIL</t>
  </si>
  <si>
    <t>S6_R_U_IO3_10MIL</t>
  </si>
  <si>
    <t>S6_R_U_IO4_10MIL</t>
  </si>
  <si>
    <t>S6_U5_1_50OHM</t>
  </si>
  <si>
    <t>S6_U5_2_10MIL</t>
  </si>
  <si>
    <t>S6_U5_3_50OHM</t>
  </si>
  <si>
    <t>S6_U5_4_10MIL</t>
  </si>
  <si>
    <t>S6_U5_5_10MIL</t>
  </si>
  <si>
    <t>S6_U6_1_50OHM</t>
  </si>
  <si>
    <t>S6_U6_2_10MIL</t>
  </si>
  <si>
    <t>S6_U6_3_50OHM</t>
  </si>
  <si>
    <t>S6_U6_4_10MIL</t>
  </si>
  <si>
    <t>S6_U6_5_10MIL</t>
  </si>
  <si>
    <t>S6_U7A_LB_10MIL</t>
  </si>
  <si>
    <t>S6_U7B_LB_10MIL</t>
  </si>
  <si>
    <t>S6_U7_1_10MIL</t>
  </si>
  <si>
    <t>S6_U7_2_10MIL</t>
  </si>
  <si>
    <t>S6_U7_3_10MIL</t>
  </si>
  <si>
    <t>S6_U7_4_10MIL</t>
  </si>
  <si>
    <t>S6_U7_5_10MIL</t>
  </si>
  <si>
    <t>S6_U7_6_10MIL</t>
  </si>
  <si>
    <t>S6_U7_7_10MIL</t>
  </si>
  <si>
    <t>S6_U7_8_10MIL</t>
  </si>
  <si>
    <t>S6_U7_N15V_10MIL</t>
  </si>
  <si>
    <t>S6_U7_P15V_10MIL</t>
  </si>
  <si>
    <t>S6_U9_1_10MIL</t>
  </si>
  <si>
    <t>S6_U9_2_10MIL</t>
  </si>
  <si>
    <t>S6_U9_3_10MIL</t>
  </si>
  <si>
    <t>S6_U9_4_10MIL</t>
  </si>
  <si>
    <t>S6_U9_4_30MIL</t>
  </si>
  <si>
    <t>S6_U9_5_30MIL</t>
  </si>
  <si>
    <t>S6_U9_6_10MIL</t>
  </si>
  <si>
    <t>S6_U9_7_30MIL</t>
  </si>
  <si>
    <t>S6_U10_4_10MIL</t>
  </si>
  <si>
    <t>S6_U10_5_10MIL</t>
  </si>
  <si>
    <t>S6_U10_6_10MIL</t>
  </si>
  <si>
    <t>S6_U10_13_10MIL</t>
  </si>
  <si>
    <t>S6_U11_1_10MIL</t>
  </si>
  <si>
    <t>S6_U11_2_10MIL</t>
  </si>
  <si>
    <t>S6_U11_3_10MIL</t>
  </si>
  <si>
    <t>S6_U11_4_10MIL</t>
  </si>
  <si>
    <t>S6_U11_5_10MIL</t>
  </si>
  <si>
    <t>S6_U11_6_10MIL</t>
  </si>
  <si>
    <t>S6_U11_7_10MIL</t>
  </si>
  <si>
    <t>S6_U11_8_10MIL</t>
  </si>
  <si>
    <t>S6_U11_FILTER_10MIL</t>
  </si>
  <si>
    <t>S6_UG6_1_10MIL</t>
  </si>
  <si>
    <t>S6_UG6_2_10MIL</t>
  </si>
  <si>
    <t>S6_UG6_3_10MIL</t>
  </si>
  <si>
    <t>S6_UG6_4_10A</t>
  </si>
  <si>
    <t>S6_UG6_5_10MIL</t>
  </si>
  <si>
    <t>S6_UG6_6_10A</t>
  </si>
  <si>
    <t>S6_UG8_1_10MIL</t>
  </si>
  <si>
    <t>S6_UG8_2_10MIL</t>
  </si>
  <si>
    <t>S6_UG8_3_10MIL</t>
  </si>
  <si>
    <t>S6_UG8_4_10A</t>
  </si>
  <si>
    <t>S6_UG8_5_10MIL</t>
  </si>
  <si>
    <t>S6_UG8_6_10A</t>
  </si>
  <si>
    <t>S6_U_IO2_1_50OHM</t>
  </si>
  <si>
    <t>S6_U_IO2_2_10MIL</t>
  </si>
  <si>
    <t>S6_U_IO2_3_50OHM</t>
  </si>
  <si>
    <t>S6_U_IO2_4_50OHM</t>
  </si>
  <si>
    <t>S6_U_IO2_5_10MIL</t>
  </si>
  <si>
    <t>S6_U_IO2_6_50OHM</t>
  </si>
  <si>
    <t>S6_U_IO3_1_50OHM</t>
  </si>
  <si>
    <t>S6_U_IO3_2_10MIL</t>
  </si>
  <si>
    <t>S6_U_IO3_3_50OHM</t>
  </si>
  <si>
    <t>S6_U_IO3_4_50OHM</t>
  </si>
  <si>
    <t>S6_U_IO3_5_10MIL</t>
  </si>
  <si>
    <t>S6_U_IO3_6_50OHM</t>
  </si>
  <si>
    <t>S6_U_IO4_1_50OHM</t>
  </si>
  <si>
    <t>S6_U_IO4_2_10MIL</t>
  </si>
  <si>
    <t>S6_U_IO4_3_50OHM</t>
  </si>
  <si>
    <t>S6_U_IO4_4_50OHM</t>
  </si>
  <si>
    <t>S6_U_IO4_5_10MIL</t>
  </si>
  <si>
    <t>S6_U_IO4_6_50OHM</t>
  </si>
  <si>
    <t>S6_VDD_F19</t>
  </si>
  <si>
    <t>S6_VDD_S19</t>
  </si>
  <si>
    <t>S6_VINF_F5</t>
  </si>
  <si>
    <t>S6_VINF_S5</t>
  </si>
  <si>
    <t>S6_VINSENSE_F7</t>
  </si>
  <si>
    <t>S6_VINSENSE_S7</t>
  </si>
  <si>
    <t>S6_VIN[1]_F8</t>
  </si>
  <si>
    <t>S6_VIN[4]_F11</t>
  </si>
  <si>
    <t>S6_VIN[4]_S11</t>
  </si>
  <si>
    <t>S6_VOUT[1]_F22</t>
  </si>
  <si>
    <t>S7_C_OUT_10A</t>
  </si>
  <si>
    <t>S7_C_VIN_10A</t>
  </si>
  <si>
    <t>S7_D2_1_10MIL</t>
  </si>
  <si>
    <t>S7_D2_2_10MIL</t>
  </si>
  <si>
    <t>S7_D_OC_F1</t>
  </si>
  <si>
    <t>S7_D_OUT_10A</t>
  </si>
  <si>
    <t>S7_GND_F18</t>
  </si>
  <si>
    <t>S7_GND_S18</t>
  </si>
  <si>
    <t>S7_IMON_F20</t>
  </si>
  <si>
    <t>S7_IMON_S20</t>
  </si>
  <si>
    <t>S7_K0A_1_10MIL</t>
  </si>
  <si>
    <t>S7_K0A_6_10MIL</t>
  </si>
  <si>
    <t>S7_K0B_1_10MIL</t>
  </si>
  <si>
    <t>S7_K0B_2_10MIL</t>
  </si>
  <si>
    <t>S7_K0B_W1_10MIL</t>
  </si>
  <si>
    <t>S7_K0B_W2_10MIL</t>
  </si>
  <si>
    <t>S7_K0_1_10MIL</t>
  </si>
  <si>
    <t>S7_K0_2_10MIL</t>
  </si>
  <si>
    <t>S7_K0_MULTI</t>
  </si>
  <si>
    <t>S7_K1_1_30MIL</t>
  </si>
  <si>
    <t>S7_K1_2_30MIL</t>
  </si>
  <si>
    <t>S7_K1_5_10MIL</t>
  </si>
  <si>
    <t>S7_K1_6_10MIL</t>
  </si>
  <si>
    <t>S7_K2_1_30MIL</t>
  </si>
  <si>
    <t>S7_K2_2_30MIL</t>
  </si>
  <si>
    <t>S7_K2_5_10MIL</t>
  </si>
  <si>
    <t>S7_K2_6_10MIL</t>
  </si>
  <si>
    <t>S7_K3_1_30MIL</t>
  </si>
  <si>
    <t>S7_K3_2_30MIL</t>
  </si>
  <si>
    <t>S7_K4_1_30MIL</t>
  </si>
  <si>
    <t>S7_K4_2_30MIL</t>
  </si>
  <si>
    <t>S7_K4_5_10MIL</t>
  </si>
  <si>
    <t>S7_K4_6_10MIL</t>
  </si>
  <si>
    <t>S7_K5_1_30MIL</t>
  </si>
  <si>
    <t>S7_K5_2_30MIL</t>
  </si>
  <si>
    <t>S7_K5_5_10MIL</t>
  </si>
  <si>
    <t>S7_K5_6_10MIL</t>
  </si>
  <si>
    <t>S7_K6_1_30MIL</t>
  </si>
  <si>
    <t>S7_K6_2_30MIL</t>
  </si>
  <si>
    <t>S7_K6_5_10MIL</t>
  </si>
  <si>
    <t>S7_K6_6_10MIL</t>
  </si>
  <si>
    <t>S7_K7_1_30MIL</t>
  </si>
  <si>
    <t>S7_K7_2_30MIL</t>
  </si>
  <si>
    <t>S7_K7_5_10MIL</t>
  </si>
  <si>
    <t>S7_K7_6_10MIL</t>
  </si>
  <si>
    <t>S7_K8_1_30MIL</t>
  </si>
  <si>
    <t>S7_K8_2_30MIL</t>
  </si>
  <si>
    <t>S7_K8_5_10MIL</t>
  </si>
  <si>
    <t>S7_K8_6_10MIL</t>
  </si>
  <si>
    <t>S7_K9_1_30MIL</t>
  </si>
  <si>
    <t>S7_K9_2_30MIL</t>
  </si>
  <si>
    <t>S7_K9_5_10MIL</t>
  </si>
  <si>
    <t>S7_K9_6_10MIL</t>
  </si>
  <si>
    <t>S7_K10_1_50OHM</t>
  </si>
  <si>
    <t>S7_K10_2_50OHM</t>
  </si>
  <si>
    <t>S7_K10_6_50OHM</t>
  </si>
  <si>
    <t>S7_K11_1_30MIL</t>
  </si>
  <si>
    <t>S7_K11_2_5MIL</t>
  </si>
  <si>
    <t>S7_K11_5_50OHM_NS</t>
  </si>
  <si>
    <t>S7_K11_6_10MIL</t>
  </si>
  <si>
    <t>S7_K12_2_10MIL</t>
  </si>
  <si>
    <t>S7_K12_3_10MIL</t>
  </si>
  <si>
    <t>S7_K12_4_10MIL</t>
  </si>
  <si>
    <t>S7_K12_5_50OHM_NS</t>
  </si>
  <si>
    <t>S7_K12_6_10MIL</t>
  </si>
  <si>
    <t>S7_K12_7_10MIL</t>
  </si>
  <si>
    <t>S7_K13_1_50OHM</t>
  </si>
  <si>
    <t>S7_K13_2_50OHM</t>
  </si>
  <si>
    <t>S7_K14_1_30MIL</t>
  </si>
  <si>
    <t>S7_K14_2_30MIL</t>
  </si>
  <si>
    <t>S7_K14_5_10MIL</t>
  </si>
  <si>
    <t>S7_K14_6_10MIL</t>
  </si>
  <si>
    <t>S7_K15_1_50OHM</t>
  </si>
  <si>
    <t>S7_K15_2_50OHM</t>
  </si>
  <si>
    <t>S7_K15_6_50OHM</t>
  </si>
  <si>
    <t>S7_K16_1_30MIL</t>
  </si>
  <si>
    <t>S7_K16_5_50OHM_NS</t>
  </si>
  <si>
    <t>S7_K16_6_10MIL</t>
  </si>
  <si>
    <t>S7_K17_1_10MIL</t>
  </si>
  <si>
    <t>S7_K17_2_10MIL</t>
  </si>
  <si>
    <t>S7_K18_1_50OHM</t>
  </si>
  <si>
    <t>S7_K18_2_50OHM</t>
  </si>
  <si>
    <t>S7_K18_6_50OHM</t>
  </si>
  <si>
    <t>S7_K19_1_30MIL</t>
  </si>
  <si>
    <t>S7_K19_2_30MIL</t>
  </si>
  <si>
    <t>S7_K19_5_10MIL</t>
  </si>
  <si>
    <t>S7_K19_6_10MIL</t>
  </si>
  <si>
    <t>S7_K20_1_50OHM</t>
  </si>
  <si>
    <t>S7_K20_2_50OHM</t>
  </si>
  <si>
    <t>S7_K20_6_50OHM</t>
  </si>
  <si>
    <t>S7_K21_1_30MIL</t>
  </si>
  <si>
    <t>S7_K21_2_5MIL</t>
  </si>
  <si>
    <t>S7_K21_5_50OHM_NS</t>
  </si>
  <si>
    <t>S7_K21_6_10MIL</t>
  </si>
  <si>
    <t>S7_K22_1_50OHM</t>
  </si>
  <si>
    <t>S7_K22_2_50OHM</t>
  </si>
  <si>
    <t>S7_K22_6_50OHM</t>
  </si>
  <si>
    <t>S7_K23_1_30MIL</t>
  </si>
  <si>
    <t>S7_K23_2_5MIL</t>
  </si>
  <si>
    <t>S7_K23_5_50OHM_NS</t>
  </si>
  <si>
    <t>S7_K23_6_10MIL</t>
  </si>
  <si>
    <t>S7_K24_45_10A</t>
  </si>
  <si>
    <t>S7_K25_1_10MIL</t>
  </si>
  <si>
    <t>S7_K25_2_10MIL</t>
  </si>
  <si>
    <t>S7_K25_5_10MIL</t>
  </si>
  <si>
    <t>S7_K25_6_10MIL</t>
  </si>
  <si>
    <t>S7_K26_1_10MIL</t>
  </si>
  <si>
    <t>S7_K26_2_10MIL</t>
  </si>
  <si>
    <t>S7_K26_5_10MIL</t>
  </si>
  <si>
    <t>S7_K26_6_10MIL</t>
  </si>
  <si>
    <t>S7_K28_2_10MIL</t>
  </si>
  <si>
    <t>S7_K28_3_10MIL</t>
  </si>
  <si>
    <t>S7_K28_4_10MIL</t>
  </si>
  <si>
    <t>S7_K28_5_10MIL</t>
  </si>
  <si>
    <t>S7_K28_6_10MIL</t>
  </si>
  <si>
    <t>S7_K28_7_10MIL</t>
  </si>
  <si>
    <t>S7_K29_1_30MIL</t>
  </si>
  <si>
    <t>S7_K29_2_30MIL</t>
  </si>
  <si>
    <t>S7_K29_5_10MIL</t>
  </si>
  <si>
    <t>S7_K29_6_10MIL</t>
  </si>
  <si>
    <t>S7_K30_1_30MIL</t>
  </si>
  <si>
    <t>S7_K30_2_30MIL</t>
  </si>
  <si>
    <t>S7_K31_1_10MIL</t>
  </si>
  <si>
    <t>S7_K31_2_50OHM_NS</t>
  </si>
  <si>
    <t>S7_K33_1_10MIL</t>
  </si>
  <si>
    <t>S7_K33_2_10MIL</t>
  </si>
  <si>
    <t>S7_K33_3_50OHM</t>
  </si>
  <si>
    <t>S7_K33_4_50OHM</t>
  </si>
  <si>
    <t>S7_K34_1_30MIL</t>
  </si>
  <si>
    <t>S7_K34_2_30MIL</t>
  </si>
  <si>
    <t>S7_K35A_1_10MIL</t>
  </si>
  <si>
    <t>S7_K35A_6_10MIL</t>
  </si>
  <si>
    <t>S7_K35B_1_10MIL</t>
  </si>
  <si>
    <t>S7_K35B_2_10MIL</t>
  </si>
  <si>
    <t>S7_K35B_W1_10MIL</t>
  </si>
  <si>
    <t>S7_K35B_W2_10MIL</t>
  </si>
  <si>
    <t>S7_K35_1_10MIL</t>
  </si>
  <si>
    <t>S7_K35_2_10MIL</t>
  </si>
  <si>
    <t>S7_K35_MULTI</t>
  </si>
  <si>
    <t>S7_K36_1_30MIL</t>
  </si>
  <si>
    <t>S7_K36_2_30MIL</t>
  </si>
  <si>
    <t>S7_K37_1_30MIL</t>
  </si>
  <si>
    <t>S7_K37_2_30MIL</t>
  </si>
  <si>
    <t>S7_K38_1_30MIL</t>
  </si>
  <si>
    <t>S7_K38_2_30MIL</t>
  </si>
  <si>
    <t>S7_K38_5_30MIL</t>
  </si>
  <si>
    <t>S7_K38_6_10MIL</t>
  </si>
  <si>
    <t>S7_K39_1_30MIL</t>
  </si>
  <si>
    <t>S7_K39_2_30MIL</t>
  </si>
  <si>
    <t>S7_K39_5_30MIL</t>
  </si>
  <si>
    <t>S7_K39_6_10MIL</t>
  </si>
  <si>
    <t>S7_K42_1_10MIL</t>
  </si>
  <si>
    <t>S7_K42_2_10MIL</t>
  </si>
  <si>
    <t>S7_K44_1_10MIL</t>
  </si>
  <si>
    <t>S7_K45_2_10A</t>
  </si>
  <si>
    <t>S7_K45_3_10A</t>
  </si>
  <si>
    <t>S7_K45_4_10A</t>
  </si>
  <si>
    <t>S7_K45_5_10A</t>
  </si>
  <si>
    <t>S7_K45_6_10A</t>
  </si>
  <si>
    <t>S7_K45_7_10A</t>
  </si>
  <si>
    <t>S7_K46_1_10MIL</t>
  </si>
  <si>
    <t>S7_K46_2_10MIL</t>
  </si>
  <si>
    <t>S7_K46_5_10MIL</t>
  </si>
  <si>
    <t>S7_K46_6_10MIL</t>
  </si>
  <si>
    <t>S7_K47_1_10MIL</t>
  </si>
  <si>
    <t>S7_K47_2_10MIL</t>
  </si>
  <si>
    <t>S7_K47_5_10MIL</t>
  </si>
  <si>
    <t>S7_K47_6_10MIL</t>
  </si>
  <si>
    <t>S7_K48_10MIL</t>
  </si>
  <si>
    <t>S7_K49_6_10MIL</t>
  </si>
  <si>
    <t>S7_K50_1_10MIL</t>
  </si>
  <si>
    <t>S7_K50_2_10MIL</t>
  </si>
  <si>
    <t>S7_K51_23_10A</t>
  </si>
  <si>
    <t>S7_K53_2_50OHM</t>
  </si>
  <si>
    <t>S7_K53_6_50OHM</t>
  </si>
  <si>
    <t>S7_K54_1_10MIL</t>
  </si>
  <si>
    <t>S7_K54_2_10MIL</t>
  </si>
  <si>
    <t>S7_K54_5_10MIL</t>
  </si>
  <si>
    <t>S7_K54_6_10MIL</t>
  </si>
  <si>
    <t>S7_K55_2_10MIL</t>
  </si>
  <si>
    <t>S7_K55_3_5MIL</t>
  </si>
  <si>
    <t>S7_K55_4_30MIL</t>
  </si>
  <si>
    <t>S7_K55_5_10MIL</t>
  </si>
  <si>
    <t>S7_K55_6_50OHM_NS</t>
  </si>
  <si>
    <t>S7_K55_7_10MIL</t>
  </si>
  <si>
    <t>S7_K56_1_10MIL</t>
  </si>
  <si>
    <t>S7_K56_2_10MIL</t>
  </si>
  <si>
    <t>S7_K56_5_10MIL</t>
  </si>
  <si>
    <t>S7_K56_6_10MIL</t>
  </si>
  <si>
    <t>S7_K57_1_10MIL</t>
  </si>
  <si>
    <t>S7_K57_2_10MIL</t>
  </si>
  <si>
    <t>S7_K57_3_50OHM</t>
  </si>
  <si>
    <t>S7_K57_4_50OHM</t>
  </si>
  <si>
    <t>S7_K58_1_10MIL</t>
  </si>
  <si>
    <t>S7_K58_2_10MIL</t>
  </si>
  <si>
    <t>S7_K58_3_50OHM</t>
  </si>
  <si>
    <t>S7_K58_4_50OHM</t>
  </si>
  <si>
    <t>S7_K59_1_10MIL</t>
  </si>
  <si>
    <t>S7_K59_2_10MIL</t>
  </si>
  <si>
    <t>S7_K59_3_50OHM</t>
  </si>
  <si>
    <t>S7_K59_4_50OHM</t>
  </si>
  <si>
    <t>S7_K60_2_10MIL</t>
  </si>
  <si>
    <t>S7_K60_3_30MIL</t>
  </si>
  <si>
    <t>S7_K60_4_30MIL</t>
  </si>
  <si>
    <t>S7_K60_5_10MIL</t>
  </si>
  <si>
    <t>S7_K60_6_10MIL</t>
  </si>
  <si>
    <t>S7_K60_7_10MIL</t>
  </si>
  <si>
    <t>S7_K61_1_10MIL</t>
  </si>
  <si>
    <t>S7_K61_2_10MIL</t>
  </si>
  <si>
    <t>S7_K61_3_50OHM</t>
  </si>
  <si>
    <t>S7_K61_4_50OHM</t>
  </si>
  <si>
    <t>S7_K62_1_10MIL</t>
  </si>
  <si>
    <t>S7_K62_2_5MIL</t>
  </si>
  <si>
    <t>S7_K63_1_10MIL</t>
  </si>
  <si>
    <t>S7_K63_2_10MIL</t>
  </si>
  <si>
    <t>S7_K63_5_10MIL</t>
  </si>
  <si>
    <t>S7_K63_6_10MIL</t>
  </si>
  <si>
    <t>S7_K64_1_10MIL</t>
  </si>
  <si>
    <t>S7_K64_2_10MIL</t>
  </si>
  <si>
    <t>S7_K64_5_10MIL</t>
  </si>
  <si>
    <t>S7_K64_6_10MIL</t>
  </si>
  <si>
    <t>S7_K65_1_10MIL</t>
  </si>
  <si>
    <t>S7_K65_2_10MIL</t>
  </si>
  <si>
    <t>S7_K65_5_10MIL</t>
  </si>
  <si>
    <t>S7_K65_6_10MIL</t>
  </si>
  <si>
    <t>S7_K66_1_10MIL</t>
  </si>
  <si>
    <t>S7_K66_2_10MIL</t>
  </si>
  <si>
    <t>S7_K66_5_10MIL</t>
  </si>
  <si>
    <t>S7_K66_6_10MIL</t>
  </si>
  <si>
    <t>S7_K67_1_10MIL</t>
  </si>
  <si>
    <t>S7_K67_2_5MIL</t>
  </si>
  <si>
    <t>S7_K68_1_10MIL</t>
  </si>
  <si>
    <t>S7_K68_2_10MIL</t>
  </si>
  <si>
    <t>S7_K68_3_50OHM</t>
  </si>
  <si>
    <t>S7_K68_4_50OHM</t>
  </si>
  <si>
    <t>S7_K69_1_30MIL</t>
  </si>
  <si>
    <t>S7_K69_2_30MIL</t>
  </si>
  <si>
    <t>S7_K69_5_10MIL</t>
  </si>
  <si>
    <t>S7_K69_6_10MIL</t>
  </si>
  <si>
    <t>S7_K70_1_10MIL</t>
  </si>
  <si>
    <t>S7_K70_2_5MIL</t>
  </si>
  <si>
    <t>S7_K71_1_10MIL</t>
  </si>
  <si>
    <t>S7_K71_2_10MIL</t>
  </si>
  <si>
    <t>S7_K71_5_10MIL</t>
  </si>
  <si>
    <t>S7_K71_6_10MIL</t>
  </si>
  <si>
    <t>S7_K72_1_10MIL</t>
  </si>
  <si>
    <t>S7_K72_2_5MIL</t>
  </si>
  <si>
    <t>S7_K73_1_10MIL</t>
  </si>
  <si>
    <t>S7_K73_2_5MIL</t>
  </si>
  <si>
    <t>S7_K74_2_50OHM_NS</t>
  </si>
  <si>
    <t>S7_K75_1_10MIL</t>
  </si>
  <si>
    <t>S7_K75_2_10MIL</t>
  </si>
  <si>
    <t>S7_K76_1_10MIL</t>
  </si>
  <si>
    <t>S7_K76_2_5MIL</t>
  </si>
  <si>
    <t>S7_K77_1_10MIL</t>
  </si>
  <si>
    <t>S7_K77_2_10MIL</t>
  </si>
  <si>
    <t>S7_K78_1_10MIL</t>
  </si>
  <si>
    <t>S7_K78_2_5MIL</t>
  </si>
  <si>
    <t>S7_K79_3_30MIL</t>
  </si>
  <si>
    <t>S7_K79_4_30MIL</t>
  </si>
  <si>
    <t>S7_K79_5_10MIL</t>
  </si>
  <si>
    <t>S7_K79_6_10MIL</t>
  </si>
  <si>
    <t>S7_MG_15V</t>
  </si>
  <si>
    <t>S7_MG_N15V</t>
  </si>
  <si>
    <t>S7_NC_F15</t>
  </si>
  <si>
    <t>S7_NC_GATE_F6</t>
  </si>
  <si>
    <t>S7_NC_GATE_S6</t>
  </si>
  <si>
    <t>S7_NC_S15</t>
  </si>
  <si>
    <t>S7_NC_VOUTSENSE_F28</t>
  </si>
  <si>
    <t>S7_NC_VOUTSENSE_S28</t>
  </si>
  <si>
    <t>S7_ON/PD_F2</t>
  </si>
  <si>
    <t>S7_Q1_1_30MIL</t>
  </si>
  <si>
    <t>S7_Q1_S_10A</t>
  </si>
  <si>
    <t>S7_QK0_2_10MIL</t>
  </si>
  <si>
    <t>S7_QK0_3_10MIL</t>
  </si>
  <si>
    <t>S7_QK35_2_10MIL</t>
  </si>
  <si>
    <t>S7_QK35_3_10MIL</t>
  </si>
  <si>
    <t>S7_R20_30MIL</t>
  </si>
  <si>
    <t>S7_R21_30MIL</t>
  </si>
  <si>
    <t>S7_RCOUTDISCHARGE_10A</t>
  </si>
  <si>
    <t>S7_RDDISCHARGE_10A</t>
  </si>
  <si>
    <t>S7_RFU6_4_10MIL</t>
  </si>
  <si>
    <t>S7_RIFT_1_10MIL</t>
  </si>
  <si>
    <t>S7_RIFT_2_10MIL</t>
  </si>
  <si>
    <t>S7_RK0_2_10MIL</t>
  </si>
  <si>
    <t>S7_RK10_1_50OHM</t>
  </si>
  <si>
    <t>S7_RK10_6_50OHM</t>
  </si>
  <si>
    <t>S7_RK12_3_10MIL</t>
  </si>
  <si>
    <t>S7_RK12_6_10MIL</t>
  </si>
  <si>
    <t>S7_RK15_1_50OHM</t>
  </si>
  <si>
    <t>S7_RK15_6_50OHM</t>
  </si>
  <si>
    <t>S7_RK17_10MIL</t>
  </si>
  <si>
    <t>S7_RK18_1_50OHM</t>
  </si>
  <si>
    <t>S7_RK18_6_50OHM</t>
  </si>
  <si>
    <t>S7_RK20_1_50OHM</t>
  </si>
  <si>
    <t>S7_RK20_6_50OHM</t>
  </si>
  <si>
    <t>S7_RK22_1_50OHM</t>
  </si>
  <si>
    <t>S7_RK22_6_50OHM</t>
  </si>
  <si>
    <t>S7_RK31_1_10MIL</t>
  </si>
  <si>
    <t>S7_RK33_10MIL</t>
  </si>
  <si>
    <t>S7_RK35_2_10MIL</t>
  </si>
  <si>
    <t>S7_RK50_2_10MIL</t>
  </si>
  <si>
    <t>S7_RK55_2_10MIL</t>
  </si>
  <si>
    <t>S7_RK55_4_30MIL</t>
  </si>
  <si>
    <t>S7_RK55_5_10MIL</t>
  </si>
  <si>
    <t>S7_RK57_10MIL</t>
  </si>
  <si>
    <t>S7_RK58_10MIL</t>
  </si>
  <si>
    <t>S7_RK59_10MIL</t>
  </si>
  <si>
    <t>S7_RK60_2_10MIL</t>
  </si>
  <si>
    <t>S7_RK60_4_30MIL</t>
  </si>
  <si>
    <t>S7_RK60_5_10MIL</t>
  </si>
  <si>
    <t>S7_RK61_10MIL</t>
  </si>
  <si>
    <t>S7_RK62_10MIL</t>
  </si>
  <si>
    <t>S7_RK67_10MIL</t>
  </si>
  <si>
    <t>S7_RK68_10MIL</t>
  </si>
  <si>
    <t>S7_RK70_1_10MIL</t>
  </si>
  <si>
    <t>S7_RK72_10MIL</t>
  </si>
  <si>
    <t>S7_RK73_10MIL</t>
  </si>
  <si>
    <t>S7_RK76_10MIL</t>
  </si>
  <si>
    <t>S7_RK77_10MIL</t>
  </si>
  <si>
    <t>S7_RK78_10MIL</t>
  </si>
  <si>
    <t>S7_RU5_4_10MIL</t>
  </si>
  <si>
    <t>S7_RU7_3_10MIL</t>
  </si>
  <si>
    <t>S7_RU7_4_10MIL</t>
  </si>
  <si>
    <t>S7_RU7_5_10MIL</t>
  </si>
  <si>
    <t>S7_RU7_8_10MIL</t>
  </si>
  <si>
    <t>S7_R_IFT_E1_10MIL</t>
  </si>
  <si>
    <t>S7_R_IFT_E2_10MIL</t>
  </si>
  <si>
    <t>S7_R_IFT_I2_10A</t>
  </si>
  <si>
    <t>S7_R_U11_5_10MIL</t>
  </si>
  <si>
    <t>S7_R_U11_8_10MIL</t>
  </si>
  <si>
    <t>S7_R_U_IO2_10MIL</t>
  </si>
  <si>
    <t>S7_R_U_IO3_10MIL</t>
  </si>
  <si>
    <t>S7_R_U_IO4_10MIL</t>
  </si>
  <si>
    <t>S7_U5_1_50OHM</t>
  </si>
  <si>
    <t>S7_U5_2_10MIL</t>
  </si>
  <si>
    <t>S7_U5_3_50OHM</t>
  </si>
  <si>
    <t>S7_U5_4_10MIL</t>
  </si>
  <si>
    <t>S7_U5_5_10MIL</t>
  </si>
  <si>
    <t>S7_U6_1_50OHM</t>
  </si>
  <si>
    <t>S7_U6_2_10MIL</t>
  </si>
  <si>
    <t>S7_U6_3_50OHM</t>
  </si>
  <si>
    <t>S7_U6_4_10MIL</t>
  </si>
  <si>
    <t>S7_U6_5_10MIL</t>
  </si>
  <si>
    <t>S7_U7A_LB_10MIL</t>
  </si>
  <si>
    <t>S7_U7B_LB_10MIL</t>
  </si>
  <si>
    <t>S7_U7_1_10MIL</t>
  </si>
  <si>
    <t>S7_U7_2_10MIL</t>
  </si>
  <si>
    <t>S7_U7_3_10MIL</t>
  </si>
  <si>
    <t>S7_U7_4_10MIL</t>
  </si>
  <si>
    <t>S7_U7_5_10MIL</t>
  </si>
  <si>
    <t>S7_U7_6_10MIL</t>
  </si>
  <si>
    <t>S7_U7_7_10MIL</t>
  </si>
  <si>
    <t>S7_U7_8_10MIL</t>
  </si>
  <si>
    <t>S7_U7_N15V_10MIL</t>
  </si>
  <si>
    <t>S7_U7_P15V_10MIL</t>
  </si>
  <si>
    <t>S7_U9_1_10MIL</t>
  </si>
  <si>
    <t>S7_U9_2_10MIL</t>
  </si>
  <si>
    <t>S7_U9_3_10MIL</t>
  </si>
  <si>
    <t>S7_U9_4_10MIL</t>
  </si>
  <si>
    <t>S7_U9_4_30MIL</t>
  </si>
  <si>
    <t>S7_U9_5_30MIL</t>
  </si>
  <si>
    <t>S7_U9_6_10MIL</t>
  </si>
  <si>
    <t>S7_U9_7_30MIL</t>
  </si>
  <si>
    <t>S7_U10_4_10MIL</t>
  </si>
  <si>
    <t>S7_U10_5_10MIL</t>
  </si>
  <si>
    <t>S7_U10_6_10MIL</t>
  </si>
  <si>
    <t>S7_U10_13_10MIL</t>
  </si>
  <si>
    <t>S7_U11_1_10MIL</t>
  </si>
  <si>
    <t>S7_U11_2_10MIL</t>
  </si>
  <si>
    <t>S7_U11_3_10MIL</t>
  </si>
  <si>
    <t>S7_U11_4_10MIL</t>
  </si>
  <si>
    <t>S7_U11_5_10MIL</t>
  </si>
  <si>
    <t>S7_U11_6_10MIL</t>
  </si>
  <si>
    <t>S7_U11_7_10MIL</t>
  </si>
  <si>
    <t>S7_U11_8_10MIL</t>
  </si>
  <si>
    <t>S7_U11_FILTER_10MIL</t>
  </si>
  <si>
    <t>S7_UG6_1_10MIL</t>
  </si>
  <si>
    <t>S7_UG6_2_10MIL</t>
  </si>
  <si>
    <t>S7_UG6_3_10MIL</t>
  </si>
  <si>
    <t>S7_UG6_4_10A</t>
  </si>
  <si>
    <t>S7_UG6_5_10MIL</t>
  </si>
  <si>
    <t>S7_UG6_6_10A</t>
  </si>
  <si>
    <t>S7_UG8_1_10MIL</t>
  </si>
  <si>
    <t>S7_UG8_2_10MIL</t>
  </si>
  <si>
    <t>S7_UG8_3_10MIL</t>
  </si>
  <si>
    <t>S7_UG8_4_10A</t>
  </si>
  <si>
    <t>S7_UG8_5_10MIL</t>
  </si>
  <si>
    <t>S7_UG8_6_10A</t>
  </si>
  <si>
    <t>S7_U_IO2_1_50OHM</t>
  </si>
  <si>
    <t>S7_U_IO2_2_10MIL</t>
  </si>
  <si>
    <t>S7_U_IO2_3_50OHM</t>
  </si>
  <si>
    <t>S7_U_IO2_4_50OHM</t>
  </si>
  <si>
    <t>S7_U_IO2_5_10MIL</t>
  </si>
  <si>
    <t>S7_U_IO2_6_50OHM</t>
  </si>
  <si>
    <t>S7_U_IO3_1_50OHM</t>
  </si>
  <si>
    <t>S7_U_IO3_2_10MIL</t>
  </si>
  <si>
    <t>S7_U_IO3_3_50OHM</t>
  </si>
  <si>
    <t>S7_U_IO3_4_50OHM</t>
  </si>
  <si>
    <t>S7_U_IO3_5_10MIL</t>
  </si>
  <si>
    <t>S7_U_IO3_6_50OHM</t>
  </si>
  <si>
    <t>S7_U_IO4_1_50OHM</t>
  </si>
  <si>
    <t>S7_U_IO4_2_10MIL</t>
  </si>
  <si>
    <t>S7_U_IO4_3_50OHM</t>
  </si>
  <si>
    <t>S7_U_IO4_4_50OHM</t>
  </si>
  <si>
    <t>S7_U_IO4_5_10MIL</t>
  </si>
  <si>
    <t>S7_U_IO4_6_50OHM</t>
  </si>
  <si>
    <t>S7_VDD_F19</t>
  </si>
  <si>
    <t>S7_VDD_S19</t>
  </si>
  <si>
    <t>S7_VINF_F5</t>
  </si>
  <si>
    <t>S7_VINF_S5</t>
  </si>
  <si>
    <t>S7_VINSENSE_F7</t>
  </si>
  <si>
    <t>S7_VINSENSE_S7</t>
  </si>
  <si>
    <t>S7_VIN[1]_F8</t>
  </si>
  <si>
    <t>S7_VIN[4]_F11</t>
  </si>
  <si>
    <t>S7_VIN[4]_S11</t>
  </si>
  <si>
    <t>S7_VOUT[1]_F22</t>
  </si>
  <si>
    <t>S8_C_OUT_10A</t>
  </si>
  <si>
    <t>S8_C_VIN_10A</t>
  </si>
  <si>
    <t>S8_D2_1_10MIL</t>
  </si>
  <si>
    <t>S8_D2_2_10MIL</t>
  </si>
  <si>
    <t>S8_D_OC_F1</t>
  </si>
  <si>
    <t>S8_D_OUT_10A</t>
  </si>
  <si>
    <t>S8_GND_F18</t>
  </si>
  <si>
    <t>S8_GND_S18</t>
  </si>
  <si>
    <t>S8_IMON_F20</t>
  </si>
  <si>
    <t>S8_IMON_S20</t>
  </si>
  <si>
    <t>S8_K0A_1_10MIL</t>
  </si>
  <si>
    <t>S8_K0A_6_10MIL</t>
  </si>
  <si>
    <t>S8_K0B_1_10MIL</t>
  </si>
  <si>
    <t>S8_K0B_2_10MIL</t>
  </si>
  <si>
    <t>S8_K0B_W1_10MIL</t>
  </si>
  <si>
    <t>S8_K0B_W2_10MIL</t>
  </si>
  <si>
    <t>S8_K0_1_10MIL</t>
  </si>
  <si>
    <t>S8_K0_2_10MIL</t>
  </si>
  <si>
    <t>S8_K0_MULTI</t>
  </si>
  <si>
    <t>S8_K1_1_30MIL</t>
  </si>
  <si>
    <t>S8_K1_2_30MIL</t>
  </si>
  <si>
    <t>S8_K1_5_10MIL</t>
  </si>
  <si>
    <t>S8_K1_6_10MIL</t>
  </si>
  <si>
    <t>S8_K2_1_30MIL</t>
  </si>
  <si>
    <t>S8_K2_2_30MIL</t>
  </si>
  <si>
    <t>S8_K2_5_10MIL</t>
  </si>
  <si>
    <t>S8_K2_6_10MIL</t>
  </si>
  <si>
    <t>S8_K3_1_30MIL</t>
  </si>
  <si>
    <t>S8_K3_2_30MIL</t>
  </si>
  <si>
    <t>S8_K4_1_30MIL</t>
  </si>
  <si>
    <t>S8_K4_2_30MIL</t>
  </si>
  <si>
    <t>S8_K4_5_10MIL</t>
  </si>
  <si>
    <t>S8_K4_6_10MIL</t>
  </si>
  <si>
    <t>S8_K5_1_30MIL</t>
  </si>
  <si>
    <t>S8_K5_2_30MIL</t>
  </si>
  <si>
    <t>S8_K5_5_10MIL</t>
  </si>
  <si>
    <t>S8_K5_6_10MIL</t>
  </si>
  <si>
    <t>S8_K6_1_30MIL</t>
  </si>
  <si>
    <t>S8_K6_2_30MIL</t>
  </si>
  <si>
    <t>S8_K6_5_10MIL</t>
  </si>
  <si>
    <t>S8_K6_6_10MIL</t>
  </si>
  <si>
    <t>S8_K7_1_30MIL</t>
  </si>
  <si>
    <t>S8_K7_2_30MIL</t>
  </si>
  <si>
    <t>S8_K7_5_10MIL</t>
  </si>
  <si>
    <t>S8_K7_6_10MIL</t>
  </si>
  <si>
    <t>S8_K8_1_30MIL</t>
  </si>
  <si>
    <t>S8_K8_2_30MIL</t>
  </si>
  <si>
    <t>S8_K8_5_10MIL</t>
  </si>
  <si>
    <t>S8_K8_6_10MIL</t>
  </si>
  <si>
    <t>S8_K9_1_30MIL</t>
  </si>
  <si>
    <t>S8_K9_2_30MIL</t>
  </si>
  <si>
    <t>S8_K9_5_10MIL</t>
  </si>
  <si>
    <t>S8_K9_6_10MIL</t>
  </si>
  <si>
    <t>S8_K10_1_50OHM</t>
  </si>
  <si>
    <t>S8_K10_2_50OHM</t>
  </si>
  <si>
    <t>S8_K10_6_50OHM</t>
  </si>
  <si>
    <t>S8_K11_1_30MIL</t>
  </si>
  <si>
    <t>S8_K11_2_5MIL</t>
  </si>
  <si>
    <t>S8_K11_5_50OHM_NS</t>
  </si>
  <si>
    <t>S8_K11_6_10MIL</t>
  </si>
  <si>
    <t>S8_K12_2_10MIL</t>
  </si>
  <si>
    <t>S8_K12_3_10MIL</t>
  </si>
  <si>
    <t>S8_K12_4_10MIL</t>
  </si>
  <si>
    <t>S8_K12_5_50OHM_NS</t>
  </si>
  <si>
    <t>S8_K12_6_10MIL</t>
  </si>
  <si>
    <t>S8_K12_7_10MIL</t>
  </si>
  <si>
    <t>S8_K13_1_50OHM</t>
  </si>
  <si>
    <t>S8_K13_2_50OHM</t>
  </si>
  <si>
    <t>S8_K14_1_30MIL</t>
  </si>
  <si>
    <t>S8_K14_2_30MIL</t>
  </si>
  <si>
    <t>S8_K14_5_10MIL</t>
  </si>
  <si>
    <t>S8_K14_6_10MIL</t>
  </si>
  <si>
    <t>S8_K15_1_50OHM</t>
  </si>
  <si>
    <t>S8_K15_2_50OHM</t>
  </si>
  <si>
    <t>S8_K15_6_50OHM</t>
  </si>
  <si>
    <t>S8_K16_1_30MIL</t>
  </si>
  <si>
    <t>S8_K16_5_50OHM_NS</t>
  </si>
  <si>
    <t>S8_K16_6_10MIL</t>
  </si>
  <si>
    <t>S8_K17_1_10MIL</t>
  </si>
  <si>
    <t>S8_K17_2_10MIL</t>
  </si>
  <si>
    <t>S8_K18_1_50OHM</t>
  </si>
  <si>
    <t>S8_K18_2_50OHM</t>
  </si>
  <si>
    <t>S8_K18_6_50OHM</t>
  </si>
  <si>
    <t>S8_K19_1_30MIL</t>
  </si>
  <si>
    <t>S8_K19_2_30MIL</t>
  </si>
  <si>
    <t>S8_K19_5_10MIL</t>
  </si>
  <si>
    <t>S8_K19_6_10MIL</t>
  </si>
  <si>
    <t>S8_K20_1_50OHM</t>
  </si>
  <si>
    <t>S8_K20_2_50OHM</t>
  </si>
  <si>
    <t>S8_K20_6_50OHM</t>
  </si>
  <si>
    <t>S8_K21_1_30MIL</t>
  </si>
  <si>
    <t>S8_K21_2_5MIL</t>
  </si>
  <si>
    <t>S8_K21_5_50OHM_NS</t>
  </si>
  <si>
    <t>S8_K21_6_10MIL</t>
  </si>
  <si>
    <t>S8_K22_1_50OHM</t>
  </si>
  <si>
    <t>S8_K22_2_50OHM</t>
  </si>
  <si>
    <t>S8_K22_6_50OHM</t>
  </si>
  <si>
    <t>S8_K23_1_30MIL</t>
  </si>
  <si>
    <t>S8_K23_2_5MIL</t>
  </si>
  <si>
    <t>S8_K23_5_50OHM_NS</t>
  </si>
  <si>
    <t>S8_K23_6_10MIL</t>
  </si>
  <si>
    <t>S8_K24_45_10A</t>
  </si>
  <si>
    <t>S8_K25_1_10MIL</t>
  </si>
  <si>
    <t>S8_K25_2_10MIL</t>
  </si>
  <si>
    <t>S8_K25_5_10MIL</t>
  </si>
  <si>
    <t>S8_K25_6_10MIL</t>
  </si>
  <si>
    <t>S8_K26_1_10MIL</t>
  </si>
  <si>
    <t>S8_K26_2_10MIL</t>
  </si>
  <si>
    <t>S8_K26_5_10MIL</t>
  </si>
  <si>
    <t>S8_K26_6_10MIL</t>
  </si>
  <si>
    <t>S8_K28_2_10MIL</t>
  </si>
  <si>
    <t>S8_K28_3_10MIL</t>
  </si>
  <si>
    <t>S8_K28_4_10MIL</t>
  </si>
  <si>
    <t>S8_K28_5_10MIL</t>
  </si>
  <si>
    <t>S8_K28_6_10MIL</t>
  </si>
  <si>
    <t>S8_K28_7_10MIL</t>
  </si>
  <si>
    <t>S8_K29_1_30MIL</t>
  </si>
  <si>
    <t>S8_K29_2_30MIL</t>
  </si>
  <si>
    <t>S8_K29_5_10MIL</t>
  </si>
  <si>
    <t>S8_K29_6_10MIL</t>
  </si>
  <si>
    <t>S8_K30_1_30MIL</t>
  </si>
  <si>
    <t>S8_K30_2_30MIL</t>
  </si>
  <si>
    <t>S8_K31_1_10MIL</t>
  </si>
  <si>
    <t>S8_K31_2_50OHM_NS</t>
  </si>
  <si>
    <t>S8_K33_1_10MIL</t>
  </si>
  <si>
    <t>S8_K33_2_10MIL</t>
  </si>
  <si>
    <t>S8_K33_3_50OHM</t>
  </si>
  <si>
    <t>S8_K33_4_50OHM</t>
  </si>
  <si>
    <t>S8_K34_1_30MIL</t>
  </si>
  <si>
    <t>S8_K34_2_30MIL</t>
  </si>
  <si>
    <t>S8_K35A_1_10MIL</t>
  </si>
  <si>
    <t>S8_K35A_6_10MIL</t>
  </si>
  <si>
    <t>S8_K35B_1_10MIL</t>
  </si>
  <si>
    <t>S8_K35B_2_10MIL</t>
  </si>
  <si>
    <t>S8_K35B_W1_10MIL</t>
  </si>
  <si>
    <t>S8_K35B_W2_10MIL</t>
  </si>
  <si>
    <t>S8_K35_1_10MIL</t>
  </si>
  <si>
    <t>S8_K35_2_10MIL</t>
  </si>
  <si>
    <t>S8_K35_MULTI</t>
  </si>
  <si>
    <t>S8_K36_1_30MIL</t>
  </si>
  <si>
    <t>S8_K36_2_30MIL</t>
  </si>
  <si>
    <t>S8_K37_1_30MIL</t>
  </si>
  <si>
    <t>S8_K37_2_30MIL</t>
  </si>
  <si>
    <t>S8_K38_1_30MIL</t>
  </si>
  <si>
    <t>S8_K38_2_30MIL</t>
  </si>
  <si>
    <t>S8_K38_5_30MIL</t>
  </si>
  <si>
    <t>S8_K38_6_10MIL</t>
  </si>
  <si>
    <t>S8_K39_1_30MIL</t>
  </si>
  <si>
    <t>S8_K39_2_30MIL</t>
  </si>
  <si>
    <t>S8_K39_5_30MIL</t>
  </si>
  <si>
    <t>S8_K39_6_10MIL</t>
  </si>
  <si>
    <t>S8_K42_1_10MIL</t>
  </si>
  <si>
    <t>S8_K42_2_10MIL</t>
  </si>
  <si>
    <t>S8_K44_1_10MIL</t>
  </si>
  <si>
    <t>S8_K45_2_10A</t>
  </si>
  <si>
    <t>S8_K45_3_10A</t>
  </si>
  <si>
    <t>S8_K45_4_10A</t>
  </si>
  <si>
    <t>S8_K45_5_10A</t>
  </si>
  <si>
    <t>S8_K45_6_10A</t>
  </si>
  <si>
    <t>S8_K45_7_10A</t>
  </si>
  <si>
    <t>S8_K46_1_10MIL</t>
  </si>
  <si>
    <t>S8_K46_2_10MIL</t>
  </si>
  <si>
    <t>S8_K46_5_10MIL</t>
  </si>
  <si>
    <t>S8_K46_6_10MIL</t>
  </si>
  <si>
    <t>S8_K47_1_10MIL</t>
  </si>
  <si>
    <t>S8_K47_2_10MIL</t>
  </si>
  <si>
    <t>S8_K47_5_10MIL</t>
  </si>
  <si>
    <t>S8_K47_6_10MIL</t>
  </si>
  <si>
    <t>S8_K48_10MIL</t>
  </si>
  <si>
    <t>S8_K49_6_10MIL</t>
  </si>
  <si>
    <t>S8_K50_1_10MIL</t>
  </si>
  <si>
    <t>S8_K50_2_10MIL</t>
  </si>
  <si>
    <t>S8_K51_23_10A</t>
  </si>
  <si>
    <t>S8_K53_2_50OHM</t>
  </si>
  <si>
    <t>S8_K53_6_50OHM</t>
  </si>
  <si>
    <t>S8_K54_1_10MIL</t>
  </si>
  <si>
    <t>S8_K54_2_10MIL</t>
  </si>
  <si>
    <t>S8_K54_5_10MIL</t>
  </si>
  <si>
    <t>S8_K54_6_10MIL</t>
  </si>
  <si>
    <t>S8_K55_2_10MIL</t>
  </si>
  <si>
    <t>S8_K55_3_5MIL</t>
  </si>
  <si>
    <t>S8_K55_4_30MIL</t>
  </si>
  <si>
    <t>S8_K55_5_10MIL</t>
  </si>
  <si>
    <t>S8_K55_6_50OHM_NS</t>
  </si>
  <si>
    <t>S8_K55_7_10MIL</t>
  </si>
  <si>
    <t>S8_K56_1_10MIL</t>
  </si>
  <si>
    <t>S8_K56_2_10MIL</t>
  </si>
  <si>
    <t>S8_K56_5_10MIL</t>
  </si>
  <si>
    <t>S8_K56_6_10MIL</t>
  </si>
  <si>
    <t>S8_K57_1_10MIL</t>
  </si>
  <si>
    <t>S8_K57_2_10MIL</t>
  </si>
  <si>
    <t>S8_K57_3_50OHM</t>
  </si>
  <si>
    <t>S8_K57_4_50OHM</t>
  </si>
  <si>
    <t>S8_K58_1_10MIL</t>
  </si>
  <si>
    <t>S8_K58_2_10MIL</t>
  </si>
  <si>
    <t>S8_K58_3_50OHM</t>
  </si>
  <si>
    <t>S8_K58_4_50OHM</t>
  </si>
  <si>
    <t>S8_K59_1_10MIL</t>
  </si>
  <si>
    <t>S8_K59_2_10MIL</t>
  </si>
  <si>
    <t>S8_K59_3_50OHM</t>
  </si>
  <si>
    <t>S8_K59_4_50OHM</t>
  </si>
  <si>
    <t>S8_K60_2_10MIL</t>
  </si>
  <si>
    <t>S8_K60_3_30MIL</t>
  </si>
  <si>
    <t>S8_K60_4_30MIL</t>
  </si>
  <si>
    <t>S8_K60_5_10MIL</t>
  </si>
  <si>
    <t>S8_K60_6_10MIL</t>
  </si>
  <si>
    <t>S8_K60_7_10MIL</t>
  </si>
  <si>
    <t>S8_K61_1_10MIL</t>
  </si>
  <si>
    <t>S8_K61_2_10MIL</t>
  </si>
  <si>
    <t>S8_K61_3_50OHM</t>
  </si>
  <si>
    <t>S8_K61_4_50OHM</t>
  </si>
  <si>
    <t>S8_K62_1_10MIL</t>
  </si>
  <si>
    <t>S8_K62_2_5MIL</t>
  </si>
  <si>
    <t>S8_K63_1_10MIL</t>
  </si>
  <si>
    <t>S8_K63_2_10MIL</t>
  </si>
  <si>
    <t>S8_K63_5_10MIL</t>
  </si>
  <si>
    <t>S8_K63_6_10MIL</t>
  </si>
  <si>
    <t>S8_K64_1_10MIL</t>
  </si>
  <si>
    <t>S8_K64_2_10MIL</t>
  </si>
  <si>
    <t>S8_K64_5_10MIL</t>
  </si>
  <si>
    <t>S8_K64_6_10MIL</t>
  </si>
  <si>
    <t>S8_K65_1_10MIL</t>
  </si>
  <si>
    <t>S8_K65_2_10MIL</t>
  </si>
  <si>
    <t>S8_K65_5_10MIL</t>
  </si>
  <si>
    <t>S8_K65_6_10MIL</t>
  </si>
  <si>
    <t>S8_K66_1_10MIL</t>
  </si>
  <si>
    <t>S8_K66_2_10MIL</t>
  </si>
  <si>
    <t>S8_K66_5_10MIL</t>
  </si>
  <si>
    <t>S8_K66_6_10MIL</t>
  </si>
  <si>
    <t>S8_K67_1_10MIL</t>
  </si>
  <si>
    <t>S8_K67_2_5MIL</t>
  </si>
  <si>
    <t>S8_K68_1_10MIL</t>
  </si>
  <si>
    <t>S8_K68_2_10MIL</t>
  </si>
  <si>
    <t>S8_K68_3_50OHM</t>
  </si>
  <si>
    <t>S8_K68_4_50OHM</t>
  </si>
  <si>
    <t>S8_K69_1_30MIL</t>
  </si>
  <si>
    <t>S8_K69_2_30MIL</t>
  </si>
  <si>
    <t>S8_K69_5_10MIL</t>
  </si>
  <si>
    <t>S8_K69_6_10MIL</t>
  </si>
  <si>
    <t>S8_K70_1_10MIL</t>
  </si>
  <si>
    <t>S8_K70_2_5MIL</t>
  </si>
  <si>
    <t>S8_K71_1_10MIL</t>
  </si>
  <si>
    <t>S8_K71_2_10MIL</t>
  </si>
  <si>
    <t>S8_K71_5_10MIL</t>
  </si>
  <si>
    <t>S8_K71_6_10MIL</t>
  </si>
  <si>
    <t>S8_K72_1_10MIL</t>
  </si>
  <si>
    <t>S8_K72_2_5MIL</t>
  </si>
  <si>
    <t>S8_K73_1_10MIL</t>
  </si>
  <si>
    <t>S8_K73_2_5MIL</t>
  </si>
  <si>
    <t>S8_K74_2_50OHM_NS</t>
  </si>
  <si>
    <t>S8_K75_1_10MIL</t>
  </si>
  <si>
    <t>S8_K75_2_10MIL</t>
  </si>
  <si>
    <t>S8_K76_1_10MIL</t>
  </si>
  <si>
    <t>S8_K76_2_5MIL</t>
  </si>
  <si>
    <t>S8_K77_1_10MIL</t>
  </si>
  <si>
    <t>S8_K77_2_10MIL</t>
  </si>
  <si>
    <t>S8_K78_1_10MIL</t>
  </si>
  <si>
    <t>S8_K78_2_5MIL</t>
  </si>
  <si>
    <t>S8_K79_3_30MIL</t>
  </si>
  <si>
    <t>S8_K79_4_30MIL</t>
  </si>
  <si>
    <t>S8_K79_5_10MIL</t>
  </si>
  <si>
    <t>S8_K79_6_10MIL</t>
  </si>
  <si>
    <t>S8_MG_15V</t>
  </si>
  <si>
    <t>S8_MG_N15V</t>
  </si>
  <si>
    <t>S8_NC_F15</t>
  </si>
  <si>
    <t>S8_NC_GATE_F6</t>
  </si>
  <si>
    <t>S8_NC_GATE_S6</t>
  </si>
  <si>
    <t>S8_NC_S15</t>
  </si>
  <si>
    <t>S8_NC_VOUTSENSE_F28</t>
  </si>
  <si>
    <t>S8_NC_VOUTSENSE_S28</t>
  </si>
  <si>
    <t>S8_ON/PD_F2</t>
  </si>
  <si>
    <t>S8_Q1_1_30MIL</t>
  </si>
  <si>
    <t>S8_Q1_S_10A</t>
  </si>
  <si>
    <t>S8_QK0_2_10MIL</t>
  </si>
  <si>
    <t>S8_QK0_3_10MIL</t>
  </si>
  <si>
    <t>S8_QK35_2_10MIL</t>
  </si>
  <si>
    <t>S8_QK35_3_10MIL</t>
  </si>
  <si>
    <t>S8_R20_30MIL</t>
  </si>
  <si>
    <t>S8_R21_30MIL</t>
  </si>
  <si>
    <t>S8_RCOUTDISCHARGE_10A</t>
  </si>
  <si>
    <t>S8_RDDISCHARGE_10A</t>
  </si>
  <si>
    <t>S8_RFU6_4_10MIL</t>
  </si>
  <si>
    <t>S8_RIFT_1_10MIL</t>
  </si>
  <si>
    <t>S8_RIFT_2_10MIL</t>
  </si>
  <si>
    <t>S8_RK0_2_10MIL</t>
  </si>
  <si>
    <t>S8_RK10_1_50OHM</t>
  </si>
  <si>
    <t>S8_RK10_6_50OHM</t>
  </si>
  <si>
    <t>S8_RK12_3_10MIL</t>
  </si>
  <si>
    <t>S8_RK12_6_10MIL</t>
  </si>
  <si>
    <t>S8_RK15_1_50OHM</t>
  </si>
  <si>
    <t>S8_RK15_6_50OHM</t>
  </si>
  <si>
    <t>S8_RK17_10MIL</t>
  </si>
  <si>
    <t>S8_RK18_1_50OHM</t>
  </si>
  <si>
    <t>S8_RK18_6_50OHM</t>
  </si>
  <si>
    <t>S8_RK20_1_50OHM</t>
  </si>
  <si>
    <t>S8_RK20_6_50OHM</t>
  </si>
  <si>
    <t>S8_RK22_1_50OHM</t>
  </si>
  <si>
    <t>S8_RK22_6_50OHM</t>
  </si>
  <si>
    <t>S8_RK31_1_10MIL</t>
  </si>
  <si>
    <t>S8_RK33_10MIL</t>
  </si>
  <si>
    <t>S8_RK35_2_10MIL</t>
  </si>
  <si>
    <t>S8_RK50_2_10MIL</t>
  </si>
  <si>
    <t>S8_RK55_2_10MIL</t>
  </si>
  <si>
    <t>S8_RK55_4_30MIL</t>
  </si>
  <si>
    <t>S8_RK55_5_10MIL</t>
  </si>
  <si>
    <t>S8_RK57_10MIL</t>
  </si>
  <si>
    <t>S8_RK58_10MIL</t>
  </si>
  <si>
    <t>S8_RK59_10MIL</t>
  </si>
  <si>
    <t>S8_RK60_2_10MIL</t>
  </si>
  <si>
    <t>S8_RK60_4_30MIL</t>
  </si>
  <si>
    <t>S8_RK60_5_10MIL</t>
  </si>
  <si>
    <t>S8_RK61_10MIL</t>
  </si>
  <si>
    <t>S8_RK62_10MIL</t>
  </si>
  <si>
    <t>S8_RK67_10MIL</t>
  </si>
  <si>
    <t>S8_RK68_10MIL</t>
  </si>
  <si>
    <t>S8_RK70_1_10MIL</t>
  </si>
  <si>
    <t>S8_RK72_10MIL</t>
  </si>
  <si>
    <t>S8_RK73_10MIL</t>
  </si>
  <si>
    <t>S8_RK76_10MIL</t>
  </si>
  <si>
    <t>S8_RK77_10MIL</t>
  </si>
  <si>
    <t>S8_RK78_10MIL</t>
  </si>
  <si>
    <t>S8_RU5_4_10MIL</t>
  </si>
  <si>
    <t>S8_RU7_3_10MIL</t>
  </si>
  <si>
    <t>S8_RU7_4_10MIL</t>
  </si>
  <si>
    <t>S8_RU7_5_10MIL</t>
  </si>
  <si>
    <t>S8_RU7_8_10MIL</t>
  </si>
  <si>
    <t>S8_R_IFT_E1_10MIL</t>
  </si>
  <si>
    <t>S8_R_IFT_E2_10MIL</t>
  </si>
  <si>
    <t>S8_R_IFT_I2_10A</t>
  </si>
  <si>
    <t>S8_R_U11_5_10MIL</t>
  </si>
  <si>
    <t>S8_R_U11_8_10MIL</t>
  </si>
  <si>
    <t>S8_R_U_IO2_10MIL</t>
  </si>
  <si>
    <t>S8_R_U_IO3_10MIL</t>
  </si>
  <si>
    <t>S8_R_U_IO4_10MIL</t>
  </si>
  <si>
    <t>S8_U5_1_50OHM</t>
  </si>
  <si>
    <t>S8_U5_2_10MIL</t>
  </si>
  <si>
    <t>S8_U5_3_50OHM</t>
  </si>
  <si>
    <t>S8_U5_4_10MIL</t>
  </si>
  <si>
    <t>S8_U5_5_10MIL</t>
  </si>
  <si>
    <t>S8_U6_1_50OHM</t>
  </si>
  <si>
    <t>S8_U6_2_10MIL</t>
  </si>
  <si>
    <t>S8_U6_3_50OHM</t>
  </si>
  <si>
    <t>S8_U6_4_10MIL</t>
  </si>
  <si>
    <t>S8_U6_5_10MIL</t>
  </si>
  <si>
    <t>S8_U7A_LB_10MIL</t>
  </si>
  <si>
    <t>S8_U7B_LB_10MIL</t>
  </si>
  <si>
    <t>S8_U7_1_10MIL</t>
  </si>
  <si>
    <t>S8_U7_2_10MIL</t>
  </si>
  <si>
    <t>S8_U7_3_10MIL</t>
  </si>
  <si>
    <t>S8_U7_4_10MIL</t>
  </si>
  <si>
    <t>S8_U7_5_10MIL</t>
  </si>
  <si>
    <t>S8_U7_6_10MIL</t>
  </si>
  <si>
    <t>S8_U7_7_10MIL</t>
  </si>
  <si>
    <t>S8_U7_8_10MIL</t>
  </si>
  <si>
    <t>S8_U7_N15V_10MIL</t>
  </si>
  <si>
    <t>S8_U7_P15V_10MIL</t>
  </si>
  <si>
    <t>S8_U9_1_10MIL</t>
  </si>
  <si>
    <t>S8_U9_2_10MIL</t>
  </si>
  <si>
    <t>S8_U9_3_10MIL</t>
  </si>
  <si>
    <t>S8_U9_4_10MIL</t>
  </si>
  <si>
    <t>S8_U9_4_30MIL</t>
  </si>
  <si>
    <t>S8_U9_5_30MIL</t>
  </si>
  <si>
    <t>S8_U9_6_10MIL</t>
  </si>
  <si>
    <t>S8_U9_7_30MIL</t>
  </si>
  <si>
    <t>S8_U10_4_10MIL</t>
  </si>
  <si>
    <t>S8_U10_5_10MIL</t>
  </si>
  <si>
    <t>S8_U10_6_10MIL</t>
  </si>
  <si>
    <t>S8_U10_13_10MIL</t>
  </si>
  <si>
    <t>S8_U11_1_10MIL</t>
  </si>
  <si>
    <t>S8_U11_2_10MIL</t>
  </si>
  <si>
    <t>S8_U11_3_10MIL</t>
  </si>
  <si>
    <t>S8_U11_4_10MIL</t>
  </si>
  <si>
    <t>S8_U11_5_10MIL</t>
  </si>
  <si>
    <t>S8_U11_6_10MIL</t>
  </si>
  <si>
    <t>S8_U11_7_10MIL</t>
  </si>
  <si>
    <t>S8_U11_8_10MIL</t>
  </si>
  <si>
    <t>S8_U11_FILTER_10MIL</t>
  </si>
  <si>
    <t>S8_UG6_1_10MIL</t>
  </si>
  <si>
    <t>S8_UG6_2_10MIL</t>
  </si>
  <si>
    <t>S8_UG6_3_10MIL</t>
  </si>
  <si>
    <t>S8_UG6_4_10A</t>
  </si>
  <si>
    <t>S8_UG6_5_10MIL</t>
  </si>
  <si>
    <t>S8_UG6_6_10A</t>
  </si>
  <si>
    <t>S8_UG8_1_10MIL</t>
  </si>
  <si>
    <t>S8_UG8_2_10MIL</t>
  </si>
  <si>
    <t>S8_UG8_3_10MIL</t>
  </si>
  <si>
    <t>S8_UG8_4_10A</t>
  </si>
  <si>
    <t>S8_UG8_5_10MIL</t>
  </si>
  <si>
    <t>S8_UG8_6_10A</t>
  </si>
  <si>
    <t>S8_U_IO2_1_50OHM</t>
  </si>
  <si>
    <t>S8_U_IO2_2_10MIL</t>
  </si>
  <si>
    <t>S8_U_IO2_3_50OHM</t>
  </si>
  <si>
    <t>S8_U_IO2_4_50OHM</t>
  </si>
  <si>
    <t>S8_U_IO2_5_10MIL</t>
  </si>
  <si>
    <t>S8_U_IO2_6_50OHM</t>
  </si>
  <si>
    <t>S8_U_IO3_1_50OHM</t>
  </si>
  <si>
    <t>S8_U_IO3_2_10MIL</t>
  </si>
  <si>
    <t>S8_U_IO3_3_50OHM</t>
  </si>
  <si>
    <t>S8_U_IO3_4_50OHM</t>
  </si>
  <si>
    <t>S8_U_IO3_5_10MIL</t>
  </si>
  <si>
    <t>S8_U_IO3_6_50OHM</t>
  </si>
  <si>
    <t>S8_U_IO4_1_50OHM</t>
  </si>
  <si>
    <t>S8_U_IO4_2_10MIL</t>
  </si>
  <si>
    <t>S8_U_IO4_3_50OHM</t>
  </si>
  <si>
    <t>S8_U_IO4_4_50OHM</t>
  </si>
  <si>
    <t>S8_U_IO4_5_10MIL</t>
  </si>
  <si>
    <t>S8_U_IO4_6_50OHM</t>
  </si>
  <si>
    <t>S8_VDD_F19</t>
  </si>
  <si>
    <t>S8_VDD_S19</t>
  </si>
  <si>
    <t>S8_VINF_F5</t>
  </si>
  <si>
    <t>S8_VINF_S5</t>
  </si>
  <si>
    <t>S8_VINSENSE_F7</t>
  </si>
  <si>
    <t>S8_VINSENSE_S7</t>
  </si>
  <si>
    <t>S8_VIN[1]_F8</t>
  </si>
  <si>
    <t>S8_VIN[4]_F11</t>
  </si>
  <si>
    <t>S8_VIN[4]_S11</t>
  </si>
  <si>
    <t>S8_VOUT[1]_F22</t>
  </si>
  <si>
    <t>S6_K16_2_5MIL</t>
  </si>
  <si>
    <t>S7_K16_2_5MIL</t>
  </si>
  <si>
    <t>S8_K16_2_5MIL</t>
  </si>
  <si>
    <t>S6_K10_5_50OHM</t>
  </si>
  <si>
    <t>S6_K15_5_50OHM</t>
  </si>
  <si>
    <t>S6_K18_5_50OHM</t>
  </si>
  <si>
    <t>S6_K20_5_50OHM</t>
  </si>
  <si>
    <t>S6_K22_5_50OHM</t>
  </si>
  <si>
    <t>S7_K10_5_50OHM</t>
  </si>
  <si>
    <t>S7_K15_5_50OHM</t>
  </si>
  <si>
    <t>S7_K18_5_50OHM</t>
  </si>
  <si>
    <t>S7_K20_5_50OHM</t>
  </si>
  <si>
    <t>S7_K22_5_50OHM</t>
  </si>
  <si>
    <t>S8_K10_5_50OHM</t>
  </si>
  <si>
    <t>S8_K15_5_50OHM</t>
  </si>
  <si>
    <t>S8_K18_5_50OHM</t>
  </si>
  <si>
    <t>S8_K20_5_50OHM</t>
  </si>
  <si>
    <t>S8_K22_5_50OHM</t>
  </si>
  <si>
    <t>CBIT32</t>
  </si>
  <si>
    <t>S1_EN_S25</t>
    <phoneticPr fontId="7" type="noConversion"/>
  </si>
  <si>
    <t>EN_S25</t>
  </si>
  <si>
    <t>S1_SCL_S26</t>
  </si>
  <si>
    <t>SCL_S26</t>
    <phoneticPr fontId="7" type="noConversion"/>
  </si>
  <si>
    <t>S1_SDA_S27</t>
  </si>
  <si>
    <t>SDA_S27</t>
    <phoneticPr fontId="7" type="noConversion"/>
  </si>
  <si>
    <t>S1_WP_S28</t>
  </si>
  <si>
    <t>WP_S28</t>
    <phoneticPr fontId="7" type="noConversion"/>
  </si>
  <si>
    <t>S1_RESET_S29</t>
  </si>
  <si>
    <t>RESET_S29</t>
    <phoneticPr fontId="7" type="noConversion"/>
  </si>
  <si>
    <t>S1_VCOM_S19</t>
  </si>
  <si>
    <t>VCOM_S19</t>
    <phoneticPr fontId="7" type="noConversion"/>
  </si>
  <si>
    <t>S1_NEG_S20</t>
  </si>
  <si>
    <t>NEG_S20</t>
    <phoneticPr fontId="7" type="noConversion"/>
  </si>
  <si>
    <t>S1_NTC_S23</t>
  </si>
  <si>
    <t>NTC_S23</t>
    <phoneticPr fontId="7" type="noConversion"/>
  </si>
  <si>
    <t>DUT TO 0R</t>
    <phoneticPr fontId="7" type="noConversion"/>
  </si>
  <si>
    <t>S1_EN_S</t>
    <phoneticPr fontId="7" type="noConversion"/>
  </si>
  <si>
    <t>S1_SCL_S</t>
    <phoneticPr fontId="7" type="noConversion"/>
  </si>
  <si>
    <t>S1_SDA_S</t>
    <phoneticPr fontId="7" type="noConversion"/>
  </si>
  <si>
    <t>S1_WP_S</t>
    <phoneticPr fontId="7" type="noConversion"/>
  </si>
  <si>
    <t>S1_RESET_S</t>
  </si>
  <si>
    <t>S1_RESET_S</t>
    <phoneticPr fontId="7" type="noConversion"/>
  </si>
  <si>
    <t>S1_VCOM_S</t>
    <phoneticPr fontId="7" type="noConversion"/>
  </si>
  <si>
    <t>S1_NEG_S</t>
    <phoneticPr fontId="7" type="noConversion"/>
  </si>
  <si>
    <t>S1_NTC_S</t>
    <phoneticPr fontId="7" type="noConversion"/>
  </si>
  <si>
    <t>DIO67</t>
  </si>
  <si>
    <t>DIO68</t>
  </si>
  <si>
    <t>DIO69</t>
  </si>
  <si>
    <t>DIO70</t>
  </si>
  <si>
    <t>DIO71</t>
  </si>
  <si>
    <t>DIO64</t>
  </si>
  <si>
    <t>DIO65</t>
  </si>
  <si>
    <t>DIO66</t>
  </si>
  <si>
    <t>0R TO RLY</t>
    <phoneticPr fontId="7" type="noConversion"/>
  </si>
  <si>
    <t>RLY TO DIO</t>
    <phoneticPr fontId="7" type="noConversion"/>
  </si>
  <si>
    <t>S2_EN_S25</t>
  </si>
  <si>
    <t>S2_EN_S</t>
  </si>
  <si>
    <t>S2_SCL_S26</t>
  </si>
  <si>
    <t>S2_SCL_S</t>
  </si>
  <si>
    <t>S2_SDA_S27</t>
  </si>
  <si>
    <t>S2_SDA_S</t>
  </si>
  <si>
    <t>S2_WP_S28</t>
  </si>
  <si>
    <t>S2_WP_S</t>
  </si>
  <si>
    <t>S2_RESET_S29</t>
  </si>
  <si>
    <t>S2_RESET_S</t>
  </si>
  <si>
    <t>S2_VCOM_S19</t>
  </si>
  <si>
    <t>S2_VCOM_S</t>
  </si>
  <si>
    <t>S2_NEG_S20</t>
  </si>
  <si>
    <t>S2_NEG_S</t>
  </si>
  <si>
    <t>S2_NTC_S23</t>
  </si>
  <si>
    <t>S2_NTC_S</t>
  </si>
  <si>
    <t>S3_EN_S25</t>
  </si>
  <si>
    <t>S3_EN_S</t>
  </si>
  <si>
    <t>S3_SCL_S26</t>
  </si>
  <si>
    <t>S3_SCL_S</t>
  </si>
  <si>
    <t>S3_SDA_S27</t>
  </si>
  <si>
    <t>S3_SDA_S</t>
  </si>
  <si>
    <t>S3_WP_S28</t>
  </si>
  <si>
    <t>S3_WP_S</t>
  </si>
  <si>
    <t>S3_RESET_S29</t>
  </si>
  <si>
    <t>S3_RESET_S</t>
  </si>
  <si>
    <t>S3_VCOM_S19</t>
  </si>
  <si>
    <t>S3_VCOM_S</t>
  </si>
  <si>
    <t>S3_NEG_S20</t>
  </si>
  <si>
    <t>S3_NEG_S</t>
  </si>
  <si>
    <t>S3_NTC_S23</t>
  </si>
  <si>
    <t>S3_NTC_S</t>
  </si>
  <si>
    <t>S4_EN_S25</t>
  </si>
  <si>
    <t>S4_EN_S</t>
  </si>
  <si>
    <t>S4_SCL_S26</t>
  </si>
  <si>
    <t>S4_SCL_S</t>
  </si>
  <si>
    <t>S4_SDA_S27</t>
  </si>
  <si>
    <t>S4_SDA_S</t>
  </si>
  <si>
    <t>S4_WP_S28</t>
  </si>
  <si>
    <t>S4_WP_S</t>
  </si>
  <si>
    <t>S4_RESET_S29</t>
  </si>
  <si>
    <t>S4_RESET_S</t>
  </si>
  <si>
    <t>S4_VCOM_S19</t>
  </si>
  <si>
    <t>S4_VCOM_S</t>
  </si>
  <si>
    <t>S4_NEG_S20</t>
  </si>
  <si>
    <t>S4_NEG_S</t>
  </si>
  <si>
    <t>S4_NTC_S23</t>
  </si>
  <si>
    <t>S4_NTC_S</t>
  </si>
  <si>
    <t>S5_EN_S25</t>
  </si>
  <si>
    <t>S5_EN_S</t>
  </si>
  <si>
    <t>S5_SCL_S26</t>
  </si>
  <si>
    <t>S5_SCL_S</t>
  </si>
  <si>
    <t>S5_SDA_S27</t>
  </si>
  <si>
    <t>S5_SDA_S</t>
  </si>
  <si>
    <t>S5_WP_S28</t>
  </si>
  <si>
    <t>S5_WP_S</t>
  </si>
  <si>
    <t>S5_RESET_S29</t>
  </si>
  <si>
    <t>S5_RESET_S</t>
  </si>
  <si>
    <t>S5_VCOM_S19</t>
  </si>
  <si>
    <t>S5_VCOM_S</t>
  </si>
  <si>
    <t>S5_NEG_S20</t>
  </si>
  <si>
    <t>S5_NEG_S</t>
  </si>
  <si>
    <t>S5_NTC_S23</t>
  </si>
  <si>
    <t>S5_NTC_S</t>
  </si>
  <si>
    <t>S6_EN_S25</t>
  </si>
  <si>
    <t>S6_EN_S</t>
  </si>
  <si>
    <t>S6_SCL_S26</t>
  </si>
  <si>
    <t>S6_SCL_S</t>
  </si>
  <si>
    <t>S6_SDA_S27</t>
  </si>
  <si>
    <t>S6_SDA_S</t>
  </si>
  <si>
    <t>S6_WP_S28</t>
  </si>
  <si>
    <t>S6_WP_S</t>
  </si>
  <si>
    <t>S6_RESET_S29</t>
  </si>
  <si>
    <t>S6_RESET_S</t>
  </si>
  <si>
    <t>S6_VCOM_S19</t>
  </si>
  <si>
    <t>S6_VCOM_S</t>
  </si>
  <si>
    <t>S6_NEG_S20</t>
  </si>
  <si>
    <t>S6_NEG_S</t>
  </si>
  <si>
    <t>S6_NTC_S23</t>
  </si>
  <si>
    <t>S6_NTC_S</t>
  </si>
  <si>
    <t>S7_EN_S25</t>
  </si>
  <si>
    <t>S7_EN_S</t>
  </si>
  <si>
    <t>S7_SCL_S26</t>
  </si>
  <si>
    <t>S7_SCL_S</t>
  </si>
  <si>
    <t>S7_SDA_S27</t>
  </si>
  <si>
    <t>S7_SDA_S</t>
  </si>
  <si>
    <t>S7_WP_S28</t>
  </si>
  <si>
    <t>S7_WP_S</t>
  </si>
  <si>
    <t>S7_RESET_S29</t>
  </si>
  <si>
    <t>S7_RESET_S</t>
  </si>
  <si>
    <t>S7_VCOM_S19</t>
  </si>
  <si>
    <t>S7_VCOM_S</t>
  </si>
  <si>
    <t>S7_NEG_S20</t>
  </si>
  <si>
    <t>S7_NEG_S</t>
  </si>
  <si>
    <t>S7_NTC_S23</t>
  </si>
  <si>
    <t>S7_NTC_S</t>
  </si>
  <si>
    <t>S8_EN_S25</t>
  </si>
  <si>
    <t>S8_EN_S</t>
  </si>
  <si>
    <t>S8_SCL_S26</t>
  </si>
  <si>
    <t>S8_SCL_S</t>
  </si>
  <si>
    <t>S8_SDA_S27</t>
  </si>
  <si>
    <t>S8_SDA_S</t>
  </si>
  <si>
    <t>S8_WP_S28</t>
  </si>
  <si>
    <t>S8_WP_S</t>
  </si>
  <si>
    <t>S8_RESET_S29</t>
  </si>
  <si>
    <t>S8_RESET_S</t>
  </si>
  <si>
    <t>S8_VCOM_S19</t>
  </si>
  <si>
    <t>S8_VCOM_S</t>
  </si>
  <si>
    <t>S8_NEG_S20</t>
  </si>
  <si>
    <t>S8_NEG_S</t>
  </si>
  <si>
    <t>S8_NTC_S23</t>
  </si>
  <si>
    <t>S8_NTC_S</t>
  </si>
  <si>
    <t>DIO83</t>
  </si>
  <si>
    <t>DIO84</t>
  </si>
  <si>
    <t>DIO85</t>
  </si>
  <si>
    <t>DIO86</t>
  </si>
  <si>
    <t>DIO87</t>
  </si>
  <si>
    <t>DIO80</t>
  </si>
  <si>
    <t>DIO81</t>
  </si>
  <si>
    <t>DIO82</t>
  </si>
  <si>
    <t>DIO99</t>
  </si>
  <si>
    <t>DIO100</t>
  </si>
  <si>
    <t>DIO101</t>
  </si>
  <si>
    <t>DIO102</t>
  </si>
  <si>
    <t>DIO103</t>
  </si>
  <si>
    <t>DIO96</t>
  </si>
  <si>
    <t>DIO97</t>
  </si>
  <si>
    <t>DIO98</t>
  </si>
  <si>
    <t>DIO115</t>
  </si>
  <si>
    <t>DIO116</t>
  </si>
  <si>
    <t>DIO117</t>
  </si>
  <si>
    <t>DIO118</t>
  </si>
  <si>
    <t>DIO119</t>
  </si>
  <si>
    <t>DIO112</t>
  </si>
  <si>
    <t>DIO113</t>
  </si>
  <si>
    <t>DIO114</t>
  </si>
  <si>
    <t>DIO54</t>
  </si>
  <si>
    <t>DIO55</t>
  </si>
  <si>
    <t>DIO38</t>
  </si>
  <si>
    <t>DIO39</t>
  </si>
  <si>
    <t>DIO22</t>
  </si>
  <si>
    <t>DIO23</t>
  </si>
  <si>
    <t>DIO6</t>
  </si>
  <si>
    <t>DIO7</t>
  </si>
  <si>
    <t>EN_F25</t>
  </si>
  <si>
    <t>S1_EN_F25</t>
  </si>
  <si>
    <t>S1_EN_F</t>
  </si>
  <si>
    <t>SCL_F26</t>
  </si>
  <si>
    <t>SDA_F27</t>
  </si>
  <si>
    <t>WP_F28</t>
  </si>
  <si>
    <t>S1_WP_F28</t>
  </si>
  <si>
    <t>S1_WP_F</t>
  </si>
  <si>
    <t>RESET_F29</t>
  </si>
  <si>
    <t>S1_RESET_F29</t>
  </si>
  <si>
    <t>S1_RESET_F</t>
  </si>
  <si>
    <t>S2_EN_F25</t>
  </si>
  <si>
    <t>S2_EN_F</t>
  </si>
  <si>
    <t>S2_WP_F28</t>
  </si>
  <si>
    <t>S2_WP_F</t>
  </si>
  <si>
    <t>S2_RESET_F29</t>
  </si>
  <si>
    <t>S2_RESET_F</t>
  </si>
  <si>
    <t>S3_EN_F25</t>
  </si>
  <si>
    <t>S3_EN_F</t>
  </si>
  <si>
    <t>S3_WP_F28</t>
  </si>
  <si>
    <t>S3_WP_F</t>
  </si>
  <si>
    <t>S3_RESET_F29</t>
  </si>
  <si>
    <t>S3_RESET_F</t>
  </si>
  <si>
    <t>S4_EN_F25</t>
  </si>
  <si>
    <t>S4_EN_F</t>
  </si>
  <si>
    <t>S4_WP_F28</t>
  </si>
  <si>
    <t>S4_WP_F</t>
  </si>
  <si>
    <t>S4_RESET_F29</t>
  </si>
  <si>
    <t>S4_RESET_F</t>
  </si>
  <si>
    <t>S5_EN_F25</t>
  </si>
  <si>
    <t>S5_EN_F</t>
  </si>
  <si>
    <t>S5_WP_F28</t>
  </si>
  <si>
    <t>S5_WP_F</t>
  </si>
  <si>
    <t>S5_RESET_F29</t>
  </si>
  <si>
    <t>S5_RESET_F</t>
  </si>
  <si>
    <t>S6_EN_F25</t>
  </si>
  <si>
    <t>S6_EN_F</t>
  </si>
  <si>
    <t>S6_WP_F28</t>
  </si>
  <si>
    <t>S6_WP_F</t>
  </si>
  <si>
    <t>S6_RESET_F29</t>
  </si>
  <si>
    <t>S6_RESET_F</t>
  </si>
  <si>
    <t>S7_EN_F25</t>
  </si>
  <si>
    <t>S7_EN_F</t>
  </si>
  <si>
    <t>S7_WP_F28</t>
  </si>
  <si>
    <t>S7_WP_F</t>
  </si>
  <si>
    <t>S7_RESET_F29</t>
  </si>
  <si>
    <t>S7_RESET_F</t>
  </si>
  <si>
    <t>S8_EN_F25</t>
  </si>
  <si>
    <t>S8_EN_F</t>
  </si>
  <si>
    <t>S8_WP_F28</t>
  </si>
  <si>
    <t>S8_WP_F</t>
  </si>
  <si>
    <t>S8_RESET_F29</t>
  </si>
  <si>
    <t>S8_RESET_F</t>
  </si>
  <si>
    <t>S1_K64_6_50OHM</t>
  </si>
  <si>
    <t>S1_U2_6_50OHM</t>
  </si>
  <si>
    <t>S1_U2_3_50OHM</t>
  </si>
  <si>
    <t>S1_K64_3_50OHM</t>
  </si>
  <si>
    <t>S1_TMU_A</t>
  </si>
  <si>
    <t>BUF634_A</t>
    <phoneticPr fontId="7" type="noConversion"/>
  </si>
  <si>
    <t>S1_K65_6_50OHM</t>
  </si>
  <si>
    <t>S1_U3_6_50OHM</t>
  </si>
  <si>
    <t>S1_U3_3_50OHM</t>
  </si>
  <si>
    <t>S1_K65_3_50OHM</t>
  </si>
  <si>
    <t>S1_TMU_B</t>
  </si>
  <si>
    <t>BUF634_B</t>
    <phoneticPr fontId="7" type="noConversion"/>
  </si>
  <si>
    <t>S2_K64_6_50OHM</t>
  </si>
  <si>
    <t>S2_U2_6_50OHM</t>
  </si>
  <si>
    <t>S2_U2_3_50OHM</t>
  </si>
  <si>
    <t>S2_K64_3_50OHM</t>
  </si>
  <si>
    <t>S2_TMU_A</t>
  </si>
  <si>
    <t>S2_K65_6_50OHM</t>
  </si>
  <si>
    <t>S2_U3_6_50OHM</t>
  </si>
  <si>
    <t>S2_U3_3_50OHM</t>
  </si>
  <si>
    <t>S2_K65_3_50OHM</t>
  </si>
  <si>
    <t>S2_TMU_B</t>
  </si>
  <si>
    <t>S3_K64_6_50OHM</t>
  </si>
  <si>
    <t>S3_U2_6_50OHM</t>
  </si>
  <si>
    <t>S3_U2_3_50OHM</t>
  </si>
  <si>
    <t>S3_K64_3_50OHM</t>
  </si>
  <si>
    <t>S3_TMU_A</t>
  </si>
  <si>
    <t>S3_K65_6_50OHM</t>
  </si>
  <si>
    <t>S3_U3_6_50OHM</t>
  </si>
  <si>
    <t>S3_U3_3_50OHM</t>
  </si>
  <si>
    <t>S3_K65_3_50OHM</t>
  </si>
  <si>
    <t>S3_TMU_B</t>
  </si>
  <si>
    <t>S4_K64_6_50OHM</t>
  </si>
  <si>
    <t>S4_U2_6_50OHM</t>
  </si>
  <si>
    <t>S4_U2_3_50OHM</t>
  </si>
  <si>
    <t>S4_K64_3_50OHM</t>
  </si>
  <si>
    <t>S4_TMU_A</t>
  </si>
  <si>
    <t>S4_K65_6_50OHM</t>
  </si>
  <si>
    <t>S4_U3_6_50OHM</t>
  </si>
  <si>
    <t>S4_U3_3_50OHM</t>
  </si>
  <si>
    <t>S4_K65_3_50OHM</t>
  </si>
  <si>
    <t>S4_TMU_B</t>
  </si>
  <si>
    <t>S5_K64_6_50OHM</t>
  </si>
  <si>
    <t>S5_U2_6_50OHM</t>
  </si>
  <si>
    <t>S5_U2_3_50OHM</t>
  </si>
  <si>
    <t>S5_K64_3_50OHM</t>
  </si>
  <si>
    <t>S5_TMU_A</t>
  </si>
  <si>
    <t>S5_K65_6_50OHM</t>
  </si>
  <si>
    <t>S5_U3_6_50OHM</t>
  </si>
  <si>
    <t>S5_U3_3_50OHM</t>
  </si>
  <si>
    <t>S5_K65_3_50OHM</t>
  </si>
  <si>
    <t>S5_TMU_B</t>
  </si>
  <si>
    <t>S6_K64_6_50OHM</t>
  </si>
  <si>
    <t>S6_U2_6_50OHM</t>
  </si>
  <si>
    <t>S6_U2_3_50OHM</t>
  </si>
  <si>
    <t>S6_K64_3_50OHM</t>
  </si>
  <si>
    <t>S6_TMU_A</t>
  </si>
  <si>
    <t>S6_K65_6_50OHM</t>
  </si>
  <si>
    <t>S6_U3_6_50OHM</t>
  </si>
  <si>
    <t>S6_U3_3_50OHM</t>
  </si>
  <si>
    <t>S6_K65_3_50OHM</t>
  </si>
  <si>
    <t>S6_TMU_B</t>
  </si>
  <si>
    <t>S7_K64_6_50OHM</t>
  </si>
  <si>
    <t>S7_U2_6_50OHM</t>
  </si>
  <si>
    <t>S7_U2_3_50OHM</t>
  </si>
  <si>
    <t>S7_K64_3_50OHM</t>
  </si>
  <si>
    <t>S7_TMU_A</t>
  </si>
  <si>
    <t>S7_K65_6_50OHM</t>
  </si>
  <si>
    <t>S7_U3_6_50OHM</t>
  </si>
  <si>
    <t>S7_U3_3_50OHM</t>
  </si>
  <si>
    <t>S7_K65_3_50OHM</t>
  </si>
  <si>
    <t>S7_TMU_B</t>
  </si>
  <si>
    <t>S8_K64_6_50OHM</t>
  </si>
  <si>
    <t>S8_U2_6_50OHM</t>
  </si>
  <si>
    <t>S8_U2_3_50OHM</t>
  </si>
  <si>
    <t>S8_K64_3_50OHM</t>
  </si>
  <si>
    <t>S8_TMU_A</t>
  </si>
  <si>
    <t>S8_K65_6_50OHM</t>
  </si>
  <si>
    <t>S8_U3_6_50OHM</t>
  </si>
  <si>
    <t>S8_U3_3_50OHM</t>
  </si>
  <si>
    <t>S8_K65_3_50OHM</t>
  </si>
  <si>
    <t>S8_TMU_B</t>
  </si>
  <si>
    <t>S1_LXP_S</t>
  </si>
  <si>
    <t>LXP</t>
    <phoneticPr fontId="7" type="noConversion"/>
  </si>
  <si>
    <t>S1_LX_S</t>
  </si>
  <si>
    <t>LX</t>
    <phoneticPr fontId="7" type="noConversion"/>
  </si>
  <si>
    <t>S1_CX1_S</t>
  </si>
  <si>
    <t>CX1</t>
    <phoneticPr fontId="7" type="noConversion"/>
  </si>
  <si>
    <t>S1_CX2_S</t>
  </si>
  <si>
    <t>CX2</t>
    <phoneticPr fontId="7" type="noConversion"/>
  </si>
  <si>
    <t>S1_LXN_S</t>
  </si>
  <si>
    <t>LXN</t>
    <phoneticPr fontId="7" type="noConversion"/>
  </si>
  <si>
    <t>RESET</t>
    <phoneticPr fontId="7" type="noConversion"/>
  </si>
  <si>
    <t>S1_LXP_S4</t>
  </si>
  <si>
    <t>LXP_S4</t>
    <phoneticPr fontId="7" type="noConversion"/>
  </si>
  <si>
    <t>S1_LX_S6</t>
  </si>
  <si>
    <t>LX_S6</t>
    <phoneticPr fontId="7" type="noConversion"/>
  </si>
  <si>
    <t>S1_CX1_S9</t>
  </si>
  <si>
    <t>CX1_S9</t>
    <phoneticPr fontId="7" type="noConversion"/>
  </si>
  <si>
    <t>S1_CX2_S12</t>
  </si>
  <si>
    <t>CX2_S12</t>
    <phoneticPr fontId="7" type="noConversion"/>
  </si>
  <si>
    <t>S1_LXN_S16</t>
  </si>
  <si>
    <t>LXN_S16</t>
    <phoneticPr fontId="7" type="noConversion"/>
  </si>
  <si>
    <t>RESET_S29</t>
    <phoneticPr fontId="7" type="noConversion"/>
  </si>
  <si>
    <t>S2_LXP_S4</t>
  </si>
  <si>
    <t>S2_LXP_S</t>
  </si>
  <si>
    <t>S2_LX_S6</t>
  </si>
  <si>
    <t>S2_LX_S</t>
  </si>
  <si>
    <t>S2_CX1_S9</t>
  </si>
  <si>
    <t>S2_CX1_S</t>
  </si>
  <si>
    <t>S2_CX2_S12</t>
  </si>
  <si>
    <t>S2_CX2_S</t>
  </si>
  <si>
    <t>S2_LXN_S16</t>
  </si>
  <si>
    <t>S2_LXN_S</t>
  </si>
  <si>
    <t>S3_LXP_S4</t>
  </si>
  <si>
    <t>S3_LXP_S</t>
  </si>
  <si>
    <t>S3_LX_S6</t>
  </si>
  <si>
    <t>S3_LX_S</t>
  </si>
  <si>
    <t>S3_CX1_S9</t>
  </si>
  <si>
    <t>S3_CX1_S</t>
  </si>
  <si>
    <t>S3_CX2_S12</t>
  </si>
  <si>
    <t>S3_CX2_S</t>
  </si>
  <si>
    <t>S3_LXN_S16</t>
  </si>
  <si>
    <t>S3_LXN_S</t>
  </si>
  <si>
    <t>S4_LXP_S4</t>
  </si>
  <si>
    <t>S4_LXP_S</t>
  </si>
  <si>
    <t>S4_LX_S6</t>
  </si>
  <si>
    <t>S4_LX_S</t>
  </si>
  <si>
    <t>S4_CX1_S9</t>
  </si>
  <si>
    <t>S4_CX1_S</t>
  </si>
  <si>
    <t>S4_CX2_S12</t>
  </si>
  <si>
    <t>S4_CX2_S</t>
  </si>
  <si>
    <t>S4_LXN_S16</t>
  </si>
  <si>
    <t>S4_LXN_S</t>
  </si>
  <si>
    <t>S5_LXP_S4</t>
  </si>
  <si>
    <t>S5_LXP_S</t>
  </si>
  <si>
    <t>S5_LX_S6</t>
  </si>
  <si>
    <t>S5_LX_S</t>
  </si>
  <si>
    <t>S5_CX1_S9</t>
  </si>
  <si>
    <t>S5_CX1_S</t>
  </si>
  <si>
    <t>S5_CX2_S12</t>
  </si>
  <si>
    <t>S5_CX2_S</t>
  </si>
  <si>
    <t>S5_LXN_S16</t>
  </si>
  <si>
    <t>S5_LXN_S</t>
  </si>
  <si>
    <t>S6_LXP_S4</t>
  </si>
  <si>
    <t>S6_LXP_S</t>
  </si>
  <si>
    <t>S6_LX_S6</t>
  </si>
  <si>
    <t>S6_LX_S</t>
  </si>
  <si>
    <t>S6_CX1_S9</t>
  </si>
  <si>
    <t>S6_CX1_S</t>
  </si>
  <si>
    <t>S6_CX2_S12</t>
  </si>
  <si>
    <t>S6_CX2_S</t>
  </si>
  <si>
    <t>S6_LXN_S16</t>
  </si>
  <si>
    <t>S6_LXN_S</t>
  </si>
  <si>
    <t>S7_LXP_S4</t>
  </si>
  <si>
    <t>S7_LXP_S</t>
  </si>
  <si>
    <t>S7_LX_S6</t>
  </si>
  <si>
    <t>S7_LX_S</t>
  </si>
  <si>
    <t>S7_CX1_S9</t>
  </si>
  <si>
    <t>S7_CX1_S</t>
  </si>
  <si>
    <t>S7_CX2_S12</t>
  </si>
  <si>
    <t>S7_CX2_S</t>
  </si>
  <si>
    <t>S7_LXN_S16</t>
  </si>
  <si>
    <t>S7_LXN_S</t>
  </si>
  <si>
    <t>S8_LXP_S4</t>
  </si>
  <si>
    <t>S8_LXP_S</t>
  </si>
  <si>
    <t>S8_LX_S6</t>
  </si>
  <si>
    <t>S8_LX_S</t>
  </si>
  <si>
    <t>S8_CX1_S9</t>
  </si>
  <si>
    <t>S8_CX1_S</t>
  </si>
  <si>
    <t>S8_CX2_S12</t>
  </si>
  <si>
    <t>S8_CX2_S</t>
  </si>
  <si>
    <t>S8_LXN_S16</t>
  </si>
  <si>
    <t>S8_LXN_S</t>
  </si>
  <si>
    <t>+12V</t>
  </si>
  <si>
    <t>+5V</t>
  </si>
  <si>
    <t>CBIT40</t>
  </si>
  <si>
    <t>CBIT41</t>
  </si>
  <si>
    <t>CBIT140</t>
  </si>
  <si>
    <t>CBIT160</t>
  </si>
  <si>
    <t>CBIT161</t>
  </si>
  <si>
    <t>CBIT196</t>
  </si>
  <si>
    <t>CBIT197</t>
  </si>
  <si>
    <t>CBIT198</t>
  </si>
  <si>
    <t>CBIT199</t>
  </si>
  <si>
    <t>CBIT200</t>
  </si>
  <si>
    <t>CBIT201</t>
  </si>
  <si>
    <t>CBIT202</t>
  </si>
  <si>
    <t>CBIT203</t>
  </si>
  <si>
    <t>CBIT204</t>
  </si>
  <si>
    <t>FVI16_0_3_FL</t>
  </si>
  <si>
    <t>FVI16_0_3_SL</t>
  </si>
  <si>
    <t>FVI16_112_115_FL</t>
  </si>
  <si>
    <t>FVI16_112_115_SL</t>
  </si>
  <si>
    <t>FVI16_116_119_FL</t>
  </si>
  <si>
    <t>FVI16_116_119_SL</t>
  </si>
  <si>
    <t>FVI16_120_123_FL</t>
  </si>
  <si>
    <t>FVI16_120_123_SL</t>
  </si>
  <si>
    <t>FVI16_124_127_FL</t>
  </si>
  <si>
    <t>FVI16_124_127_SL</t>
  </si>
  <si>
    <t>FVI16_128_131_FL</t>
  </si>
  <si>
    <t>FVI16_128_131_SL</t>
  </si>
  <si>
    <t>FVI16_12_15_FL</t>
  </si>
  <si>
    <t>FVI16_12_15_SL</t>
  </si>
  <si>
    <t>FVI16_132_135_FL</t>
  </si>
  <si>
    <t>FVI16_132_135_SL</t>
  </si>
  <si>
    <t>FVI16_136_139_FL</t>
  </si>
  <si>
    <t>FVI16_136_139_SL</t>
  </si>
  <si>
    <t>FVI16_140_143_FL</t>
  </si>
  <si>
    <t>FVI16_140_143_SL</t>
  </si>
  <si>
    <t>FVI16_144_147_FL</t>
  </si>
  <si>
    <t>FVI16_144_147_SL</t>
  </si>
  <si>
    <t>FVI16_148_151_FL</t>
  </si>
  <si>
    <t>FVI16_148_151_SL</t>
  </si>
  <si>
    <t>FVI16_152_155_FL</t>
  </si>
  <si>
    <t>FVI16_152_155_SL</t>
  </si>
  <si>
    <t>FVI16_156_159_FL</t>
  </si>
  <si>
    <t>FVI16_156_159_SL</t>
  </si>
  <si>
    <t>FVI16_160_163_FL</t>
  </si>
  <si>
    <t>FVI16_160_163_SL</t>
  </si>
  <si>
    <t>FVI16_164_167_FL</t>
  </si>
  <si>
    <t>FVI16_164_167_SL</t>
  </si>
  <si>
    <t>FVI16_168_171_FL</t>
  </si>
  <si>
    <t>FVI16_168_171_SL</t>
  </si>
  <si>
    <t>FVI16_16_19_FL</t>
  </si>
  <si>
    <t>FVI16_16_19_SL</t>
  </si>
  <si>
    <t>FVI16_172_175_FL</t>
  </si>
  <si>
    <t>FVI16_172_175_SL</t>
  </si>
  <si>
    <t>FVI16_176_179_FL</t>
  </si>
  <si>
    <t>FVI16_176_179_SL</t>
  </si>
  <si>
    <t>FVI16_180_183_FL</t>
  </si>
  <si>
    <t>FVI16_180_183_SL</t>
  </si>
  <si>
    <t>FVI16_184_187_FL</t>
  </si>
  <si>
    <t>FVI16_184_187_SL</t>
  </si>
  <si>
    <t>FVI16_188_191_FL</t>
  </si>
  <si>
    <t>FVI16_188_191_SL</t>
  </si>
  <si>
    <t>FVI16_20_23_FL</t>
  </si>
  <si>
    <t>FVI16_20_23_SL</t>
  </si>
  <si>
    <t>FVI16_24_27_FL</t>
  </si>
  <si>
    <t>FVI16_24_27_SL</t>
  </si>
  <si>
    <t>FVI16_28_31_FL</t>
  </si>
  <si>
    <t>FVI16_28_31_SL</t>
  </si>
  <si>
    <t>FVI16_32_35_SL</t>
  </si>
  <si>
    <t>FVI16_36_39_SL</t>
  </si>
  <si>
    <t>FVI16_40_43_SL</t>
  </si>
  <si>
    <t>FVI16_44_47_SL</t>
  </si>
  <si>
    <t>FVI16_4_7_FL</t>
  </si>
  <si>
    <t>FVI16_4_7_SL</t>
  </si>
  <si>
    <t>FVI16_8_11_FL</t>
  </si>
  <si>
    <t>FVI16_8_11_SL</t>
  </si>
  <si>
    <t>FVI16_FH0</t>
  </si>
  <si>
    <t>FVI16_FH1</t>
  </si>
  <si>
    <t>FVI16_FH2</t>
  </si>
  <si>
    <t>FVI16_FH3</t>
  </si>
  <si>
    <t>FVI16_FH4</t>
  </si>
  <si>
    <t>FVI16_FH5</t>
  </si>
  <si>
    <t>FVI16_FH6</t>
  </si>
  <si>
    <t>FVI16_FH7</t>
  </si>
  <si>
    <t>FVI16_FH8</t>
  </si>
  <si>
    <t>FVI16_FH9</t>
  </si>
  <si>
    <t>FVI16_FH10</t>
  </si>
  <si>
    <t>FVI16_FH11</t>
  </si>
  <si>
    <t>FVI16_FH12</t>
  </si>
  <si>
    <t>FVI16_FH13</t>
  </si>
  <si>
    <t>FVI16_FH14</t>
  </si>
  <si>
    <t>FVI16_FH15</t>
  </si>
  <si>
    <t>FVI16_FH16</t>
  </si>
  <si>
    <t>FVI16_FH17</t>
  </si>
  <si>
    <t>FVI16_FH18</t>
  </si>
  <si>
    <t>FVI16_FH19</t>
  </si>
  <si>
    <t>FVI16_FH20</t>
  </si>
  <si>
    <t>FVI16_FH21</t>
  </si>
  <si>
    <t>FVI16_FH22</t>
  </si>
  <si>
    <t>FVI16_FH23</t>
  </si>
  <si>
    <t>FVI16_FH24</t>
  </si>
  <si>
    <t>FVI16_FH25</t>
  </si>
  <si>
    <t>FVI16_FH26</t>
  </si>
  <si>
    <t>FVI16_FH27</t>
  </si>
  <si>
    <t>FVI16_FH28</t>
  </si>
  <si>
    <t>FVI16_FH29</t>
  </si>
  <si>
    <t>FVI16_FH30</t>
  </si>
  <si>
    <t>FVI16_FH31</t>
  </si>
  <si>
    <t>FVI16_FH112</t>
  </si>
  <si>
    <t>FVI16_FH113</t>
  </si>
  <si>
    <t>FVI16_FH114</t>
  </si>
  <si>
    <t>FVI16_FH115</t>
  </si>
  <si>
    <t>FVI16_FH116</t>
  </si>
  <si>
    <t>FVI16_FH117</t>
  </si>
  <si>
    <t>FVI16_FH118</t>
  </si>
  <si>
    <t>FVI16_FH119</t>
  </si>
  <si>
    <t>FVI16_FH120</t>
  </si>
  <si>
    <t>FVI16_FH121</t>
  </si>
  <si>
    <t>FVI16_FH122</t>
  </si>
  <si>
    <t>FVI16_FH123</t>
  </si>
  <si>
    <t>FVI16_FH124</t>
  </si>
  <si>
    <t>FVI16_FH125</t>
  </si>
  <si>
    <t>FVI16_FH126</t>
  </si>
  <si>
    <t>FVI16_FH127</t>
  </si>
  <si>
    <t>FVI16_FH128</t>
  </si>
  <si>
    <t>FVI16_FH129</t>
  </si>
  <si>
    <t>FVI16_FH130</t>
  </si>
  <si>
    <t>FVI16_FH131</t>
  </si>
  <si>
    <t>FVI16_FH132</t>
  </si>
  <si>
    <t>FVI16_FH133</t>
  </si>
  <si>
    <t>FVI16_FH134</t>
  </si>
  <si>
    <t>FVI16_FH135</t>
  </si>
  <si>
    <t>FVI16_FH136</t>
  </si>
  <si>
    <t>FVI16_FH137</t>
  </si>
  <si>
    <t>FVI16_FH138</t>
  </si>
  <si>
    <t>FVI16_FH139</t>
  </si>
  <si>
    <t>FVI16_FH140</t>
  </si>
  <si>
    <t>FVI16_FH141</t>
  </si>
  <si>
    <t>FVI16_FH142</t>
  </si>
  <si>
    <t>FVI16_FH143</t>
  </si>
  <si>
    <t>FVI16_FH144</t>
  </si>
  <si>
    <t>FVI16_FH145</t>
  </si>
  <si>
    <t>FVI16_FH146</t>
  </si>
  <si>
    <t>FVI16_FH147</t>
  </si>
  <si>
    <t>FVI16_FH148</t>
  </si>
  <si>
    <t>FVI16_FH149</t>
  </si>
  <si>
    <t>FVI16_FH150</t>
  </si>
  <si>
    <t>FVI16_FH151</t>
  </si>
  <si>
    <t>FVI16_FH152</t>
  </si>
  <si>
    <t>FVI16_FH153</t>
  </si>
  <si>
    <t>FVI16_FH154</t>
  </si>
  <si>
    <t>FVI16_FH155</t>
  </si>
  <si>
    <t>FVI16_FH156</t>
  </si>
  <si>
    <t>FVI16_FH157</t>
  </si>
  <si>
    <t>FVI16_FH158</t>
  </si>
  <si>
    <t>FVI16_FH159</t>
  </si>
  <si>
    <t>FVI16_FH160</t>
  </si>
  <si>
    <t>FVI16_FH161</t>
  </si>
  <si>
    <t>FVI16_FH162</t>
  </si>
  <si>
    <t>FVI16_FH163</t>
  </si>
  <si>
    <t>FVI16_FH164</t>
  </si>
  <si>
    <t>FVI16_FH165</t>
  </si>
  <si>
    <t>FVI16_FH166</t>
  </si>
  <si>
    <t>FVI16_FH167</t>
  </si>
  <si>
    <t>FVI16_FH168</t>
  </si>
  <si>
    <t>FVI16_FH169</t>
  </si>
  <si>
    <t>FVI16_FH170</t>
  </si>
  <si>
    <t>FVI16_FH171</t>
  </si>
  <si>
    <t>FVI16_FH172</t>
  </si>
  <si>
    <t>FVI16_FH173</t>
  </si>
  <si>
    <t>FVI16_FH174</t>
  </si>
  <si>
    <t>FVI16_FH175</t>
  </si>
  <si>
    <t>FVI16_FH176</t>
  </si>
  <si>
    <t>FVI16_FH177</t>
  </si>
  <si>
    <t>FVI16_FH178</t>
  </si>
  <si>
    <t>FVI16_FH179</t>
  </si>
  <si>
    <t>FVI16_FH180</t>
  </si>
  <si>
    <t>FVI16_FH181</t>
  </si>
  <si>
    <t>FVI16_FH182</t>
  </si>
  <si>
    <t>FVI16_FH183</t>
  </si>
  <si>
    <t>FVI16_FH184</t>
  </si>
  <si>
    <t>FVI16_FH185</t>
  </si>
  <si>
    <t>FVI16_FH186</t>
  </si>
  <si>
    <t>FVI16_FH187</t>
  </si>
  <si>
    <t>FVI16_FH188</t>
  </si>
  <si>
    <t>FVI16_FH189</t>
  </si>
  <si>
    <t>FVI16_FH190</t>
  </si>
  <si>
    <t>FVI16_FH191</t>
  </si>
  <si>
    <t>FVI16_SH0</t>
  </si>
  <si>
    <t>FVI16_SH1</t>
  </si>
  <si>
    <t>FVI16_SH2</t>
  </si>
  <si>
    <t>FVI16_SH3</t>
  </si>
  <si>
    <t>FVI16_SH4</t>
  </si>
  <si>
    <t>FVI16_SH5</t>
  </si>
  <si>
    <t>FVI16_SH6</t>
  </si>
  <si>
    <t>FVI16_SH7</t>
  </si>
  <si>
    <t>FVI16_SH8</t>
  </si>
  <si>
    <t>FVI16_SH9</t>
  </si>
  <si>
    <t>FVI16_SH10</t>
  </si>
  <si>
    <t>FVI16_SH11</t>
  </si>
  <si>
    <t>FVI16_SH12</t>
  </si>
  <si>
    <t>FVI16_SH13</t>
  </si>
  <si>
    <t>FVI16_SH14</t>
  </si>
  <si>
    <t>FVI16_SH15</t>
  </si>
  <si>
    <t>FVI16_SH16</t>
  </si>
  <si>
    <t>FVI16_SH17</t>
  </si>
  <si>
    <t>FVI16_SH18</t>
  </si>
  <si>
    <t>FVI16_SH19</t>
  </si>
  <si>
    <t>FVI16_SH32</t>
  </si>
  <si>
    <t>FVI16_SH33</t>
  </si>
  <si>
    <t>FVI16_SH34</t>
  </si>
  <si>
    <t>FVI16_SH35</t>
  </si>
  <si>
    <t>FVI16_SH36</t>
  </si>
  <si>
    <t>FVI16_SH37</t>
  </si>
  <si>
    <t>FVI16_SH38</t>
  </si>
  <si>
    <t>FVI16_SH39</t>
  </si>
  <si>
    <t>FVI16_SH40</t>
  </si>
  <si>
    <t>FVI16_SH41</t>
  </si>
  <si>
    <t>FVI16_SH42</t>
  </si>
  <si>
    <t>FVI16_SH43</t>
  </si>
  <si>
    <t>FVI16_SH44</t>
  </si>
  <si>
    <t>FVI16_SH45</t>
  </si>
  <si>
    <t>FVI16_SH46</t>
  </si>
  <si>
    <t>FVI16_SH47</t>
  </si>
  <si>
    <t>FVI16_SH112</t>
  </si>
  <si>
    <t>FVI16_SH113</t>
  </si>
  <si>
    <t>FVI16_SH114</t>
  </si>
  <si>
    <t>FVI16_SH115</t>
  </si>
  <si>
    <t>FVI16_SH128</t>
  </si>
  <si>
    <t>FVI16_SH129</t>
  </si>
  <si>
    <t>FVI16_SH130</t>
  </si>
  <si>
    <t>FVI16_SH131</t>
  </si>
  <si>
    <t>FVI16_SH132</t>
  </si>
  <si>
    <t>FVI16_SH133</t>
  </si>
  <si>
    <t>FVI16_SH134</t>
  </si>
  <si>
    <t>FVI16_SH135</t>
  </si>
  <si>
    <t>FVI16_SH136</t>
  </si>
  <si>
    <t>FVI16_SH137</t>
  </si>
  <si>
    <t>FVI16_SH138</t>
  </si>
  <si>
    <t>FVI16_SH139</t>
  </si>
  <si>
    <t>FVI16_SH140</t>
  </si>
  <si>
    <t>FVI16_SH141</t>
  </si>
  <si>
    <t>FVI16_SH142</t>
  </si>
  <si>
    <t>FVI16_SH143</t>
  </si>
  <si>
    <t>FVI16_SH144</t>
  </si>
  <si>
    <t>FVI16_SH145</t>
  </si>
  <si>
    <t>FVI16_SH146</t>
  </si>
  <si>
    <t>FVI16_SH147</t>
  </si>
  <si>
    <t>FVI16_SH160</t>
  </si>
  <si>
    <t>FVI16_SH161</t>
  </si>
  <si>
    <t>FVI16_SH162</t>
  </si>
  <si>
    <t>FVI16_SH163</t>
  </si>
  <si>
    <t>FVI16_SH164</t>
  </si>
  <si>
    <t>FVI16_SH165</t>
  </si>
  <si>
    <t>FVI16_SH166</t>
  </si>
  <si>
    <t>FVI16_SH167</t>
  </si>
  <si>
    <t>FVI16_SH168</t>
  </si>
  <si>
    <t>FVI16_SH169</t>
  </si>
  <si>
    <t>FVI16_SH170</t>
  </si>
  <si>
    <t>FVI16_SH171</t>
  </si>
  <si>
    <t>FVI16_SH172</t>
  </si>
  <si>
    <t>FVI16_SH173</t>
  </si>
  <si>
    <t>FVI16_SH174</t>
  </si>
  <si>
    <t>FVI16_SH175</t>
  </si>
  <si>
    <t>FVI16_SH176</t>
  </si>
  <si>
    <t>FVI16_SH177</t>
  </si>
  <si>
    <t>FVI16_SH178</t>
  </si>
  <si>
    <t>FVI16_SH179</t>
  </si>
  <si>
    <t>FVI2_SH0</t>
  </si>
  <si>
    <t>FVI2_SH2</t>
  </si>
  <si>
    <t>FVI2_SH4</t>
  </si>
  <si>
    <t>FVI2_SH6</t>
  </si>
  <si>
    <t>FVI2_SH8</t>
  </si>
  <si>
    <t>FVI2_SH10</t>
  </si>
  <si>
    <t>FVI2_SH12</t>
  </si>
  <si>
    <t>FVI2_SH14</t>
  </si>
  <si>
    <t>FVI2_SL0</t>
  </si>
  <si>
    <t>FVI2_SL1</t>
  </si>
  <si>
    <t>FVI2_SL2</t>
  </si>
  <si>
    <t>FVI2_SL3</t>
  </si>
  <si>
    <t>FVI2_SL4</t>
  </si>
  <si>
    <t>FVI2_SL5</t>
  </si>
  <si>
    <t>FVI2_SL6</t>
  </si>
  <si>
    <t>FVI2_SL7</t>
  </si>
  <si>
    <t>FVI2_SL8</t>
  </si>
  <si>
    <t>FVI2_SL9</t>
  </si>
  <si>
    <t>FVI2_SL10</t>
  </si>
  <si>
    <t>FVI2_SL11</t>
  </si>
  <si>
    <t>FVI2_SL12</t>
  </si>
  <si>
    <t>FVI2_SL13</t>
  </si>
  <si>
    <t>FVI2_SL14</t>
  </si>
  <si>
    <t>FVI2_SL15</t>
  </si>
  <si>
    <t>FVI8_32_35_FL</t>
  </si>
  <si>
    <t>FVI8_32_35_SL</t>
  </si>
  <si>
    <t>FVI8_36_39_FL</t>
  </si>
  <si>
    <t>FVI8_36_39_SL</t>
  </si>
  <si>
    <t>FVI8_40_43_FL</t>
  </si>
  <si>
    <t>FVI8_40_43_SL</t>
  </si>
  <si>
    <t>FVI8_44_47_FL</t>
  </si>
  <si>
    <t>FVI8_44_47_SL</t>
  </si>
  <si>
    <t>FVI8_48_51_FL</t>
  </si>
  <si>
    <t>FVI8_48_51_SL</t>
  </si>
  <si>
    <t>FVI8_52_55_FL</t>
  </si>
  <si>
    <t>FVI8_52_55_SL</t>
  </si>
  <si>
    <t>FVI8_56_59_FL</t>
  </si>
  <si>
    <t>FVI8_56_59_SL</t>
  </si>
  <si>
    <t>FVI8_60_63_FL</t>
  </si>
  <si>
    <t>FVI8_60_63_SL</t>
  </si>
  <si>
    <t>FVI8_FH32</t>
  </si>
  <si>
    <t>FVI8_FH33</t>
  </si>
  <si>
    <t>FVI8_FH34</t>
  </si>
  <si>
    <t>FVI8_FH35</t>
  </si>
  <si>
    <t>FVI8_FH36</t>
  </si>
  <si>
    <t>FVI8_FH37</t>
  </si>
  <si>
    <t>FVI8_FH38</t>
  </si>
  <si>
    <t>FVI8_FH39</t>
  </si>
  <si>
    <t>FVI8_FH40</t>
  </si>
  <si>
    <t>FVI8_FH41</t>
  </si>
  <si>
    <t>FVI8_FH42</t>
  </si>
  <si>
    <t>FVI8_FH43</t>
  </si>
  <si>
    <t>FVI8_FH44</t>
  </si>
  <si>
    <t>FVI8_FH45</t>
  </si>
  <si>
    <t>FVI8_FH46</t>
  </si>
  <si>
    <t>FVI8_FH47</t>
  </si>
  <si>
    <t>FVI8_FH48</t>
  </si>
  <si>
    <t>FVI8_FH49</t>
  </si>
  <si>
    <t>FVI8_FH50</t>
  </si>
  <si>
    <t>FVI8_FH51</t>
  </si>
  <si>
    <t>FVI8_FH52</t>
  </si>
  <si>
    <t>FVI8_FH53</t>
  </si>
  <si>
    <t>FVI8_FH54</t>
  </si>
  <si>
    <t>FVI8_FH55</t>
  </si>
  <si>
    <t>FVI8_FH56</t>
  </si>
  <si>
    <t>FVI8_FH57</t>
  </si>
  <si>
    <t>FVI8_FH58</t>
  </si>
  <si>
    <t>FVI8_FH59</t>
  </si>
  <si>
    <t>FVI8_FH60</t>
  </si>
  <si>
    <t>FVI8_FH61</t>
  </si>
  <si>
    <t>FVI8_FH62</t>
  </si>
  <si>
    <t>FVI8_FH63</t>
  </si>
  <si>
    <t>FVI8_SH0</t>
  </si>
  <si>
    <t>FVI8_SH1</t>
  </si>
  <si>
    <t>FVI8_SH2</t>
  </si>
  <si>
    <t>FVI8_SH3</t>
  </si>
  <si>
    <t>FVI8_SH4</t>
  </si>
  <si>
    <t>FVI8_SH5</t>
  </si>
  <si>
    <t>FVI8_SH6</t>
  </si>
  <si>
    <t>FVI8_SH8</t>
  </si>
  <si>
    <t>FVI8_SH9</t>
  </si>
  <si>
    <t>FVI8_SH10</t>
  </si>
  <si>
    <t>FVI8_SH11</t>
  </si>
  <si>
    <t>FVI8_SH12</t>
  </si>
  <si>
    <t>FVI8_SH13</t>
  </si>
  <si>
    <t>FVI8_SH14</t>
  </si>
  <si>
    <t>FVI8_SH16</t>
  </si>
  <si>
    <t>FVI8_SH17</t>
  </si>
  <si>
    <t>FVI8_SH18</t>
  </si>
  <si>
    <t>FVI8_SH19</t>
  </si>
  <si>
    <t>FVI8_SH20</t>
  </si>
  <si>
    <t>FVI8_SH21</t>
  </si>
  <si>
    <t>FVI8_SH22</t>
  </si>
  <si>
    <t>FVI8_SH24</t>
  </si>
  <si>
    <t>FVI8_SH25</t>
  </si>
  <si>
    <t>FVI8_SH26</t>
  </si>
  <si>
    <t>FVI8_SH27</t>
  </si>
  <si>
    <t>FVI8_SH28</t>
  </si>
  <si>
    <t>FVI8_SH29</t>
  </si>
  <si>
    <t>FVI8_SH30</t>
  </si>
  <si>
    <t>FVI8_SH32</t>
  </si>
  <si>
    <t>FVI8_SH33</t>
  </si>
  <si>
    <t>FVI8_SH34</t>
  </si>
  <si>
    <t>FVI8_SH35</t>
  </si>
  <si>
    <t>FVI8_SH36</t>
  </si>
  <si>
    <t>FVI8_SH37</t>
  </si>
  <si>
    <t>FVI8_SH38</t>
  </si>
  <si>
    <t>FVI8_SH40</t>
  </si>
  <si>
    <t>FVI8_SH41</t>
  </si>
  <si>
    <t>FVI8_SH42</t>
  </si>
  <si>
    <t>FVI8_SH43</t>
  </si>
  <si>
    <t>FVI8_SH44</t>
  </si>
  <si>
    <t>FVI8_SH45</t>
  </si>
  <si>
    <t>FVI8_SH46</t>
  </si>
  <si>
    <t>FVI8_SH48</t>
  </si>
  <si>
    <t>FVI8_SH49</t>
  </si>
  <si>
    <t>FVI8_SH50</t>
  </si>
  <si>
    <t>FVI8_SH51</t>
  </si>
  <si>
    <t>FVI8_SH52</t>
  </si>
  <si>
    <t>FVI8_SH53</t>
  </si>
  <si>
    <t>FVI8_SH54</t>
  </si>
  <si>
    <t>FVI8_SH56</t>
  </si>
  <si>
    <t>FVI8_SH57</t>
  </si>
  <si>
    <t>FVI8_SH58</t>
  </si>
  <si>
    <t>FVI8_SH59</t>
  </si>
  <si>
    <t>FVI8_SH60</t>
  </si>
  <si>
    <t>FVI8_SH61</t>
  </si>
  <si>
    <t>FVI8_SH62</t>
  </si>
  <si>
    <t>GND</t>
  </si>
  <si>
    <t>HAD4_DIG_IN+</t>
  </si>
  <si>
    <t>HAD4_DIG_IN-</t>
  </si>
  <si>
    <t>HAD5_DIG_IN+</t>
  </si>
  <si>
    <t>HAD5_DIG_IN-</t>
  </si>
  <si>
    <t>HAD6_DIG_IN+</t>
  </si>
  <si>
    <t>HAD6_DIG_IN-</t>
  </si>
  <si>
    <t>HAD7_DIG_IN+</t>
  </si>
  <si>
    <t>HAD7_DIG_IN-</t>
  </si>
  <si>
    <t>P12V</t>
  </si>
  <si>
    <t>S1_AD822_IN</t>
  </si>
  <si>
    <t>S1_AGND_F</t>
  </si>
  <si>
    <t>S1_AGND_S</t>
  </si>
  <si>
    <t>S1_AGND_S31</t>
  </si>
  <si>
    <t>S1_C19_50MIL</t>
  </si>
  <si>
    <t>S1_COMP_F</t>
  </si>
  <si>
    <t>S1_COMP_F32</t>
  </si>
  <si>
    <t>S1_COMP_S</t>
  </si>
  <si>
    <t>S1_COMP_S32</t>
  </si>
  <si>
    <t>S1_CPP_F</t>
  </si>
  <si>
    <t>S1_CPP_F13</t>
  </si>
  <si>
    <t>S1_CPP_S</t>
  </si>
  <si>
    <t>S1_CPP_S13</t>
  </si>
  <si>
    <t>S1_CX1_F</t>
  </si>
  <si>
    <t>S1_CX1_F9</t>
  </si>
  <si>
    <t>S1_CX2_F</t>
  </si>
  <si>
    <t>S1_CX2_F12</t>
  </si>
  <si>
    <t>S1_EN_S</t>
  </si>
  <si>
    <t>S1_EN_S25</t>
  </si>
  <si>
    <t>S1_FAULT_F</t>
  </si>
  <si>
    <t>S1_FAULT_F30</t>
  </si>
  <si>
    <t>S1_FAULT_S</t>
  </si>
  <si>
    <t>S1_FAULT_S30</t>
  </si>
  <si>
    <t>S1_GF</t>
  </si>
  <si>
    <t>S1_GND_SENSE</t>
  </si>
  <si>
    <t>S1_GS</t>
  </si>
  <si>
    <t>S1_HAD_H</t>
  </si>
  <si>
    <t>S1_HAD_L</t>
  </si>
  <si>
    <t>S1_K11_5_50MIL</t>
  </si>
  <si>
    <t>S1_K13_5_50MIL</t>
  </si>
  <si>
    <t>S1_K13_6_50MIL</t>
  </si>
  <si>
    <t>S1_K17_5_10MIL</t>
  </si>
  <si>
    <t>S1_K19_5_50MIL</t>
  </si>
  <si>
    <t>S1_K19_6_50MIL</t>
  </si>
  <si>
    <t>S1_K1_5_50MIL</t>
  </si>
  <si>
    <t>S1_K1_6_50MIL</t>
  </si>
  <si>
    <t>S1_K21_5_50MIL</t>
  </si>
  <si>
    <t>S1_K21_6_50MIL</t>
  </si>
  <si>
    <t>S1_K26_5_50MIL</t>
  </si>
  <si>
    <t>S1_K26_6_50MIL</t>
  </si>
  <si>
    <t>S1_K29_5_50MIL</t>
  </si>
  <si>
    <t>S1_K34_2_10MIL</t>
  </si>
  <si>
    <t>S1_K45_5_50MIL</t>
  </si>
  <si>
    <t>S1_K46_5_50MIL</t>
  </si>
  <si>
    <t>S1_K53_6_10MIL</t>
  </si>
  <si>
    <t>S1_K58_2_50MIL</t>
  </si>
  <si>
    <t>S1_K59_6_50MIL</t>
  </si>
  <si>
    <t>S1_K60_6_50MIL</t>
  </si>
  <si>
    <t>S1_K66_2_30MIL</t>
  </si>
  <si>
    <t>S1_K66_7_10MIL</t>
  </si>
  <si>
    <t>S1_K67_2_30MIL</t>
  </si>
  <si>
    <t>S1_K67_7_10MIL</t>
  </si>
  <si>
    <t>S1_K68_2_30MIL</t>
  </si>
  <si>
    <t>S1_K68_7_10MIL</t>
  </si>
  <si>
    <t>S1_K69_7_10MIL</t>
  </si>
  <si>
    <t>S1_K6_5_50MIL</t>
  </si>
  <si>
    <t>S1_K6_6_50MIL</t>
  </si>
  <si>
    <t>S1_K70_2_30MIL</t>
  </si>
  <si>
    <t>S1_K70_7_10MIL</t>
  </si>
  <si>
    <t>S1_K72_2_10MIL</t>
  </si>
  <si>
    <t>S1_K72_5_10MIL</t>
  </si>
  <si>
    <t>S1_K72_6_10MIL</t>
  </si>
  <si>
    <t>S1_K73_2_10MIL</t>
  </si>
  <si>
    <t>S1_K73_5_10MIL</t>
  </si>
  <si>
    <t>S1_K73_6_10MIL</t>
  </si>
  <si>
    <t>S1_K74_1_10MIL</t>
  </si>
  <si>
    <t>S1_K74_2_10MIL</t>
  </si>
  <si>
    <t>S1_K74_5_10MIL</t>
  </si>
  <si>
    <t>S1_K74_6_10MIL</t>
  </si>
  <si>
    <t>S1_K75_5_10MIL</t>
  </si>
  <si>
    <t>S1_K75_6_10MIL</t>
  </si>
  <si>
    <t>S1_K76_2_10MIL</t>
  </si>
  <si>
    <t>S1_K76_5_10MIL</t>
  </si>
  <si>
    <t>S1_K76_6_10MIL</t>
  </si>
  <si>
    <t>S1_LXN_F</t>
  </si>
  <si>
    <t>S1_LXN_F16</t>
  </si>
  <si>
    <t>S1_LXP_F</t>
  </si>
  <si>
    <t>S1_LXP_F4</t>
  </si>
  <si>
    <t>S1_LX_F</t>
  </si>
  <si>
    <t>S1_LX_F6</t>
  </si>
  <si>
    <t>S1_NAVDD_F</t>
  </si>
  <si>
    <t>S1_NAVDD_F14</t>
  </si>
  <si>
    <t>S1_NAVDD_S</t>
  </si>
  <si>
    <t>S1_NAVDD_S14</t>
  </si>
  <si>
    <t>S1_NC[1]_F3</t>
  </si>
  <si>
    <t>S1_NC[1]_S</t>
  </si>
  <si>
    <t>S1_NC[1]_S3</t>
  </si>
  <si>
    <t>S1_NC[2]_F7</t>
  </si>
  <si>
    <t>S1_NC[2]_S</t>
  </si>
  <si>
    <t>S1_NC[2]_S7</t>
  </si>
  <si>
    <t>S1_NC[3]_F15</t>
  </si>
  <si>
    <t>S1_NC[3]_S</t>
  </si>
  <si>
    <t>S1_NC[3]_S15</t>
  </si>
  <si>
    <t>S1_NC[4]_F21</t>
  </si>
  <si>
    <t>S1_NC[4]_S</t>
  </si>
  <si>
    <t>S1_NC[4]_S21</t>
  </si>
  <si>
    <t>S1_NEG_F</t>
  </si>
  <si>
    <t>S1_NEG_F20</t>
  </si>
  <si>
    <t>S1_NEG_S</t>
  </si>
  <si>
    <t>S1_NTC_F</t>
  </si>
  <si>
    <t>S1_NTC_F23</t>
  </si>
  <si>
    <t>S1_NTC_S</t>
  </si>
  <si>
    <t>S1_OPP_F</t>
  </si>
  <si>
    <t>S1_OPP_F18</t>
  </si>
  <si>
    <t>S1_OPP_S</t>
  </si>
  <si>
    <t>S1_OPP_S18</t>
  </si>
  <si>
    <t>S1_PAVDD_F</t>
  </si>
  <si>
    <t>S1_PAVDD_F8</t>
  </si>
  <si>
    <t>S1_PAVDD_S</t>
  </si>
  <si>
    <t>S1_PAVDD_S8</t>
  </si>
  <si>
    <t>S1_PGND1_F</t>
  </si>
  <si>
    <t>S1_PGND1_S</t>
  </si>
  <si>
    <t>S1_PGND1_S5</t>
  </si>
  <si>
    <t>S1_PGND2_F</t>
  </si>
  <si>
    <t>S1_PGND2_S</t>
  </si>
  <si>
    <t>S1_PGND2_S10</t>
  </si>
  <si>
    <t>S1_PGND_F</t>
  </si>
  <si>
    <t>S1_PGND_S</t>
  </si>
  <si>
    <t>S1_PGND_S22</t>
  </si>
  <si>
    <t>S1_SCL_F</t>
  </si>
  <si>
    <t>S1_SCL_F26</t>
  </si>
  <si>
    <t>S1_SCL_S</t>
  </si>
  <si>
    <t>S1_SDA_F</t>
  </si>
  <si>
    <t>S1_SDA_F27</t>
  </si>
  <si>
    <t>S1_SDA_S</t>
  </si>
  <si>
    <t>S1_U1_4_30MIL</t>
  </si>
  <si>
    <t>S1_U1_5_10MIL</t>
  </si>
  <si>
    <t>S1_U1_6_10MIL</t>
  </si>
  <si>
    <t>S1_U1_7_10MIL</t>
  </si>
  <si>
    <t>S1_U1_8_30MIL</t>
  </si>
  <si>
    <t>S1_U2_1_10MIL</t>
  </si>
  <si>
    <t>S1_U2_4_30MIL</t>
  </si>
  <si>
    <t>S1_U2_7_30MIL</t>
  </si>
  <si>
    <t>S1_U3_1_10MIL</t>
  </si>
  <si>
    <t>S1_U3_4_30MIL</t>
  </si>
  <si>
    <t>S1_U3_7_30MIL</t>
  </si>
  <si>
    <t>S1_VCOM_F</t>
  </si>
  <si>
    <t>S1_VCOM_F19</t>
  </si>
  <si>
    <t>S1_VCOM_S</t>
  </si>
  <si>
    <t>S1_VGHI_F</t>
  </si>
  <si>
    <t>S1_VGHI_F2</t>
  </si>
  <si>
    <t>S1_VGHI_S</t>
  </si>
  <si>
    <t>S1_VGHI_S2</t>
  </si>
  <si>
    <t>S1_VGH_F</t>
  </si>
  <si>
    <t>S1_VGH_F1</t>
  </si>
  <si>
    <t>S1_VGH_S</t>
  </si>
  <si>
    <t>S1_VGH_S1</t>
  </si>
  <si>
    <t>S1_VGL_F</t>
  </si>
  <si>
    <t>S1_VGL_F11</t>
  </si>
  <si>
    <t>S1_VGL_S</t>
  </si>
  <si>
    <t>S1_VGL_S11</t>
  </si>
  <si>
    <t>S1_VIN1_F</t>
  </si>
  <si>
    <t>S1_VIN1_F24</t>
  </si>
  <si>
    <t>S1_VIN1_S</t>
  </si>
  <si>
    <t>S1_VIN1_S24</t>
  </si>
  <si>
    <t>S1_VIN2_F</t>
  </si>
  <si>
    <t>S1_VIN2_F17</t>
  </si>
  <si>
    <t>S1_VIN2_S</t>
  </si>
  <si>
    <t>S1_VIN2_S17</t>
  </si>
  <si>
    <t>S1_WP_S</t>
  </si>
  <si>
    <t>S2_AD822_IN</t>
  </si>
  <si>
    <t>S2_AGND_F</t>
  </si>
  <si>
    <t>S2_AGND_S</t>
  </si>
  <si>
    <t>S2_AGND_S31</t>
  </si>
  <si>
    <t>S2_C19_50MIL</t>
  </si>
  <si>
    <t>S2_COMP_F</t>
  </si>
  <si>
    <t>S2_COMP_F32</t>
  </si>
  <si>
    <t>S2_COMP_S</t>
  </si>
  <si>
    <t>S2_COMP_S32</t>
  </si>
  <si>
    <t>S2_CPP_F</t>
  </si>
  <si>
    <t>S2_CPP_F13</t>
  </si>
  <si>
    <t>S2_CPP_S</t>
  </si>
  <si>
    <t>S2_CPP_S13</t>
  </si>
  <si>
    <t>S2_CX1_F</t>
  </si>
  <si>
    <t>S2_CX1_F9</t>
  </si>
  <si>
    <t>S2_CX2_F</t>
  </si>
  <si>
    <t>S2_CX2_F12</t>
  </si>
  <si>
    <t>S2_FAULT_F</t>
  </si>
  <si>
    <t>S2_FAULT_F30</t>
  </si>
  <si>
    <t>S2_FAULT_S</t>
  </si>
  <si>
    <t>S2_FAULT_S30</t>
  </si>
  <si>
    <t>S2_GF</t>
  </si>
  <si>
    <t>S2_GND_SENSE</t>
  </si>
  <si>
    <t>S2_GS</t>
  </si>
  <si>
    <t>S2_HAD_H</t>
  </si>
  <si>
    <t>S2_HAD_L</t>
  </si>
  <si>
    <t>S2_K11_5_50MIL</t>
  </si>
  <si>
    <t>S2_K13_5_50MIL</t>
  </si>
  <si>
    <t>S2_K13_6_50MIL</t>
  </si>
  <si>
    <t>S2_K17_5_10MIL</t>
  </si>
  <si>
    <t>S2_K19_5_50MIL</t>
  </si>
  <si>
    <t>S2_K19_6_50MIL</t>
  </si>
  <si>
    <t>S2_K1_5_50MIL</t>
  </si>
  <si>
    <t>S2_K1_6_50MIL</t>
  </si>
  <si>
    <t>S2_K21_5_50MIL</t>
  </si>
  <si>
    <t>S2_K21_6_50MIL</t>
  </si>
  <si>
    <t>S2_K26_5_50MIL</t>
  </si>
  <si>
    <t>S2_K26_6_50MIL</t>
  </si>
  <si>
    <t>S2_K29_5_50MIL</t>
  </si>
  <si>
    <t>S2_K34_2_10MIL</t>
  </si>
  <si>
    <t>S2_K45_5_50MIL</t>
  </si>
  <si>
    <t>S2_K46_5_50MIL</t>
  </si>
  <si>
    <t>S2_K53_6_10MIL</t>
  </si>
  <si>
    <t>S2_K58_2_50MIL</t>
  </si>
  <si>
    <t>S2_K59_6_50MIL</t>
  </si>
  <si>
    <t>S2_K60_6_50MIL</t>
  </si>
  <si>
    <t>S2_K66_2_30MIL</t>
  </si>
  <si>
    <t>S2_K66_7_10MIL</t>
  </si>
  <si>
    <t>S2_K67_2_30MIL</t>
  </si>
  <si>
    <t>S2_K67_7_10MIL</t>
  </si>
  <si>
    <t>S2_K68_2_30MIL</t>
  </si>
  <si>
    <t>S2_K68_7_10MIL</t>
  </si>
  <si>
    <t>S2_K69_7_10MIL</t>
  </si>
  <si>
    <t>S2_K6_5_50MIL</t>
  </si>
  <si>
    <t>S2_K6_6_50MIL</t>
  </si>
  <si>
    <t>S2_K70_2_30MIL</t>
  </si>
  <si>
    <t>S2_K70_7_10MIL</t>
  </si>
  <si>
    <t>S2_K72_2_10MIL</t>
  </si>
  <si>
    <t>S2_K72_5_10MIL</t>
  </si>
  <si>
    <t>S2_K72_6_10MIL</t>
  </si>
  <si>
    <t>S2_K73_2_10MIL</t>
  </si>
  <si>
    <t>S2_K73_5_10MIL</t>
  </si>
  <si>
    <t>S2_K73_6_10MIL</t>
  </si>
  <si>
    <t>S2_K74_1_10MIL</t>
  </si>
  <si>
    <t>S2_K74_2_10MIL</t>
  </si>
  <si>
    <t>S2_K74_5_10MIL</t>
  </si>
  <si>
    <t>S2_K74_6_10MIL</t>
  </si>
  <si>
    <t>S2_K75_5_10MIL</t>
  </si>
  <si>
    <t>S2_K75_6_10MIL</t>
  </si>
  <si>
    <t>S2_K76_2_10MIL</t>
  </si>
  <si>
    <t>S2_K76_5_10MIL</t>
  </si>
  <si>
    <t>S2_K76_6_10MIL</t>
  </si>
  <si>
    <t>S2_LXN_F</t>
  </si>
  <si>
    <t>S2_LXN_F16</t>
  </si>
  <si>
    <t>S2_LXP_F</t>
  </si>
  <si>
    <t>S2_LXP_F4</t>
  </si>
  <si>
    <t>S2_LX_F</t>
  </si>
  <si>
    <t>S2_LX_F6</t>
  </si>
  <si>
    <t>S2_NAVDD_F</t>
  </si>
  <si>
    <t>S2_NAVDD_F14</t>
  </si>
  <si>
    <t>S2_NAVDD_S</t>
  </si>
  <si>
    <t>S2_NAVDD_S14</t>
  </si>
  <si>
    <t>S2_NC[1]_F3</t>
  </si>
  <si>
    <t>S2_NC[1]_S</t>
  </si>
  <si>
    <t>S2_NC[1]_S3</t>
  </si>
  <si>
    <t>S2_NC[2]_F7</t>
  </si>
  <si>
    <t>S2_NC[2]_S</t>
  </si>
  <si>
    <t>S2_NC[2]_S7</t>
  </si>
  <si>
    <t>S2_NC[3]_F15</t>
  </si>
  <si>
    <t>S2_NC[3]_S</t>
  </si>
  <si>
    <t>S2_NC[3]_S15</t>
  </si>
  <si>
    <t>S2_NC[4]_F21</t>
  </si>
  <si>
    <t>S2_NC[4]_S</t>
  </si>
  <si>
    <t>S2_NC[4]_S21</t>
  </si>
  <si>
    <t>S2_NEG_F</t>
  </si>
  <si>
    <t>S2_NEG_F20</t>
  </si>
  <si>
    <t>S2_NTC_F</t>
  </si>
  <si>
    <t>S2_NTC_F23</t>
  </si>
  <si>
    <t>S2_OPP_F</t>
  </si>
  <si>
    <t>S2_OPP_F18</t>
  </si>
  <si>
    <t>S2_OPP_S</t>
  </si>
  <si>
    <t>S2_OPP_S18</t>
  </si>
  <si>
    <t>S2_PAVDD_F</t>
  </si>
  <si>
    <t>S2_PAVDD_F8</t>
  </si>
  <si>
    <t>S2_PAVDD_S</t>
  </si>
  <si>
    <t>S2_PAVDD_S8</t>
  </si>
  <si>
    <t>S2_PGND1_F</t>
  </si>
  <si>
    <t>S2_PGND1_S</t>
  </si>
  <si>
    <t>S2_PGND1_S5</t>
  </si>
  <si>
    <t>S2_PGND2_F</t>
  </si>
  <si>
    <t>S2_PGND2_S</t>
  </si>
  <si>
    <t>S2_PGND2_S10</t>
  </si>
  <si>
    <t>S2_PGND_F</t>
  </si>
  <si>
    <t>S2_PGND_S</t>
  </si>
  <si>
    <t>S2_PGND_S22</t>
  </si>
  <si>
    <t>S2_SCL_F</t>
  </si>
  <si>
    <t>S2_SCL_F26</t>
  </si>
  <si>
    <t>S2_SDA_F</t>
  </si>
  <si>
    <t>S2_SDA_F27</t>
  </si>
  <si>
    <t>S2_U1_4_30MIL</t>
  </si>
  <si>
    <t>S2_U1_5_10MIL</t>
  </si>
  <si>
    <t>S2_U1_6_10MIL</t>
  </si>
  <si>
    <t>S2_U1_7_10MIL</t>
  </si>
  <si>
    <t>S2_U1_8_30MIL</t>
  </si>
  <si>
    <t>S2_U2_1_10MIL</t>
  </si>
  <si>
    <t>S2_U2_4_30MIL</t>
  </si>
  <si>
    <t>S2_U2_7_30MIL</t>
  </si>
  <si>
    <t>S2_U3_1_10MIL</t>
  </si>
  <si>
    <t>S2_U3_4_30MIL</t>
  </si>
  <si>
    <t>S2_U3_7_30MIL</t>
  </si>
  <si>
    <t>S2_VCOM_F</t>
  </si>
  <si>
    <t>S2_VCOM_F19</t>
  </si>
  <si>
    <t>S2_VGHI_F</t>
  </si>
  <si>
    <t>S2_VGHI_F2</t>
  </si>
  <si>
    <t>S2_VGHI_S</t>
  </si>
  <si>
    <t>S2_VGHI_S2</t>
  </si>
  <si>
    <t>S2_VGH_F</t>
  </si>
  <si>
    <t>S2_VGH_F1</t>
  </si>
  <si>
    <t>S2_VGH_S</t>
  </si>
  <si>
    <t>S2_VGH_S1</t>
  </si>
  <si>
    <t>S2_VGL_F</t>
  </si>
  <si>
    <t>S2_VGL_F11</t>
  </si>
  <si>
    <t>S2_VGL_S</t>
  </si>
  <si>
    <t>S2_VGL_S11</t>
  </si>
  <si>
    <t>S2_VIN1_F</t>
  </si>
  <si>
    <t>S2_VIN1_F24</t>
  </si>
  <si>
    <t>S2_VIN1_S</t>
  </si>
  <si>
    <t>S2_VIN1_S24</t>
  </si>
  <si>
    <t>S2_VIN2_F</t>
  </si>
  <si>
    <t>S2_VIN2_F17</t>
  </si>
  <si>
    <t>S2_VIN2_S</t>
  </si>
  <si>
    <t>S2_VIN2_S17</t>
  </si>
  <si>
    <t>S3_AD822_IN</t>
  </si>
  <si>
    <t>S3_AGND_F</t>
  </si>
  <si>
    <t>S3_AGND_S</t>
  </si>
  <si>
    <t>S3_AGND_S31</t>
  </si>
  <si>
    <t>S3_C19_50MIL</t>
  </si>
  <si>
    <t>S3_COMP_F</t>
  </si>
  <si>
    <t>S3_COMP_F32</t>
  </si>
  <si>
    <t>S3_COMP_S</t>
  </si>
  <si>
    <t>S3_COMP_S32</t>
  </si>
  <si>
    <t>S3_CPP_F</t>
  </si>
  <si>
    <t>S3_CPP_F13</t>
  </si>
  <si>
    <t>S3_CPP_S</t>
  </si>
  <si>
    <t>S3_CPP_S13</t>
  </si>
  <si>
    <t>S3_CX1_F</t>
  </si>
  <si>
    <t>S3_CX1_F9</t>
  </si>
  <si>
    <t>S3_CX2_F</t>
  </si>
  <si>
    <t>S3_CX2_F12</t>
  </si>
  <si>
    <t>S3_FAULT_F</t>
  </si>
  <si>
    <t>S3_FAULT_F30</t>
  </si>
  <si>
    <t>S3_FAULT_S</t>
  </si>
  <si>
    <t>S3_FAULT_S30</t>
  </si>
  <si>
    <t>S3_GF</t>
  </si>
  <si>
    <t>S3_GND_SENSE</t>
  </si>
  <si>
    <t>S3_GS</t>
  </si>
  <si>
    <t>S3_HAD_H</t>
  </si>
  <si>
    <t>S3_HAD_L</t>
  </si>
  <si>
    <t>S3_K11_5_50MIL</t>
  </si>
  <si>
    <t>S3_K13_5_50MIL</t>
  </si>
  <si>
    <t>S3_K13_6_50MIL</t>
  </si>
  <si>
    <t>S3_K17_5_10MIL</t>
  </si>
  <si>
    <t>S3_K19_5_50MIL</t>
  </si>
  <si>
    <t>S3_K19_6_50MIL</t>
  </si>
  <si>
    <t>S3_K1_5_50MIL</t>
  </si>
  <si>
    <t>S3_K1_6_50MIL</t>
  </si>
  <si>
    <t>S3_K21_5_50MIL</t>
  </si>
  <si>
    <t>S3_K21_6_50MIL</t>
  </si>
  <si>
    <t>S3_K26_5_50MIL</t>
  </si>
  <si>
    <t>S3_K26_6_50MIL</t>
  </si>
  <si>
    <t>S3_K29_5_50MIL</t>
  </si>
  <si>
    <t>S3_K34_2_10MIL</t>
  </si>
  <si>
    <t>S3_K45_5_50MIL</t>
  </si>
  <si>
    <t>S3_K46_5_50MIL</t>
  </si>
  <si>
    <t>S3_K53_6_10MIL</t>
  </si>
  <si>
    <t>S3_K58_2_50MIL</t>
  </si>
  <si>
    <t>S3_K59_6_50MIL</t>
  </si>
  <si>
    <t>S3_K60_6_50MIL</t>
  </si>
  <si>
    <t>S3_K66_2_30MIL</t>
  </si>
  <si>
    <t>S3_K66_7_10MIL</t>
  </si>
  <si>
    <t>S3_K67_2_30MIL</t>
  </si>
  <si>
    <t>S3_K67_7_10MIL</t>
  </si>
  <si>
    <t>S3_K68_2_30MIL</t>
  </si>
  <si>
    <t>S3_K68_7_10MIL</t>
  </si>
  <si>
    <t>S3_K69_7_10MIL</t>
  </si>
  <si>
    <t>S3_K6_5_50MIL</t>
  </si>
  <si>
    <t>S3_K6_6_50MIL</t>
  </si>
  <si>
    <t>S3_K70_2_30MIL</t>
  </si>
  <si>
    <t>S3_K70_7_10MIL</t>
  </si>
  <si>
    <t>S3_K72_2_10MIL</t>
  </si>
  <si>
    <t>S3_K72_5_10MIL</t>
  </si>
  <si>
    <t>S3_K72_6_10MIL</t>
  </si>
  <si>
    <t>S3_K73_2_10MIL</t>
  </si>
  <si>
    <t>S3_K73_5_10MIL</t>
  </si>
  <si>
    <t>S3_K73_6_10MIL</t>
  </si>
  <si>
    <t>S3_K74_1_10MIL</t>
  </si>
  <si>
    <t>S3_K74_2_10MIL</t>
  </si>
  <si>
    <t>S3_K74_5_10MIL</t>
  </si>
  <si>
    <t>S3_K74_6_10MIL</t>
  </si>
  <si>
    <t>S3_K75_5_10MIL</t>
  </si>
  <si>
    <t>S3_K75_6_10MIL</t>
  </si>
  <si>
    <t>S3_K76_2_10MIL</t>
  </si>
  <si>
    <t>S3_K76_5_10MIL</t>
  </si>
  <si>
    <t>S3_K76_6_10MIL</t>
  </si>
  <si>
    <t>S3_LXN_F</t>
  </si>
  <si>
    <t>S3_LXN_F16</t>
  </si>
  <si>
    <t>S3_LXP_F</t>
  </si>
  <si>
    <t>S3_LXP_F4</t>
  </si>
  <si>
    <t>S3_LX_F</t>
  </si>
  <si>
    <t>S3_LX_F6</t>
  </si>
  <si>
    <t>S3_NAVDD_F</t>
  </si>
  <si>
    <t>S3_NAVDD_F14</t>
  </si>
  <si>
    <t>S3_NAVDD_S</t>
  </si>
  <si>
    <t>S3_NAVDD_S14</t>
  </si>
  <si>
    <t>S3_NC[1]_F3</t>
  </si>
  <si>
    <t>S3_NC[1]_S</t>
  </si>
  <si>
    <t>S3_NC[1]_S3</t>
  </si>
  <si>
    <t>S3_NC[2]_F7</t>
  </si>
  <si>
    <t>S3_NC[2]_S</t>
  </si>
  <si>
    <t>S3_NC[2]_S7</t>
  </si>
  <si>
    <t>S3_NC[3]_F15</t>
  </si>
  <si>
    <t>S3_NC[3]_S</t>
  </si>
  <si>
    <t>S3_NC[3]_S15</t>
  </si>
  <si>
    <t>S3_NC[4]_F21</t>
  </si>
  <si>
    <t>S3_NC[4]_S</t>
  </si>
  <si>
    <t>S3_NC[4]_S21</t>
  </si>
  <si>
    <t>S3_NEG_F</t>
  </si>
  <si>
    <t>S3_NEG_F20</t>
  </si>
  <si>
    <t>S3_NTC_F</t>
  </si>
  <si>
    <t>S3_NTC_F23</t>
  </si>
  <si>
    <t>S3_OPP_F</t>
  </si>
  <si>
    <t>S3_OPP_F18</t>
  </si>
  <si>
    <t>S3_OPP_S</t>
  </si>
  <si>
    <t>S3_OPP_S18</t>
  </si>
  <si>
    <t>S3_PAVDD_F</t>
  </si>
  <si>
    <t>S3_PAVDD_F8</t>
  </si>
  <si>
    <t>S3_PAVDD_S</t>
  </si>
  <si>
    <t>S3_PAVDD_S8</t>
  </si>
  <si>
    <t>S3_PGND1_F</t>
  </si>
  <si>
    <t>S3_PGND1_S</t>
  </si>
  <si>
    <t>S3_PGND1_S5</t>
  </si>
  <si>
    <t>S3_PGND2_F</t>
  </si>
  <si>
    <t>S3_PGND2_S</t>
  </si>
  <si>
    <t>S3_PGND2_S10</t>
  </si>
  <si>
    <t>S3_PGND_F</t>
  </si>
  <si>
    <t>S3_PGND_S</t>
  </si>
  <si>
    <t>S3_PGND_S22</t>
  </si>
  <si>
    <t>S3_SCL_F</t>
  </si>
  <si>
    <t>S3_SCL_F26</t>
  </si>
  <si>
    <t>S3_SDA_F</t>
  </si>
  <si>
    <t>S3_SDA_F27</t>
  </si>
  <si>
    <t>S3_U1_4_30MIL</t>
  </si>
  <si>
    <t>S3_U1_5_10MIL</t>
  </si>
  <si>
    <t>S3_U1_6_10MIL</t>
  </si>
  <si>
    <t>S3_U1_7_10MIL</t>
  </si>
  <si>
    <t>S3_U1_8_30MIL</t>
  </si>
  <si>
    <t>S3_U2_1_10MIL</t>
  </si>
  <si>
    <t>S3_U2_4_30MIL</t>
  </si>
  <si>
    <t>S3_U2_7_30MIL</t>
  </si>
  <si>
    <t>S3_U3_1_10MIL</t>
  </si>
  <si>
    <t>S3_U3_4_30MIL</t>
  </si>
  <si>
    <t>S3_U3_7_30MIL</t>
  </si>
  <si>
    <t>S3_VCOM_F</t>
  </si>
  <si>
    <t>S3_VCOM_F19</t>
  </si>
  <si>
    <t>S3_VGHI_F</t>
  </si>
  <si>
    <t>S3_VGHI_F2</t>
  </si>
  <si>
    <t>S3_VGHI_S</t>
  </si>
  <si>
    <t>S3_VGHI_S2</t>
  </si>
  <si>
    <t>S3_VGH_F</t>
  </si>
  <si>
    <t>S3_VGH_F1</t>
  </si>
  <si>
    <t>S3_VGH_S</t>
  </si>
  <si>
    <t>S3_VGH_S1</t>
  </si>
  <si>
    <t>S3_VGL_F</t>
  </si>
  <si>
    <t>S3_VGL_F11</t>
  </si>
  <si>
    <t>S3_VGL_S</t>
  </si>
  <si>
    <t>S3_VGL_S11</t>
  </si>
  <si>
    <t>S3_VIN1_F</t>
  </si>
  <si>
    <t>S3_VIN1_F24</t>
  </si>
  <si>
    <t>S3_VIN1_S</t>
  </si>
  <si>
    <t>S3_VIN1_S24</t>
  </si>
  <si>
    <t>S3_VIN2_F</t>
  </si>
  <si>
    <t>S3_VIN2_F17</t>
  </si>
  <si>
    <t>S3_VIN2_S</t>
  </si>
  <si>
    <t>S3_VIN2_S17</t>
  </si>
  <si>
    <t>S4_AD822_IN</t>
  </si>
  <si>
    <t>S4_AGND_F</t>
  </si>
  <si>
    <t>S4_AGND_S</t>
  </si>
  <si>
    <t>S4_AGND_S31</t>
  </si>
  <si>
    <t>S4_C19_50MIL</t>
  </si>
  <si>
    <t>S4_COMP_F</t>
  </si>
  <si>
    <t>S4_COMP_F32</t>
  </si>
  <si>
    <t>S4_COMP_S</t>
  </si>
  <si>
    <t>S4_COMP_S32</t>
  </si>
  <si>
    <t>S4_CPP_F</t>
  </si>
  <si>
    <t>S4_CPP_F13</t>
  </si>
  <si>
    <t>S4_CPP_S</t>
  </si>
  <si>
    <t>S4_CPP_S13</t>
  </si>
  <si>
    <t>S4_CX1_F</t>
  </si>
  <si>
    <t>S4_CX1_F9</t>
  </si>
  <si>
    <t>S4_CX2_F</t>
  </si>
  <si>
    <t>S4_CX2_F12</t>
  </si>
  <si>
    <t>S4_FAULT_F</t>
  </si>
  <si>
    <t>S4_FAULT_F30</t>
  </si>
  <si>
    <t>S4_FAULT_S</t>
  </si>
  <si>
    <t>S4_FAULT_S30</t>
  </si>
  <si>
    <t>S4_GF</t>
  </si>
  <si>
    <t>S4_GND_SENSE</t>
  </si>
  <si>
    <t>S4_GS</t>
  </si>
  <si>
    <t>S4_HAD_H</t>
  </si>
  <si>
    <t>S4_HAD_L</t>
  </si>
  <si>
    <t>S4_K11_5_50MIL</t>
  </si>
  <si>
    <t>S4_K13_5_50MIL</t>
  </si>
  <si>
    <t>S4_K13_6_50MIL</t>
  </si>
  <si>
    <t>S4_K17_5_10MIL</t>
  </si>
  <si>
    <t>S4_K19_5_50MIL</t>
  </si>
  <si>
    <t>S4_K19_6_50MIL</t>
  </si>
  <si>
    <t>S4_K1_5_50MIL</t>
  </si>
  <si>
    <t>S4_K1_6_50MIL</t>
  </si>
  <si>
    <t>S4_K21_5_50MIL</t>
  </si>
  <si>
    <t>S4_K21_6_50MIL</t>
  </si>
  <si>
    <t>S4_K26_5_50MIL</t>
  </si>
  <si>
    <t>S4_K26_6_50MIL</t>
  </si>
  <si>
    <t>S4_K29_5_50MIL</t>
  </si>
  <si>
    <t>S4_K34_2_10MIL</t>
  </si>
  <si>
    <t>S4_K45_5_50MIL</t>
  </si>
  <si>
    <t>S4_K46_5_50MIL</t>
  </si>
  <si>
    <t>S4_K53_6_10MIL</t>
  </si>
  <si>
    <t>S4_K58_2_50MIL</t>
  </si>
  <si>
    <t>S4_K59_6_50MIL</t>
  </si>
  <si>
    <t>S4_K60_6_50MIL</t>
  </si>
  <si>
    <t>S4_K66_2_30MIL</t>
  </si>
  <si>
    <t>S4_K66_7_10MIL</t>
  </si>
  <si>
    <t>S4_K67_2_30MIL</t>
  </si>
  <si>
    <t>S4_K67_7_10MIL</t>
  </si>
  <si>
    <t>S4_K68_2_30MIL</t>
  </si>
  <si>
    <t>S4_K68_7_10MIL</t>
  </si>
  <si>
    <t>S4_K69_7_10MIL</t>
  </si>
  <si>
    <t>S4_K6_5_50MIL</t>
  </si>
  <si>
    <t>S4_K6_6_50MIL</t>
  </si>
  <si>
    <t>S4_K70_2_30MIL</t>
  </si>
  <si>
    <t>S4_K70_7_10MIL</t>
  </si>
  <si>
    <t>S4_K72_2_10MIL</t>
  </si>
  <si>
    <t>S4_K72_5_10MIL</t>
  </si>
  <si>
    <t>S4_K72_6_10MIL</t>
  </si>
  <si>
    <t>S4_K73_2_10MIL</t>
  </si>
  <si>
    <t>S4_K73_5_10MIL</t>
  </si>
  <si>
    <t>S4_K73_6_10MIL</t>
  </si>
  <si>
    <t>S4_K74_1_10MIL</t>
  </si>
  <si>
    <t>S4_K74_2_10MIL</t>
  </si>
  <si>
    <t>S4_K74_5_10MIL</t>
  </si>
  <si>
    <t>S4_K74_6_10MIL</t>
  </si>
  <si>
    <t>S4_K75_5_10MIL</t>
  </si>
  <si>
    <t>S4_K75_6_10MIL</t>
  </si>
  <si>
    <t>S4_K76_2_10MIL</t>
  </si>
  <si>
    <t>S4_K76_5_10MIL</t>
  </si>
  <si>
    <t>S4_K76_6_10MIL</t>
  </si>
  <si>
    <t>S4_LXN_F</t>
  </si>
  <si>
    <t>S4_LXN_F16</t>
  </si>
  <si>
    <t>S4_LXP_F</t>
  </si>
  <si>
    <t>S4_LXP_F4</t>
  </si>
  <si>
    <t>S4_LX_F</t>
  </si>
  <si>
    <t>S4_LX_F6</t>
  </si>
  <si>
    <t>S4_NAVDD_F</t>
  </si>
  <si>
    <t>S4_NAVDD_F14</t>
  </si>
  <si>
    <t>S4_NAVDD_S</t>
  </si>
  <si>
    <t>S4_NAVDD_S14</t>
  </si>
  <si>
    <t>S4_NC[1]_F3</t>
  </si>
  <si>
    <t>S4_NC[1]_S</t>
  </si>
  <si>
    <t>S4_NC[1]_S3</t>
  </si>
  <si>
    <t>S4_NC[2]_F7</t>
  </si>
  <si>
    <t>S4_NC[2]_S</t>
  </si>
  <si>
    <t>S4_NC[2]_S7</t>
  </si>
  <si>
    <t>S4_NC[3]_F15</t>
  </si>
  <si>
    <t>S4_NC[3]_S</t>
  </si>
  <si>
    <t>S4_NC[3]_S15</t>
  </si>
  <si>
    <t>S4_NC[4]_F21</t>
  </si>
  <si>
    <t>S4_NC[4]_S</t>
  </si>
  <si>
    <t>S4_NC[4]_S21</t>
  </si>
  <si>
    <t>S4_NEG_F</t>
  </si>
  <si>
    <t>S4_NEG_F20</t>
  </si>
  <si>
    <t>S4_NTC_F</t>
  </si>
  <si>
    <t>S4_NTC_F23</t>
  </si>
  <si>
    <t>S4_OPP_F</t>
  </si>
  <si>
    <t>S4_OPP_F18</t>
  </si>
  <si>
    <t>S4_OPP_S</t>
  </si>
  <si>
    <t>S4_OPP_S18</t>
  </si>
  <si>
    <t>S4_PAVDD_F</t>
  </si>
  <si>
    <t>S4_PAVDD_F8</t>
  </si>
  <si>
    <t>S4_PAVDD_S</t>
  </si>
  <si>
    <t>S4_PAVDD_S8</t>
  </si>
  <si>
    <t>S4_PGND1_F</t>
  </si>
  <si>
    <t>S4_PGND1_S</t>
  </si>
  <si>
    <t>S4_PGND1_S5</t>
  </si>
  <si>
    <t>S4_PGND2_F</t>
  </si>
  <si>
    <t>S4_PGND2_S</t>
  </si>
  <si>
    <t>S4_PGND2_S10</t>
  </si>
  <si>
    <t>S4_PGND_F</t>
  </si>
  <si>
    <t>S4_PGND_S</t>
  </si>
  <si>
    <t>S4_PGND_S22</t>
  </si>
  <si>
    <t>S4_SCL_F</t>
  </si>
  <si>
    <t>S4_SCL_F26</t>
  </si>
  <si>
    <t>S4_SDA_F</t>
  </si>
  <si>
    <t>S4_SDA_F27</t>
  </si>
  <si>
    <t>S4_U1_4_30MIL</t>
  </si>
  <si>
    <t>S4_U1_5_10MIL</t>
  </si>
  <si>
    <t>S4_U1_6_10MIL</t>
  </si>
  <si>
    <t>S4_U1_7_10MIL</t>
  </si>
  <si>
    <t>S4_U1_8_30MIL</t>
  </si>
  <si>
    <t>S4_U2_1_10MIL</t>
  </si>
  <si>
    <t>S4_U2_4_30MIL</t>
  </si>
  <si>
    <t>S4_U2_7_30MIL</t>
  </si>
  <si>
    <t>S4_U3_1_10MIL</t>
  </si>
  <si>
    <t>S4_U3_4_30MIL</t>
  </si>
  <si>
    <t>S4_U3_7_30MIL</t>
  </si>
  <si>
    <t>S4_VCOM_F</t>
  </si>
  <si>
    <t>S4_VCOM_F19</t>
  </si>
  <si>
    <t>S4_VGHI_F</t>
  </si>
  <si>
    <t>S4_VGHI_F2</t>
  </si>
  <si>
    <t>S4_VGHI_S</t>
  </si>
  <si>
    <t>S4_VGHI_S2</t>
  </si>
  <si>
    <t>S4_VGH_F</t>
  </si>
  <si>
    <t>S4_VGH_F1</t>
  </si>
  <si>
    <t>S4_VGH_S</t>
  </si>
  <si>
    <t>S4_VGH_S1</t>
  </si>
  <si>
    <t>S4_VGL_F</t>
  </si>
  <si>
    <t>S4_VGL_F11</t>
  </si>
  <si>
    <t>S4_VGL_S</t>
  </si>
  <si>
    <t>S4_VGL_S11</t>
  </si>
  <si>
    <t>S4_VIN1_F</t>
  </si>
  <si>
    <t>S4_VIN1_F24</t>
  </si>
  <si>
    <t>S4_VIN1_S</t>
  </si>
  <si>
    <t>S4_VIN1_S24</t>
  </si>
  <si>
    <t>S4_VIN2_F</t>
  </si>
  <si>
    <t>S4_VIN2_F17</t>
  </si>
  <si>
    <t>S4_VIN2_S</t>
  </si>
  <si>
    <t>S4_VIN2_S17</t>
  </si>
  <si>
    <t>S5_AD822_IN</t>
  </si>
  <si>
    <t>S5_AGND_F</t>
  </si>
  <si>
    <t>S5_AGND_S</t>
  </si>
  <si>
    <t>S5_AGND_S31</t>
  </si>
  <si>
    <t>S5_C19_50MIL</t>
  </si>
  <si>
    <t>S5_COMP_F</t>
  </si>
  <si>
    <t>S5_COMP_F32</t>
  </si>
  <si>
    <t>S5_COMP_S</t>
  </si>
  <si>
    <t>S5_COMP_S32</t>
  </si>
  <si>
    <t>S5_CPP_F</t>
  </si>
  <si>
    <t>S5_CPP_F13</t>
  </si>
  <si>
    <t>S5_CPP_S</t>
  </si>
  <si>
    <t>S5_CPP_S13</t>
  </si>
  <si>
    <t>S5_CX1_F</t>
  </si>
  <si>
    <t>S5_CX1_F9</t>
  </si>
  <si>
    <t>S5_CX2_F</t>
  </si>
  <si>
    <t>S5_CX2_F12</t>
  </si>
  <si>
    <t>S5_FAULT_F</t>
  </si>
  <si>
    <t>S5_FAULT_F30</t>
  </si>
  <si>
    <t>S5_FAULT_S</t>
  </si>
  <si>
    <t>S5_FAULT_S30</t>
  </si>
  <si>
    <t>S5_GF</t>
  </si>
  <si>
    <t>S5_GND_SENSE</t>
  </si>
  <si>
    <t>S5_GS</t>
  </si>
  <si>
    <t>S5_HAD_H</t>
  </si>
  <si>
    <t>S5_HAD_L</t>
  </si>
  <si>
    <t>S5_K11_5_50MIL</t>
  </si>
  <si>
    <t>S5_K13_5_50MIL</t>
  </si>
  <si>
    <t>S5_K13_6_50MIL</t>
  </si>
  <si>
    <t>S5_K17_5_10MIL</t>
  </si>
  <si>
    <t>S5_K19_5_50MIL</t>
  </si>
  <si>
    <t>S5_K19_6_50MIL</t>
  </si>
  <si>
    <t>S5_K1_5_50MIL</t>
  </si>
  <si>
    <t>S5_K1_6_50MIL</t>
  </si>
  <si>
    <t>S5_K21_5_50MIL</t>
  </si>
  <si>
    <t>S5_K21_6_50MIL</t>
  </si>
  <si>
    <t>S5_K26_5_50MIL</t>
  </si>
  <si>
    <t>S5_K26_6_50MIL</t>
  </si>
  <si>
    <t>S5_K29_5_50MIL</t>
  </si>
  <si>
    <t>S5_K34_2_10MIL</t>
  </si>
  <si>
    <t>S5_K45_5_50MIL</t>
  </si>
  <si>
    <t>S5_K46_5_50MIL</t>
  </si>
  <si>
    <t>S5_K53_6_10MIL</t>
  </si>
  <si>
    <t>S5_K58_2_50MIL</t>
  </si>
  <si>
    <t>S5_K59_6_50MIL</t>
  </si>
  <si>
    <t>S5_K60_6_50MIL</t>
  </si>
  <si>
    <t>S5_K66_2_30MIL</t>
  </si>
  <si>
    <t>S5_K66_7_10MIL</t>
  </si>
  <si>
    <t>S5_K67_2_30MIL</t>
  </si>
  <si>
    <t>S5_K67_7_10MIL</t>
  </si>
  <si>
    <t>S5_K68_2_30MIL</t>
  </si>
  <si>
    <t>S5_K68_7_10MIL</t>
  </si>
  <si>
    <t>S5_K69_7_10MIL</t>
  </si>
  <si>
    <t>S5_K6_5_50MIL</t>
  </si>
  <si>
    <t>S5_K6_6_50MIL</t>
  </si>
  <si>
    <t>S5_K70_2_30MIL</t>
  </si>
  <si>
    <t>S5_K70_7_10MIL</t>
  </si>
  <si>
    <t>S5_K72_2_10MIL</t>
  </si>
  <si>
    <t>S5_K72_5_10MIL</t>
  </si>
  <si>
    <t>S5_K72_6_10MIL</t>
  </si>
  <si>
    <t>S5_K73_2_10MIL</t>
  </si>
  <si>
    <t>S5_K73_5_10MIL</t>
  </si>
  <si>
    <t>S5_K73_6_10MIL</t>
  </si>
  <si>
    <t>S5_K74_1_10MIL</t>
  </si>
  <si>
    <t>S5_K74_2_10MIL</t>
  </si>
  <si>
    <t>S5_K74_5_10MIL</t>
  </si>
  <si>
    <t>S5_K74_6_10MIL</t>
  </si>
  <si>
    <t>S5_K75_5_10MIL</t>
  </si>
  <si>
    <t>S5_K75_6_10MIL</t>
  </si>
  <si>
    <t>S5_K76_2_10MIL</t>
  </si>
  <si>
    <t>S5_K76_5_10MIL</t>
  </si>
  <si>
    <t>S5_K76_6_10MIL</t>
  </si>
  <si>
    <t>S5_LXN_F</t>
  </si>
  <si>
    <t>S5_LXN_F16</t>
  </si>
  <si>
    <t>S5_LXP_F</t>
  </si>
  <si>
    <t>S5_LXP_F4</t>
  </si>
  <si>
    <t>S5_LX_F</t>
  </si>
  <si>
    <t>S5_LX_F6</t>
  </si>
  <si>
    <t>S5_NAVDD_F</t>
  </si>
  <si>
    <t>S5_NAVDD_F14</t>
  </si>
  <si>
    <t>S5_NAVDD_S</t>
  </si>
  <si>
    <t>S5_NAVDD_S14</t>
  </si>
  <si>
    <t>S5_NC[1]_F3</t>
  </si>
  <si>
    <t>S5_NC[1]_S</t>
  </si>
  <si>
    <t>S5_NC[1]_S3</t>
  </si>
  <si>
    <t>S5_NC[2]_F7</t>
  </si>
  <si>
    <t>S5_NC[2]_S</t>
  </si>
  <si>
    <t>S5_NC[2]_S7</t>
  </si>
  <si>
    <t>S5_NC[3]_F15</t>
  </si>
  <si>
    <t>S5_NC[3]_S</t>
  </si>
  <si>
    <t>S5_NC[3]_S15</t>
  </si>
  <si>
    <t>S5_NC[4]_F21</t>
  </si>
  <si>
    <t>S5_NC[4]_S</t>
  </si>
  <si>
    <t>S5_NC[4]_S21</t>
  </si>
  <si>
    <t>S5_NEG_F</t>
  </si>
  <si>
    <t>S5_NEG_F20</t>
  </si>
  <si>
    <t>S5_NTC_F</t>
  </si>
  <si>
    <t>S5_NTC_F23</t>
  </si>
  <si>
    <t>S5_OPP_F</t>
  </si>
  <si>
    <t>S5_OPP_F18</t>
  </si>
  <si>
    <t>S5_OPP_S</t>
  </si>
  <si>
    <t>S5_OPP_S18</t>
  </si>
  <si>
    <t>S5_PAVDD_F</t>
  </si>
  <si>
    <t>S5_PAVDD_F8</t>
  </si>
  <si>
    <t>S5_PAVDD_S</t>
  </si>
  <si>
    <t>S5_PAVDD_S8</t>
  </si>
  <si>
    <t>S5_PGND1_F</t>
  </si>
  <si>
    <t>S5_PGND1_S</t>
  </si>
  <si>
    <t>S5_PGND1_S5</t>
  </si>
  <si>
    <t>S5_PGND2_F</t>
  </si>
  <si>
    <t>S5_PGND2_S</t>
  </si>
  <si>
    <t>S5_PGND2_S10</t>
  </si>
  <si>
    <t>S5_PGND_F</t>
  </si>
  <si>
    <t>S5_PGND_S</t>
  </si>
  <si>
    <t>S5_PGND_S22</t>
  </si>
  <si>
    <t>S5_SCL_F</t>
  </si>
  <si>
    <t>S5_SCL_F26</t>
  </si>
  <si>
    <t>S5_SDA_F</t>
  </si>
  <si>
    <t>S5_SDA_F27</t>
  </si>
  <si>
    <t>S5_U1_4_30MIL</t>
  </si>
  <si>
    <t>S5_U1_5_10MIL</t>
  </si>
  <si>
    <t>S5_U1_6_10MIL</t>
  </si>
  <si>
    <t>S5_U1_7_10MIL</t>
  </si>
  <si>
    <t>S5_U1_8_30MIL</t>
  </si>
  <si>
    <t>S5_U2_1_10MIL</t>
  </si>
  <si>
    <t>S5_U2_4_30MIL</t>
  </si>
  <si>
    <t>S5_U2_7_30MIL</t>
  </si>
  <si>
    <t>S5_U3_1_10MIL</t>
  </si>
  <si>
    <t>S5_U3_4_30MIL</t>
  </si>
  <si>
    <t>S5_U3_7_30MIL</t>
  </si>
  <si>
    <t>S5_VCOM_F</t>
  </si>
  <si>
    <t>S5_VCOM_F19</t>
  </si>
  <si>
    <t>S5_VGHI_F</t>
  </si>
  <si>
    <t>S5_VGHI_F2</t>
  </si>
  <si>
    <t>S5_VGHI_S</t>
  </si>
  <si>
    <t>S5_VGHI_S2</t>
  </si>
  <si>
    <t>S5_VGH_F</t>
  </si>
  <si>
    <t>S5_VGH_F1</t>
  </si>
  <si>
    <t>S5_VGH_S</t>
  </si>
  <si>
    <t>S5_VGH_S1</t>
  </si>
  <si>
    <t>S5_VGL_F</t>
  </si>
  <si>
    <t>S5_VGL_F11</t>
  </si>
  <si>
    <t>S5_VGL_S</t>
  </si>
  <si>
    <t>S5_VGL_S11</t>
  </si>
  <si>
    <t>S5_VIN1_F</t>
  </si>
  <si>
    <t>S5_VIN1_F24</t>
  </si>
  <si>
    <t>S5_VIN1_S</t>
  </si>
  <si>
    <t>S5_VIN1_S24</t>
  </si>
  <si>
    <t>S5_VIN2_F</t>
  </si>
  <si>
    <t>S5_VIN2_F17</t>
  </si>
  <si>
    <t>S5_VIN2_S</t>
  </si>
  <si>
    <t>S5_VIN2_S17</t>
  </si>
  <si>
    <t>S6_AD822_IN</t>
  </si>
  <si>
    <t>S6_AGND_F</t>
  </si>
  <si>
    <t>S6_AGND_S</t>
  </si>
  <si>
    <t>S6_AGND_S31</t>
  </si>
  <si>
    <t>S6_C19_50MIL</t>
  </si>
  <si>
    <t>S6_COMP_F</t>
  </si>
  <si>
    <t>S6_COMP_F32</t>
  </si>
  <si>
    <t>S6_COMP_S</t>
  </si>
  <si>
    <t>S6_COMP_S32</t>
  </si>
  <si>
    <t>S6_CPP_F</t>
  </si>
  <si>
    <t>S6_CPP_F13</t>
  </si>
  <si>
    <t>S6_CPP_S</t>
  </si>
  <si>
    <t>S6_CPP_S13</t>
  </si>
  <si>
    <t>S6_CX1_F</t>
  </si>
  <si>
    <t>S6_CX1_F9</t>
  </si>
  <si>
    <t>S6_CX2_F</t>
  </si>
  <si>
    <t>S6_CX2_F12</t>
  </si>
  <si>
    <t>S6_FAULT_F</t>
  </si>
  <si>
    <t>S6_FAULT_F30</t>
  </si>
  <si>
    <t>S6_FAULT_S</t>
  </si>
  <si>
    <t>S6_FAULT_S30</t>
  </si>
  <si>
    <t>S6_GF</t>
  </si>
  <si>
    <t>S6_GND_SENSE</t>
  </si>
  <si>
    <t>S6_GS</t>
  </si>
  <si>
    <t>S6_HAD_H</t>
  </si>
  <si>
    <t>S6_HAD_L</t>
  </si>
  <si>
    <t>S6_K11_5_50MIL</t>
  </si>
  <si>
    <t>S6_K13_5_50MIL</t>
  </si>
  <si>
    <t>S6_K13_6_50MIL</t>
  </si>
  <si>
    <t>S6_K17_5_10MIL</t>
  </si>
  <si>
    <t>S6_K19_5_50MIL</t>
  </si>
  <si>
    <t>S6_K19_6_50MIL</t>
  </si>
  <si>
    <t>S6_K1_5_50MIL</t>
  </si>
  <si>
    <t>S6_K1_6_50MIL</t>
  </si>
  <si>
    <t>S6_K21_5_50MIL</t>
  </si>
  <si>
    <t>S6_K21_6_50MIL</t>
  </si>
  <si>
    <t>S6_K26_5_50MIL</t>
  </si>
  <si>
    <t>S6_K26_6_50MIL</t>
  </si>
  <si>
    <t>S6_K29_5_50MIL</t>
  </si>
  <si>
    <t>S6_K34_2_10MIL</t>
  </si>
  <si>
    <t>S6_K45_5_50MIL</t>
  </si>
  <si>
    <t>S6_K46_5_50MIL</t>
  </si>
  <si>
    <t>S6_K53_6_10MIL</t>
  </si>
  <si>
    <t>S6_K58_2_50MIL</t>
  </si>
  <si>
    <t>S6_K59_6_50MIL</t>
  </si>
  <si>
    <t>S6_K60_6_50MIL</t>
  </si>
  <si>
    <t>S6_K66_2_30MIL</t>
  </si>
  <si>
    <t>S6_K66_7_10MIL</t>
  </si>
  <si>
    <t>S6_K67_2_30MIL</t>
  </si>
  <si>
    <t>S6_K67_7_10MIL</t>
  </si>
  <si>
    <t>S6_K68_2_30MIL</t>
  </si>
  <si>
    <t>S6_K68_7_10MIL</t>
  </si>
  <si>
    <t>S6_K69_7_10MIL</t>
  </si>
  <si>
    <t>S6_K6_5_50MIL</t>
  </si>
  <si>
    <t>S6_K6_6_50MIL</t>
  </si>
  <si>
    <t>S6_K70_2_30MIL</t>
  </si>
  <si>
    <t>S6_K70_7_10MIL</t>
  </si>
  <si>
    <t>S6_K72_2_10MIL</t>
  </si>
  <si>
    <t>S6_K72_5_10MIL</t>
  </si>
  <si>
    <t>S6_K72_6_10MIL</t>
  </si>
  <si>
    <t>S6_K73_2_10MIL</t>
  </si>
  <si>
    <t>S6_K73_5_10MIL</t>
  </si>
  <si>
    <t>S6_K73_6_10MIL</t>
  </si>
  <si>
    <t>S6_K74_1_10MIL</t>
  </si>
  <si>
    <t>S6_K74_2_10MIL</t>
  </si>
  <si>
    <t>S6_K74_5_10MIL</t>
  </si>
  <si>
    <t>S6_K74_6_10MIL</t>
  </si>
  <si>
    <t>S6_K75_5_10MIL</t>
  </si>
  <si>
    <t>S6_K75_6_10MIL</t>
  </si>
  <si>
    <t>S6_K76_2_10MIL</t>
  </si>
  <si>
    <t>S6_K76_5_10MIL</t>
  </si>
  <si>
    <t>S6_K76_6_10MIL</t>
  </si>
  <si>
    <t>S6_LXN_F</t>
  </si>
  <si>
    <t>S6_LXN_F16</t>
  </si>
  <si>
    <t>S6_LXP_F</t>
  </si>
  <si>
    <t>S6_LXP_F4</t>
  </si>
  <si>
    <t>S6_LX_F</t>
  </si>
  <si>
    <t>S6_LX_F6</t>
  </si>
  <si>
    <t>S6_NAVDD_F</t>
  </si>
  <si>
    <t>S6_NAVDD_F14</t>
  </si>
  <si>
    <t>S6_NAVDD_S</t>
  </si>
  <si>
    <t>S6_NAVDD_S14</t>
  </si>
  <si>
    <t>S6_NC[1]_F3</t>
  </si>
  <si>
    <t>S6_NC[1]_S</t>
  </si>
  <si>
    <t>S6_NC[1]_S3</t>
  </si>
  <si>
    <t>S6_NC[2]_F7</t>
  </si>
  <si>
    <t>S6_NC[2]_S</t>
  </si>
  <si>
    <t>S6_NC[2]_S7</t>
  </si>
  <si>
    <t>S6_NC[3]_F15</t>
  </si>
  <si>
    <t>S6_NC[3]_S</t>
  </si>
  <si>
    <t>S6_NC[3]_S15</t>
  </si>
  <si>
    <t>S6_NC[4]_F21</t>
  </si>
  <si>
    <t>S6_NC[4]_S</t>
  </si>
  <si>
    <t>S6_NC[4]_S21</t>
  </si>
  <si>
    <t>S6_NEG_F</t>
  </si>
  <si>
    <t>S6_NEG_F20</t>
  </si>
  <si>
    <t>S6_NTC_F</t>
  </si>
  <si>
    <t>S6_NTC_F23</t>
  </si>
  <si>
    <t>S6_OPP_F</t>
  </si>
  <si>
    <t>S6_OPP_F18</t>
  </si>
  <si>
    <t>S6_OPP_S</t>
  </si>
  <si>
    <t>S6_OPP_S18</t>
  </si>
  <si>
    <t>S6_PAVDD_F</t>
  </si>
  <si>
    <t>S6_PAVDD_F8</t>
  </si>
  <si>
    <t>S6_PAVDD_S</t>
  </si>
  <si>
    <t>S6_PAVDD_S8</t>
  </si>
  <si>
    <t>S6_PGND1_F</t>
  </si>
  <si>
    <t>S6_PGND1_S</t>
  </si>
  <si>
    <t>S6_PGND1_S5</t>
  </si>
  <si>
    <t>S6_PGND2_F</t>
  </si>
  <si>
    <t>S6_PGND2_S</t>
  </si>
  <si>
    <t>S6_PGND2_S10</t>
  </si>
  <si>
    <t>S6_PGND_F</t>
  </si>
  <si>
    <t>S6_PGND_S</t>
  </si>
  <si>
    <t>S6_PGND_S22</t>
  </si>
  <si>
    <t>S6_SCL_F</t>
  </si>
  <si>
    <t>S6_SCL_F26</t>
  </si>
  <si>
    <t>S6_SDA_F</t>
  </si>
  <si>
    <t>S6_SDA_F27</t>
  </si>
  <si>
    <t>S6_U1_4_30MIL</t>
  </si>
  <si>
    <t>S6_U1_5_10MIL</t>
  </si>
  <si>
    <t>S6_U1_6_10MIL</t>
  </si>
  <si>
    <t>S6_U1_7_10MIL</t>
  </si>
  <si>
    <t>S6_U1_8_30MIL</t>
  </si>
  <si>
    <t>S6_U2_1_10MIL</t>
  </si>
  <si>
    <t>S6_U2_4_30MIL</t>
  </si>
  <si>
    <t>S6_U2_7_30MIL</t>
  </si>
  <si>
    <t>S6_U3_1_10MIL</t>
  </si>
  <si>
    <t>S6_U3_4_30MIL</t>
  </si>
  <si>
    <t>S6_U3_7_30MIL</t>
  </si>
  <si>
    <t>S6_VCOM_F</t>
  </si>
  <si>
    <t>S6_VCOM_F19</t>
  </si>
  <si>
    <t>S6_VGHI_F</t>
  </si>
  <si>
    <t>S6_VGHI_F2</t>
  </si>
  <si>
    <t>S6_VGHI_S</t>
  </si>
  <si>
    <t>S6_VGHI_S2</t>
  </si>
  <si>
    <t>S6_VGH_F</t>
  </si>
  <si>
    <t>S6_VGH_F1</t>
  </si>
  <si>
    <t>S6_VGH_S</t>
  </si>
  <si>
    <t>S6_VGH_S1</t>
  </si>
  <si>
    <t>S6_VGL_F</t>
  </si>
  <si>
    <t>S6_VGL_F11</t>
  </si>
  <si>
    <t>S6_VGL_S</t>
  </si>
  <si>
    <t>S6_VGL_S11</t>
  </si>
  <si>
    <t>S6_VIN1_F</t>
  </si>
  <si>
    <t>S6_VIN1_F24</t>
  </si>
  <si>
    <t>S6_VIN1_S</t>
  </si>
  <si>
    <t>S6_VIN1_S24</t>
  </si>
  <si>
    <t>S6_VIN2_F</t>
  </si>
  <si>
    <t>S6_VIN2_F17</t>
  </si>
  <si>
    <t>S6_VIN2_S</t>
  </si>
  <si>
    <t>S6_VIN2_S17</t>
  </si>
  <si>
    <t>S7_AD822_IN</t>
  </si>
  <si>
    <t>S7_AGND_F</t>
  </si>
  <si>
    <t>S7_AGND_S</t>
  </si>
  <si>
    <t>S7_AGND_S31</t>
  </si>
  <si>
    <t>S7_C19_50MIL</t>
  </si>
  <si>
    <t>S7_COMP_F</t>
  </si>
  <si>
    <t>S7_COMP_F32</t>
  </si>
  <si>
    <t>S7_COMP_S</t>
  </si>
  <si>
    <t>S7_COMP_S32</t>
  </si>
  <si>
    <t>S7_CPP_F</t>
  </si>
  <si>
    <t>S7_CPP_F13</t>
  </si>
  <si>
    <t>S7_CPP_S</t>
  </si>
  <si>
    <t>S7_CPP_S13</t>
  </si>
  <si>
    <t>S7_CX1_F</t>
  </si>
  <si>
    <t>S7_CX1_F9</t>
  </si>
  <si>
    <t>S7_CX2_F</t>
  </si>
  <si>
    <t>S7_CX2_F12</t>
  </si>
  <si>
    <t>S7_FAULT_F</t>
  </si>
  <si>
    <t>S7_FAULT_F30</t>
  </si>
  <si>
    <t>S7_FAULT_S</t>
  </si>
  <si>
    <t>S7_FAULT_S30</t>
  </si>
  <si>
    <t>S7_GF</t>
  </si>
  <si>
    <t>S7_GND_SENSE</t>
  </si>
  <si>
    <t>S7_GS</t>
  </si>
  <si>
    <t>S7_HAD_H</t>
  </si>
  <si>
    <t>S7_HAD_L</t>
  </si>
  <si>
    <t>S7_K11_5_50MIL</t>
  </si>
  <si>
    <t>S7_K13_5_50MIL</t>
  </si>
  <si>
    <t>S7_K13_6_50MIL</t>
  </si>
  <si>
    <t>S7_K17_5_10MIL</t>
  </si>
  <si>
    <t>S7_K19_5_50MIL</t>
  </si>
  <si>
    <t>S7_K19_6_50MIL</t>
  </si>
  <si>
    <t>S7_K1_5_50MIL</t>
  </si>
  <si>
    <t>S7_K1_6_50MIL</t>
  </si>
  <si>
    <t>S7_K21_5_50MIL</t>
  </si>
  <si>
    <t>S7_K21_6_50MIL</t>
  </si>
  <si>
    <t>S7_K26_5_50MIL</t>
  </si>
  <si>
    <t>S7_K26_6_50MIL</t>
  </si>
  <si>
    <t>S7_K29_5_50MIL</t>
  </si>
  <si>
    <t>S7_K34_2_10MIL</t>
  </si>
  <si>
    <t>S7_K45_5_50MIL</t>
  </si>
  <si>
    <t>S7_K46_5_50MIL</t>
  </si>
  <si>
    <t>S7_K53_6_10MIL</t>
  </si>
  <si>
    <t>S7_K58_2_50MIL</t>
  </si>
  <si>
    <t>S7_K59_6_50MIL</t>
  </si>
  <si>
    <t>S7_K60_6_50MIL</t>
  </si>
  <si>
    <t>S7_K66_2_30MIL</t>
  </si>
  <si>
    <t>S7_K66_7_10MIL</t>
  </si>
  <si>
    <t>S7_K67_2_30MIL</t>
  </si>
  <si>
    <t>S7_K67_7_10MIL</t>
  </si>
  <si>
    <t>S7_K68_2_30MIL</t>
  </si>
  <si>
    <t>S7_K68_7_10MIL</t>
  </si>
  <si>
    <t>S7_K69_7_10MIL</t>
  </si>
  <si>
    <t>S7_K6_5_50MIL</t>
  </si>
  <si>
    <t>S7_K6_6_50MIL</t>
  </si>
  <si>
    <t>S7_K70_2_30MIL</t>
  </si>
  <si>
    <t>S7_K70_7_10MIL</t>
  </si>
  <si>
    <t>S7_K72_2_10MIL</t>
  </si>
  <si>
    <t>S7_K72_5_10MIL</t>
  </si>
  <si>
    <t>S7_K72_6_10MIL</t>
  </si>
  <si>
    <t>S7_K73_2_10MIL</t>
  </si>
  <si>
    <t>S7_K73_5_10MIL</t>
  </si>
  <si>
    <t>S7_K73_6_10MIL</t>
  </si>
  <si>
    <t>S7_K74_1_10MIL</t>
  </si>
  <si>
    <t>S7_K74_2_10MIL</t>
  </si>
  <si>
    <t>S7_K74_5_10MIL</t>
  </si>
  <si>
    <t>S7_K74_6_10MIL</t>
  </si>
  <si>
    <t>S7_K75_5_10MIL</t>
  </si>
  <si>
    <t>S7_K75_6_10MIL</t>
  </si>
  <si>
    <t>S7_K76_2_10MIL</t>
  </si>
  <si>
    <t>S7_K76_5_10MIL</t>
  </si>
  <si>
    <t>S7_K76_6_10MIL</t>
  </si>
  <si>
    <t>S7_LXN_F</t>
  </si>
  <si>
    <t>S7_LXN_F16</t>
  </si>
  <si>
    <t>S7_LXP_F</t>
  </si>
  <si>
    <t>S7_LXP_F4</t>
  </si>
  <si>
    <t>S7_LX_F</t>
  </si>
  <si>
    <t>S7_LX_F6</t>
  </si>
  <si>
    <t>S7_NAVDD_F</t>
  </si>
  <si>
    <t>S7_NAVDD_F14</t>
  </si>
  <si>
    <t>S7_NAVDD_S</t>
  </si>
  <si>
    <t>S7_NAVDD_S14</t>
  </si>
  <si>
    <t>S7_NC[1]_F3</t>
  </si>
  <si>
    <t>S7_NC[1]_S</t>
  </si>
  <si>
    <t>S7_NC[1]_S3</t>
  </si>
  <si>
    <t>S7_NC[2]_F7</t>
  </si>
  <si>
    <t>S7_NC[2]_S</t>
  </si>
  <si>
    <t>S7_NC[2]_S7</t>
  </si>
  <si>
    <t>S7_NC[3]_F15</t>
  </si>
  <si>
    <t>S7_NC[3]_S</t>
  </si>
  <si>
    <t>S7_NC[3]_S15</t>
  </si>
  <si>
    <t>S7_NC[4]_F21</t>
  </si>
  <si>
    <t>S7_NC[4]_S</t>
  </si>
  <si>
    <t>S7_NC[4]_S21</t>
  </si>
  <si>
    <t>S7_NEG_F</t>
  </si>
  <si>
    <t>S7_NEG_F20</t>
  </si>
  <si>
    <t>S7_NTC_F</t>
  </si>
  <si>
    <t>S7_NTC_F23</t>
  </si>
  <si>
    <t>S7_OPP_F</t>
  </si>
  <si>
    <t>S7_OPP_F18</t>
  </si>
  <si>
    <t>S7_OPP_S</t>
  </si>
  <si>
    <t>S7_OPP_S18</t>
  </si>
  <si>
    <t>S7_PAVDD_F</t>
  </si>
  <si>
    <t>S7_PAVDD_F8</t>
  </si>
  <si>
    <t>S7_PAVDD_S</t>
  </si>
  <si>
    <t>S7_PAVDD_S8</t>
  </si>
  <si>
    <t>S7_PGND1_F</t>
  </si>
  <si>
    <t>S7_PGND1_S</t>
  </si>
  <si>
    <t>S7_PGND1_S5</t>
  </si>
  <si>
    <t>S7_PGND2_F</t>
  </si>
  <si>
    <t>S7_PGND2_S</t>
  </si>
  <si>
    <t>S7_PGND2_S10</t>
  </si>
  <si>
    <t>S7_PGND_F</t>
  </si>
  <si>
    <t>S7_PGND_S</t>
  </si>
  <si>
    <t>S7_PGND_S22</t>
  </si>
  <si>
    <t>S7_SCL_F</t>
  </si>
  <si>
    <t>S7_SCL_F26</t>
  </si>
  <si>
    <t>S7_SDA_F</t>
  </si>
  <si>
    <t>S7_SDA_F27</t>
  </si>
  <si>
    <t>S7_U1_4_30MIL</t>
  </si>
  <si>
    <t>S7_U1_5_10MIL</t>
  </si>
  <si>
    <t>S7_U1_6_10MIL</t>
  </si>
  <si>
    <t>S7_U1_7_10MIL</t>
  </si>
  <si>
    <t>S7_U1_8_30MIL</t>
  </si>
  <si>
    <t>S7_U2_1_10MIL</t>
  </si>
  <si>
    <t>S7_U2_4_30MIL</t>
  </si>
  <si>
    <t>S7_U2_7_30MIL</t>
  </si>
  <si>
    <t>S7_U3_1_10MIL</t>
  </si>
  <si>
    <t>S7_U3_4_30MIL</t>
  </si>
  <si>
    <t>S7_U3_7_30MIL</t>
  </si>
  <si>
    <t>S7_VCOM_F</t>
  </si>
  <si>
    <t>S7_VCOM_F19</t>
  </si>
  <si>
    <t>S7_VGHI_F</t>
  </si>
  <si>
    <t>S7_VGHI_F2</t>
  </si>
  <si>
    <t>S7_VGHI_S</t>
  </si>
  <si>
    <t>S7_VGHI_S2</t>
  </si>
  <si>
    <t>S7_VGH_F</t>
  </si>
  <si>
    <t>S7_VGH_F1</t>
  </si>
  <si>
    <t>S7_VGH_S</t>
  </si>
  <si>
    <t>S7_VGH_S1</t>
  </si>
  <si>
    <t>S7_VGL_F</t>
  </si>
  <si>
    <t>S7_VGL_F11</t>
  </si>
  <si>
    <t>S7_VGL_S</t>
  </si>
  <si>
    <t>S7_VGL_S11</t>
  </si>
  <si>
    <t>S7_VIN1_F</t>
  </si>
  <si>
    <t>S7_VIN1_F24</t>
  </si>
  <si>
    <t>S7_VIN1_S</t>
  </si>
  <si>
    <t>S7_VIN1_S24</t>
  </si>
  <si>
    <t>S7_VIN2_F</t>
  </si>
  <si>
    <t>S7_VIN2_F17</t>
  </si>
  <si>
    <t>S7_VIN2_S</t>
  </si>
  <si>
    <t>S7_VIN2_S17</t>
  </si>
  <si>
    <t>S8_AD822_IN</t>
  </si>
  <si>
    <t>S8_AGND_F</t>
  </si>
  <si>
    <t>S8_AGND_S</t>
  </si>
  <si>
    <t>S8_AGND_S31</t>
  </si>
  <si>
    <t>S8_C19_50MIL</t>
  </si>
  <si>
    <t>S8_COMP_F</t>
  </si>
  <si>
    <t>S8_COMP_F32</t>
  </si>
  <si>
    <t>S8_COMP_S</t>
  </si>
  <si>
    <t>S8_COMP_S32</t>
  </si>
  <si>
    <t>S8_CPP_F</t>
  </si>
  <si>
    <t>S8_CPP_F13</t>
  </si>
  <si>
    <t>S8_CPP_S</t>
  </si>
  <si>
    <t>S8_CPP_S13</t>
  </si>
  <si>
    <t>S8_CX1_F</t>
  </si>
  <si>
    <t>S8_CX1_F9</t>
  </si>
  <si>
    <t>S8_CX2_F</t>
  </si>
  <si>
    <t>S8_CX2_F12</t>
  </si>
  <si>
    <t>S8_FAULT_F</t>
  </si>
  <si>
    <t>S8_FAULT_F30</t>
  </si>
  <si>
    <t>S8_FAULT_S</t>
  </si>
  <si>
    <t>S8_FAULT_S30</t>
  </si>
  <si>
    <t>S8_GF</t>
  </si>
  <si>
    <t>S8_GND_SENSE</t>
  </si>
  <si>
    <t>S8_GS</t>
  </si>
  <si>
    <t>S8_HAD_H</t>
  </si>
  <si>
    <t>S8_HAD_L</t>
  </si>
  <si>
    <t>S8_K11_5_50MIL</t>
  </si>
  <si>
    <t>S8_K13_5_50MIL</t>
  </si>
  <si>
    <t>S8_K13_6_50MIL</t>
  </si>
  <si>
    <t>S8_K17_5_10MIL</t>
  </si>
  <si>
    <t>S8_K19_5_50MIL</t>
  </si>
  <si>
    <t>S8_K19_6_50MIL</t>
  </si>
  <si>
    <t>S8_K1_5_50MIL</t>
  </si>
  <si>
    <t>S8_K1_6_50MIL</t>
  </si>
  <si>
    <t>S8_K21_5_50MIL</t>
  </si>
  <si>
    <t>S8_K21_6_50MIL</t>
  </si>
  <si>
    <t>S8_K26_5_50MIL</t>
  </si>
  <si>
    <t>S8_K26_6_50MIL</t>
  </si>
  <si>
    <t>S8_K29_5_50MIL</t>
  </si>
  <si>
    <t>S8_K34_2_10MIL</t>
  </si>
  <si>
    <t>S8_K45_5_50MIL</t>
  </si>
  <si>
    <t>S8_K46_5_50MIL</t>
  </si>
  <si>
    <t>S8_K53_6_10MIL</t>
  </si>
  <si>
    <t>S8_K58_2_50MIL</t>
  </si>
  <si>
    <t>S8_K59_6_50MIL</t>
  </si>
  <si>
    <t>S8_K60_6_50MIL</t>
  </si>
  <si>
    <t>S8_K66_2_30MIL</t>
  </si>
  <si>
    <t>S8_K66_7_10MIL</t>
  </si>
  <si>
    <t>S8_K67_2_30MIL</t>
  </si>
  <si>
    <t>S8_K67_7_10MIL</t>
  </si>
  <si>
    <t>S8_K68_2_30MIL</t>
  </si>
  <si>
    <t>S8_K68_7_10MIL</t>
  </si>
  <si>
    <t>S8_K69_7_10MIL</t>
  </si>
  <si>
    <t>S8_K6_5_50MIL</t>
  </si>
  <si>
    <t>S8_K6_6_50MIL</t>
  </si>
  <si>
    <t>S8_K70_2_30MIL</t>
  </si>
  <si>
    <t>S8_K70_7_10MIL</t>
  </si>
  <si>
    <t>S8_K72_2_10MIL</t>
  </si>
  <si>
    <t>S8_K72_5_10MIL</t>
  </si>
  <si>
    <t>S8_K72_6_10MIL</t>
  </si>
  <si>
    <t>S8_K73_2_10MIL</t>
  </si>
  <si>
    <t>S8_K73_5_10MIL</t>
  </si>
  <si>
    <t>S8_K73_6_10MIL</t>
  </si>
  <si>
    <t>S8_K74_1_10MIL</t>
  </si>
  <si>
    <t>S8_K74_2_10MIL</t>
  </si>
  <si>
    <t>S8_K74_5_10MIL</t>
  </si>
  <si>
    <t>S8_K74_6_10MIL</t>
  </si>
  <si>
    <t>S8_K75_5_10MIL</t>
  </si>
  <si>
    <t>S8_K75_6_10MIL</t>
  </si>
  <si>
    <t>S8_K76_2_10MIL</t>
  </si>
  <si>
    <t>S8_K76_5_10MIL</t>
  </si>
  <si>
    <t>S8_K76_6_10MIL</t>
  </si>
  <si>
    <t>S8_LXN_F</t>
  </si>
  <si>
    <t>S8_LXN_F16</t>
  </si>
  <si>
    <t>S8_LXP_F</t>
  </si>
  <si>
    <t>S8_LXP_F4</t>
  </si>
  <si>
    <t>S8_LX_F</t>
  </si>
  <si>
    <t>S8_LX_F6</t>
  </si>
  <si>
    <t>S8_NAVDD_F</t>
  </si>
  <si>
    <t>S8_NAVDD_F14</t>
  </si>
  <si>
    <t>S8_NAVDD_S</t>
  </si>
  <si>
    <t>S8_NAVDD_S14</t>
  </si>
  <si>
    <t>S8_NC[1]_F3</t>
  </si>
  <si>
    <t>S8_NC[1]_S</t>
  </si>
  <si>
    <t>S8_NC[1]_S3</t>
  </si>
  <si>
    <t>S8_NC[2]_F7</t>
  </si>
  <si>
    <t>S8_NC[2]_S</t>
  </si>
  <si>
    <t>S8_NC[2]_S7</t>
  </si>
  <si>
    <t>S8_NC[3]_F15</t>
  </si>
  <si>
    <t>S8_NC[3]_S</t>
  </si>
  <si>
    <t>S8_NC[3]_S15</t>
  </si>
  <si>
    <t>S8_NC[4]_F21</t>
  </si>
  <si>
    <t>S8_NC[4]_S</t>
  </si>
  <si>
    <t>S8_NC[4]_S21</t>
  </si>
  <si>
    <t>S8_NEG_F</t>
  </si>
  <si>
    <t>S8_NEG_F20</t>
  </si>
  <si>
    <t>S8_NTC_F</t>
  </si>
  <si>
    <t>S8_NTC_F23</t>
  </si>
  <si>
    <t>S8_OPP_F</t>
  </si>
  <si>
    <t>S8_OPP_F18</t>
  </si>
  <si>
    <t>S8_OPP_S</t>
  </si>
  <si>
    <t>S8_OPP_S18</t>
  </si>
  <si>
    <t>S8_PAVDD_F</t>
  </si>
  <si>
    <t>S8_PAVDD_F8</t>
  </si>
  <si>
    <t>S8_PAVDD_S</t>
  </si>
  <si>
    <t>S8_PAVDD_S8</t>
  </si>
  <si>
    <t>S8_PGND1_F</t>
  </si>
  <si>
    <t>S8_PGND1_S</t>
  </si>
  <si>
    <t>S8_PGND1_S5</t>
  </si>
  <si>
    <t>S8_PGND2_F</t>
  </si>
  <si>
    <t>S8_PGND2_S</t>
  </si>
  <si>
    <t>S8_PGND2_S10</t>
  </si>
  <si>
    <t>S8_PGND_F</t>
  </si>
  <si>
    <t>S8_PGND_S</t>
  </si>
  <si>
    <t>S8_PGND_S22</t>
  </si>
  <si>
    <t>S8_SCL_F</t>
  </si>
  <si>
    <t>S8_SCL_F26</t>
  </si>
  <si>
    <t>S8_SDA_F</t>
  </si>
  <si>
    <t>S8_SDA_F27</t>
  </si>
  <si>
    <t>S8_U1_4_30MIL</t>
  </si>
  <si>
    <t>S8_U1_5_10MIL</t>
  </si>
  <si>
    <t>S8_U1_6_10MIL</t>
  </si>
  <si>
    <t>S8_U1_7_10MIL</t>
  </si>
  <si>
    <t>S8_U1_8_30MIL</t>
  </si>
  <si>
    <t>S8_U2_1_10MIL</t>
  </si>
  <si>
    <t>S8_U2_4_30MIL</t>
  </si>
  <si>
    <t>S8_U2_7_30MIL</t>
  </si>
  <si>
    <t>S8_U3_1_10MIL</t>
  </si>
  <si>
    <t>S8_U3_4_30MIL</t>
  </si>
  <si>
    <t>S8_U3_7_30MIL</t>
  </si>
  <si>
    <t>S8_VCOM_F</t>
  </si>
  <si>
    <t>S8_VCOM_F19</t>
  </si>
  <si>
    <t>S8_VGHI_F</t>
  </si>
  <si>
    <t>S8_VGHI_F2</t>
  </si>
  <si>
    <t>S8_VGHI_S</t>
  </si>
  <si>
    <t>S8_VGHI_S2</t>
  </si>
  <si>
    <t>S8_VGH_F</t>
  </si>
  <si>
    <t>S8_VGH_F1</t>
  </si>
  <si>
    <t>S8_VGH_S</t>
  </si>
  <si>
    <t>S8_VGH_S1</t>
  </si>
  <si>
    <t>S8_VGL_F</t>
  </si>
  <si>
    <t>S8_VGL_F11</t>
  </si>
  <si>
    <t>S8_VGL_S</t>
  </si>
  <si>
    <t>S8_VGL_S11</t>
  </si>
  <si>
    <t>S8_VIN1_F</t>
  </si>
  <si>
    <t>S8_VIN1_F24</t>
  </si>
  <si>
    <t>S8_VIN1_S</t>
  </si>
  <si>
    <t>S8_VIN1_S24</t>
  </si>
  <si>
    <t>S8_VIN2_F</t>
  </si>
  <si>
    <t>S8_VIN2_F17</t>
  </si>
  <si>
    <t>S8_VIN2_S</t>
  </si>
  <si>
    <t>S8_VIN2_S17</t>
  </si>
  <si>
    <t>SCL_F26</t>
    <phoneticPr fontId="7" type="noConversion"/>
  </si>
  <si>
    <r>
      <t>S1_</t>
    </r>
    <r>
      <rPr>
        <sz val="11"/>
        <color theme="1"/>
        <rFont val="微軟正黑體"/>
        <family val="2"/>
        <charset val="136"/>
      </rPr>
      <t>SCL_F26</t>
    </r>
    <phoneticPr fontId="7" type="noConversion"/>
  </si>
  <si>
    <t>SDA_F27</t>
    <phoneticPr fontId="7" type="noConversion"/>
  </si>
  <si>
    <r>
      <t>S1_</t>
    </r>
    <r>
      <rPr>
        <sz val="11"/>
        <color theme="1"/>
        <rFont val="微軟正黑體"/>
        <family val="2"/>
        <charset val="136"/>
      </rPr>
      <t>SDA_F27</t>
    </r>
    <phoneticPr fontId="7" type="noConversion"/>
  </si>
  <si>
    <t>S2_SCL_F26</t>
    <phoneticPr fontId="7" type="noConversion"/>
  </si>
  <si>
    <t>S2_SDA_F27</t>
    <phoneticPr fontId="7" type="noConversion"/>
  </si>
  <si>
    <t>S3_SCL_F26</t>
    <phoneticPr fontId="7" type="noConversion"/>
  </si>
  <si>
    <t>S3_SDA_F27</t>
    <phoneticPr fontId="7" type="noConversion"/>
  </si>
  <si>
    <t>S4_SCL_F26</t>
    <phoneticPr fontId="7" type="noConversion"/>
  </si>
  <si>
    <t>S4_SDA_F27</t>
    <phoneticPr fontId="7" type="noConversion"/>
  </si>
  <si>
    <t>S5_SCL_F26</t>
    <phoneticPr fontId="7" type="noConversion"/>
  </si>
  <si>
    <t>S5_SDA_F27</t>
    <phoneticPr fontId="7" type="noConversion"/>
  </si>
  <si>
    <t>S6_SCL_F26</t>
    <phoneticPr fontId="7" type="noConversion"/>
  </si>
  <si>
    <t>S6_SDA_F27</t>
    <phoneticPr fontId="7" type="noConversion"/>
  </si>
  <si>
    <t>S7_SCL_F26</t>
    <phoneticPr fontId="7" type="noConversion"/>
  </si>
  <si>
    <t>S7_SDA_F27</t>
    <phoneticPr fontId="7" type="noConversion"/>
  </si>
  <si>
    <t>S8_SCL_F26</t>
    <phoneticPr fontId="7" type="noConversion"/>
  </si>
  <si>
    <t>S8_SDA_F27</t>
    <phoneticPr fontId="7" type="noConversion"/>
  </si>
  <si>
    <t>not for segment eqlength</t>
    <phoneticPr fontId="7" type="noConversion"/>
  </si>
  <si>
    <t>keep these two trace as short as possible</t>
    <phoneticPr fontId="7" type="noConversion"/>
  </si>
  <si>
    <t>tune the total eq length by DIO segment</t>
    <phoneticPr fontId="7" type="noConversion"/>
  </si>
  <si>
    <t>scan chain/ scan chain force should trace on GPG layer，can't trace on GPPG layer</t>
    <phoneticPr fontId="7" type="noConversion"/>
  </si>
  <si>
    <t>can't use L11,12/14,15/17,18/</t>
    <phoneticPr fontId="7" type="noConversion"/>
  </si>
  <si>
    <t>route of VCOM/NEG is reversed ,K31 should be the goal</t>
    <phoneticPr fontId="7" type="noConversion"/>
  </si>
  <si>
    <t xml:space="preserve">sorry,orange net are naming miss, please fix the length </t>
    <phoneticPr fontId="7" type="noConversion"/>
  </si>
  <si>
    <t>only need to meet total eqlength requirement</t>
    <phoneticPr fontId="7" type="noConversion"/>
  </si>
  <si>
    <t>same question as scan cain(Y1), only need to meet the total length equal requirement, and please let this length as short as possible</t>
    <phoneticPr fontId="7" type="noConversion"/>
  </si>
  <si>
    <r>
      <t>Design Name</t>
    </r>
    <r>
      <rPr>
        <b/>
        <sz val="11"/>
        <color theme="1"/>
        <rFont val="Calibri"/>
        <family val="2"/>
        <scheme val="minor"/>
      </rPr>
      <t> D:/iTest/homeoffice/Test Hardware/980RI-TQ6749-18D-A10-0817_FINAL/980RI-TQ6749-18D-A10-0820_updates/980RI-TQ6749-18D-A10-0825.brd</t>
    </r>
  </si>
  <si>
    <r>
      <t>Date</t>
    </r>
    <r>
      <rPr>
        <b/>
        <sz val="11"/>
        <color theme="1"/>
        <rFont val="Calibri"/>
        <family val="2"/>
        <scheme val="minor"/>
      </rPr>
      <t> Tue Aug 25 12:47:09 2026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</si>
</sst>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>
    <font>
      <sz val="11"/>
      <color theme="1"/>
      <name val="Calibri"/>
      <family val="2"/>
      <scheme val="minor"/>
    </font>
    <font>
      <sz val="11"/>
      <color theme="1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1"/>
      <color theme="1"/>
      <name val="微軟正黑體"/>
      <family val="2"/>
      <charset val="136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12"/>
      <color theme="1"/>
      <name val="Calibri"/>
      <family val="2"/>
      <charset val="136"/>
      <scheme val="minor"/>
    </font>
    <font>
      <sz val="9"/>
      <name val="Calibri"/>
      <family val="3"/>
      <charset val="136"/>
      <scheme val="minor"/>
    </font>
    <font>
      <sz val="9"/>
      <name val="新細明體"/>
      <family val="1"/>
      <charset val="136"/>
    </font>
    <font>
      <sz val="9"/>
      <name val="Calibri"/>
      <family val="2"/>
      <charset val="136"/>
      <scheme val="minor"/>
    </font>
    <font>
      <b/>
      <sz val="11"/>
      <color theme="1"/>
      <name val="微軟正黑體"/>
      <family val="2"/>
      <charset val="136"/>
    </font>
    <font>
      <sz val="11"/>
      <name val="微軟正黑體"/>
      <family val="2"/>
      <charset val="136"/>
    </font>
    <font>
      <sz val="11"/>
      <color rgb="FFFF0000"/>
      <name val="微軟正黑體"/>
      <family val="2"/>
      <charset val="136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5">
    <xf numFmtId="0" fontId="0" fillId="0" borderId="0"/>
    <xf numFmtId="0" fontId="6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79">
    <xf numFmtId="0" fontId="0" fillId="0" borderId="0" xfId="0"/>
    <xf numFmtId="0" fontId="11" fillId="0" borderId="12" xfId="1" applyFont="1" applyBorder="1" applyAlignment="1">
      <alignment horizontal="left" vertical="center"/>
    </xf>
    <xf numFmtId="0" fontId="10" fillId="3" borderId="4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0" fillId="4" borderId="5" xfId="1" applyFont="1" applyFill="1" applyBorder="1" applyAlignment="1">
      <alignment horizontal="center"/>
    </xf>
    <xf numFmtId="0" fontId="11" fillId="0" borderId="0" xfId="1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16" xfId="0" applyBorder="1" applyAlignment="1">
      <alignment vertical="center"/>
    </xf>
    <xf numFmtId="0" fontId="0" fillId="0" borderId="16" xfId="0" applyBorder="1" applyAlignment="1">
      <alignment horizontal="right" vertical="center"/>
    </xf>
    <xf numFmtId="0" fontId="10" fillId="4" borderId="6" xfId="1" applyFont="1" applyFill="1" applyBorder="1" applyAlignment="1">
      <alignment horizontal="center"/>
    </xf>
    <xf numFmtId="0" fontId="3" fillId="0" borderId="12" xfId="0" applyFont="1" applyBorder="1"/>
    <xf numFmtId="0" fontId="3" fillId="0" borderId="9" xfId="0" applyFont="1" applyBorder="1"/>
    <xf numFmtId="0" fontId="3" fillId="0" borderId="7" xfId="0" applyFont="1" applyBorder="1"/>
    <xf numFmtId="0" fontId="3" fillId="2" borderId="2" xfId="1" applyFont="1" applyFill="1" applyBorder="1" applyAlignment="1">
      <alignment horizontal="center" vertical="center"/>
    </xf>
    <xf numFmtId="0" fontId="3" fillId="0" borderId="0" xfId="0" applyFont="1"/>
    <xf numFmtId="0" fontId="3" fillId="0" borderId="0" xfId="1" applyFont="1" applyAlignment="1">
      <alignment horizontal="center" vertical="center"/>
    </xf>
    <xf numFmtId="0" fontId="10" fillId="0" borderId="0" xfId="1" applyFont="1" applyAlignment="1">
      <alignment horizontal="center"/>
    </xf>
    <xf numFmtId="0" fontId="3" fillId="0" borderId="0" xfId="1" applyFont="1" applyAlignment="1">
      <alignment horizontal="center"/>
    </xf>
    <xf numFmtId="0" fontId="3" fillId="0" borderId="0" xfId="1" applyFont="1">
      <alignment vertical="center"/>
    </xf>
    <xf numFmtId="0" fontId="3" fillId="0" borderId="0" xfId="0" applyFont="1" applyAlignment="1">
      <alignment horizontal="center"/>
    </xf>
    <xf numFmtId="0" fontId="3" fillId="2" borderId="1" xfId="1" applyFont="1" applyFill="1" applyBorder="1" applyAlignment="1">
      <alignment horizontal="center"/>
    </xf>
    <xf numFmtId="0" fontId="3" fillId="2" borderId="2" xfId="1" applyFont="1" applyFill="1" applyBorder="1" applyAlignment="1">
      <alignment horizontal="center"/>
    </xf>
    <xf numFmtId="0" fontId="3" fillId="2" borderId="2" xfId="1" applyFont="1" applyFill="1" applyBorder="1" applyAlignment="1"/>
    <xf numFmtId="0" fontId="3" fillId="2" borderId="3" xfId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/>
    </xf>
    <xf numFmtId="0" fontId="3" fillId="0" borderId="12" xfId="1" applyFont="1" applyBorder="1" applyAlignment="1">
      <alignment horizontal="left" vertical="center"/>
    </xf>
    <xf numFmtId="0" fontId="3" fillId="0" borderId="9" xfId="1" applyFont="1" applyBorder="1" applyAlignment="1">
      <alignment horizontal="center"/>
    </xf>
    <xf numFmtId="0" fontId="3" fillId="0" borderId="9" xfId="1" applyFont="1" applyBorder="1" applyAlignment="1">
      <alignment horizontal="left" vertical="center"/>
    </xf>
    <xf numFmtId="0" fontId="3" fillId="0" borderId="14" xfId="1" applyFont="1" applyBorder="1" applyAlignment="1">
      <alignment horizontal="center" vertical="center"/>
    </xf>
    <xf numFmtId="0" fontId="3" fillId="0" borderId="11" xfId="1" applyFont="1" applyBorder="1" applyAlignment="1">
      <alignment horizontal="center" vertical="center"/>
    </xf>
    <xf numFmtId="0" fontId="3" fillId="0" borderId="7" xfId="1" applyFont="1" applyBorder="1" applyAlignment="1">
      <alignment horizontal="center"/>
    </xf>
    <xf numFmtId="0" fontId="3" fillId="0" borderId="7" xfId="1" applyFont="1" applyBorder="1" applyAlignment="1">
      <alignment horizontal="left" vertical="center"/>
    </xf>
    <xf numFmtId="0" fontId="3" fillId="0" borderId="8" xfId="1" applyFont="1" applyBorder="1" applyAlignment="1">
      <alignment horizontal="center" vertical="center"/>
    </xf>
    <xf numFmtId="0" fontId="11" fillId="5" borderId="12" xfId="1" applyFont="1" applyFill="1" applyBorder="1" applyAlignment="1">
      <alignment horizontal="left" vertical="center"/>
    </xf>
    <xf numFmtId="0" fontId="3" fillId="5" borderId="9" xfId="0" applyFont="1" applyFill="1" applyBorder="1"/>
    <xf numFmtId="0" fontId="3" fillId="0" borderId="17" xfId="1" applyFont="1" applyBorder="1">
      <alignment vertical="center"/>
    </xf>
    <xf numFmtId="0" fontId="3" fillId="0" borderId="18" xfId="1" applyFont="1" applyBorder="1" applyAlignment="1">
      <alignment horizontal="left" vertical="center"/>
    </xf>
    <xf numFmtId="0" fontId="3" fillId="0" borderId="18" xfId="1" applyFont="1" applyBorder="1" applyAlignment="1">
      <alignment horizontal="center"/>
    </xf>
    <xf numFmtId="0" fontId="3" fillId="0" borderId="18" xfId="0" applyFont="1" applyBorder="1"/>
    <xf numFmtId="0" fontId="11" fillId="0" borderId="18" xfId="1" applyFont="1" applyBorder="1" applyAlignment="1">
      <alignment horizontal="left" vertical="center"/>
    </xf>
    <xf numFmtId="0" fontId="2" fillId="0" borderId="0" xfId="0" applyFont="1"/>
    <xf numFmtId="0" fontId="2" fillId="0" borderId="0" xfId="1" applyFont="1" applyAlignment="1">
      <alignment horizontal="center"/>
    </xf>
    <xf numFmtId="0" fontId="2" fillId="0" borderId="0" xfId="1" applyFont="1" applyAlignment="1">
      <alignment horizontal="center" vertical="center"/>
    </xf>
    <xf numFmtId="0" fontId="2" fillId="0" borderId="0" xfId="1" applyFont="1">
      <alignment vertical="center"/>
    </xf>
    <xf numFmtId="0" fontId="2" fillId="0" borderId="0" xfId="0" applyFont="1" applyAlignment="1">
      <alignment horizontal="center"/>
    </xf>
    <xf numFmtId="0" fontId="2" fillId="2" borderId="1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/>
    </xf>
    <xf numFmtId="0" fontId="2" fillId="2" borderId="2" xfId="1" applyFont="1" applyFill="1" applyBorder="1" applyAlignment="1">
      <alignment horizontal="center" vertical="center"/>
    </xf>
    <xf numFmtId="0" fontId="2" fillId="2" borderId="2" xfId="1" applyFont="1" applyFill="1" applyBorder="1" applyAlignment="1"/>
    <xf numFmtId="0" fontId="2" fillId="2" borderId="3" xfId="1" applyFont="1" applyFill="1" applyBorder="1" applyAlignment="1">
      <alignment horizontal="center" vertical="center"/>
    </xf>
    <xf numFmtId="0" fontId="2" fillId="0" borderId="12" xfId="0" applyFont="1" applyBorder="1"/>
    <xf numFmtId="0" fontId="2" fillId="0" borderId="12" xfId="1" applyFont="1" applyBorder="1" applyAlignment="1">
      <alignment horizontal="center"/>
    </xf>
    <xf numFmtId="0" fontId="2" fillId="0" borderId="9" xfId="0" applyFont="1" applyBorder="1"/>
    <xf numFmtId="0" fontId="2" fillId="0" borderId="9" xfId="1" applyFont="1" applyBorder="1" applyAlignment="1">
      <alignment horizontal="center"/>
    </xf>
    <xf numFmtId="0" fontId="2" fillId="0" borderId="14" xfId="1" applyFont="1" applyBorder="1" applyAlignment="1">
      <alignment horizontal="center" vertical="center"/>
    </xf>
    <xf numFmtId="0" fontId="2" fillId="0" borderId="11" xfId="1" applyFont="1" applyBorder="1" applyAlignment="1">
      <alignment horizontal="center" vertical="center"/>
    </xf>
    <xf numFmtId="0" fontId="2" fillId="0" borderId="7" xfId="0" applyFont="1" applyBorder="1"/>
    <xf numFmtId="0" fontId="2" fillId="0" borderId="7" xfId="1" applyFont="1" applyBorder="1" applyAlignment="1">
      <alignment horizontal="center"/>
    </xf>
    <xf numFmtId="0" fontId="2" fillId="0" borderId="8" xfId="1" applyFont="1" applyBorder="1" applyAlignment="1">
      <alignment horizontal="center" vertical="center"/>
    </xf>
    <xf numFmtId="0" fontId="1" fillId="0" borderId="9" xfId="0" applyFont="1" applyBorder="1"/>
    <xf numFmtId="0" fontId="1" fillId="6" borderId="9" xfId="0" applyFont="1" applyFill="1" applyBorder="1"/>
    <xf numFmtId="0" fontId="2" fillId="6" borderId="12" xfId="1" applyFont="1" applyFill="1" applyBorder="1" applyAlignment="1">
      <alignment horizontal="center"/>
    </xf>
    <xf numFmtId="0" fontId="2" fillId="6" borderId="9" xfId="0" applyFont="1" applyFill="1" applyBorder="1"/>
    <xf numFmtId="0" fontId="1" fillId="0" borderId="0" xfId="1" applyFont="1" applyAlignment="1">
      <alignment horizontal="center" vertical="center"/>
    </xf>
    <xf numFmtId="0" fontId="1" fillId="0" borderId="0" xfId="0" applyFont="1"/>
    <xf numFmtId="0" fontId="12" fillId="0" borderId="0" xfId="0" applyFont="1"/>
    <xf numFmtId="0" fontId="14" fillId="0" borderId="0" xfId="0" applyFont="1"/>
    <xf numFmtId="0" fontId="13" fillId="0" borderId="16" xfId="0" applyFont="1" applyBorder="1" applyAlignment="1">
      <alignment vertical="center" wrapText="1"/>
    </xf>
    <xf numFmtId="0" fontId="3" fillId="0" borderId="13" xfId="1" applyFont="1" applyBorder="1" applyAlignment="1">
      <alignment horizontal="center" vertical="center"/>
    </xf>
    <xf numFmtId="0" fontId="3" fillId="0" borderId="10" xfId="1" applyFont="1" applyBorder="1" applyAlignment="1">
      <alignment horizontal="center" vertical="center"/>
    </xf>
    <xf numFmtId="0" fontId="3" fillId="0" borderId="15" xfId="1" applyFont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13" xfId="1" applyFont="1" applyBorder="1" applyAlignment="1">
      <alignment horizontal="center" vertical="center"/>
    </xf>
    <xf numFmtId="0" fontId="2" fillId="0" borderId="10" xfId="1" applyFont="1" applyBorder="1" applyAlignment="1">
      <alignment horizontal="center" vertical="center"/>
    </xf>
    <xf numFmtId="0" fontId="2" fillId="0" borderId="15" xfId="1" applyFont="1" applyBorder="1" applyAlignment="1">
      <alignment horizontal="center" vertical="center"/>
    </xf>
    <xf numFmtId="0" fontId="3" fillId="2" borderId="19" xfId="1" applyFont="1" applyFill="1" applyBorder="1" applyAlignment="1">
      <alignment horizontal="center"/>
    </xf>
    <xf numFmtId="0" fontId="3" fillId="2" borderId="20" xfId="1" applyFont="1" applyFill="1" applyBorder="1" applyAlignment="1">
      <alignment horizontal="center"/>
    </xf>
    <xf numFmtId="0" fontId="3" fillId="2" borderId="21" xfId="1" applyFont="1" applyFill="1" applyBorder="1" applyAlignment="1">
      <alignment horizontal="center"/>
    </xf>
  </cellXfs>
  <cellStyles count="5">
    <cellStyle name="Normal" xfId="0" builtinId="0"/>
    <cellStyle name="一般 2" xfId="1" xr:uid="{00000000-0005-0000-0000-000001000000}"/>
    <cellStyle name="一般 2 2" xfId="2" xr:uid="{00000000-0005-0000-0000-000002000000}"/>
    <cellStyle name="一般 3" xfId="3" xr:uid="{00000000-0005-0000-0000-000003000000}"/>
    <cellStyle name="百分比 2" xfId="4" xr:uid="{00000000-0005-0000-0000-000004000000}"/>
  </cellStyles>
  <dxfs count="1931"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808080"/>
      </font>
      <fill>
        <patternFill>
          <bgColor rgb="FFD9D9D9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0" tint="-0.1499679555650502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CCCFF"/>
      <color rgb="FFFCE4D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5" Type="http://schemas.openxmlformats.org/officeDocument/2006/relationships/image" Target="../media/image11.png"/><Relationship Id="rId4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790575</xdr:colOff>
      <xdr:row>82</xdr:row>
      <xdr:rowOff>76200</xdr:rowOff>
    </xdr:from>
    <xdr:to>
      <xdr:col>7</xdr:col>
      <xdr:colOff>162485</xdr:colOff>
      <xdr:row>86</xdr:row>
      <xdr:rowOff>181101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09800" y="16573500"/>
          <a:ext cx="4010585" cy="905001"/>
        </a:xfrm>
        <a:prstGeom prst="rect">
          <a:avLst/>
        </a:prstGeom>
      </xdr:spPr>
    </xdr:pic>
    <xdr:clientData/>
  </xdr:twoCellAnchor>
  <xdr:twoCellAnchor editAs="oneCell">
    <xdr:from>
      <xdr:col>2</xdr:col>
      <xdr:colOff>48867</xdr:colOff>
      <xdr:row>92</xdr:row>
      <xdr:rowOff>22777</xdr:rowOff>
    </xdr:from>
    <xdr:to>
      <xdr:col>9</xdr:col>
      <xdr:colOff>383177</xdr:colOff>
      <xdr:row>121</xdr:row>
      <xdr:rowOff>90271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73476" y="18393603"/>
          <a:ext cx="6695353" cy="5832190"/>
        </a:xfrm>
        <a:prstGeom prst="rect">
          <a:avLst/>
        </a:prstGeom>
      </xdr:spPr>
    </xdr:pic>
    <xdr:clientData/>
  </xdr:twoCellAnchor>
  <xdr:twoCellAnchor editAs="oneCell">
    <xdr:from>
      <xdr:col>9</xdr:col>
      <xdr:colOff>371475</xdr:colOff>
      <xdr:row>92</xdr:row>
      <xdr:rowOff>46797</xdr:rowOff>
    </xdr:from>
    <xdr:to>
      <xdr:col>16</xdr:col>
      <xdr:colOff>1149400</xdr:colOff>
      <xdr:row>109</xdr:row>
      <xdr:rowOff>66324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157127" y="18417623"/>
          <a:ext cx="9730938" cy="3398831"/>
        </a:xfrm>
        <a:prstGeom prst="rect">
          <a:avLst/>
        </a:prstGeom>
      </xdr:spPr>
    </xdr:pic>
    <xdr:clientData/>
  </xdr:twoCellAnchor>
  <xdr:twoCellAnchor editAs="oneCell">
    <xdr:from>
      <xdr:col>9</xdr:col>
      <xdr:colOff>281609</xdr:colOff>
      <xdr:row>83</xdr:row>
      <xdr:rowOff>33130</xdr:rowOff>
    </xdr:from>
    <xdr:to>
      <xdr:col>10</xdr:col>
      <xdr:colOff>1492726</xdr:colOff>
      <xdr:row>87</xdr:row>
      <xdr:rowOff>114422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067261" y="16614913"/>
          <a:ext cx="2133898" cy="876422"/>
        </a:xfrm>
        <a:prstGeom prst="rect">
          <a:avLst/>
        </a:prstGeom>
      </xdr:spPr>
    </xdr:pic>
    <xdr:clientData/>
  </xdr:twoCellAnchor>
  <xdr:twoCellAnchor editAs="oneCell">
    <xdr:from>
      <xdr:col>10</xdr:col>
      <xdr:colOff>1689651</xdr:colOff>
      <xdr:row>76</xdr:row>
      <xdr:rowOff>33131</xdr:rowOff>
    </xdr:from>
    <xdr:to>
      <xdr:col>14</xdr:col>
      <xdr:colOff>323035</xdr:colOff>
      <xdr:row>91</xdr:row>
      <xdr:rowOff>44937</xdr:rowOff>
    </xdr:to>
    <xdr:pic>
      <xdr:nvPicPr>
        <xdr:cNvPr id="8" name="圖片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972260" y="15223435"/>
          <a:ext cx="3867992" cy="2993545"/>
        </a:xfrm>
        <a:prstGeom prst="rect">
          <a:avLst/>
        </a:prstGeom>
      </xdr:spPr>
    </xdr:pic>
    <xdr:clientData/>
  </xdr:twoCellAnchor>
  <xdr:twoCellAnchor editAs="oneCell">
    <xdr:from>
      <xdr:col>14</xdr:col>
      <xdr:colOff>257736</xdr:colOff>
      <xdr:row>82</xdr:row>
      <xdr:rowOff>33618</xdr:rowOff>
    </xdr:from>
    <xdr:to>
      <xdr:col>15</xdr:col>
      <xdr:colOff>368434</xdr:colOff>
      <xdr:row>89</xdr:row>
      <xdr:rowOff>31574</xdr:rowOff>
    </xdr:to>
    <xdr:pic>
      <xdr:nvPicPr>
        <xdr:cNvPr id="9" name="圖片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186648" y="16685559"/>
          <a:ext cx="2295845" cy="140989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514350</xdr:colOff>
      <xdr:row>147</xdr:row>
      <xdr:rowOff>119742</xdr:rowOff>
    </xdr:from>
    <xdr:to>
      <xdr:col>15</xdr:col>
      <xdr:colOff>720</xdr:colOff>
      <xdr:row>160</xdr:row>
      <xdr:rowOff>160309</xdr:rowOff>
    </xdr:to>
    <xdr:pic>
      <xdr:nvPicPr>
        <xdr:cNvPr id="3" name="圖片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657850" y="4358367"/>
          <a:ext cx="6172200" cy="2640892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147</xdr:row>
      <xdr:rowOff>171450</xdr:rowOff>
    </xdr:from>
    <xdr:to>
      <xdr:col>22</xdr:col>
      <xdr:colOff>342905</xdr:colOff>
      <xdr:row>153</xdr:row>
      <xdr:rowOff>28723</xdr:rowOff>
    </xdr:to>
    <xdr:pic>
      <xdr:nvPicPr>
        <xdr:cNvPr id="4" name="圖片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049125" y="4400550"/>
          <a:ext cx="4058216" cy="1057423"/>
        </a:xfrm>
        <a:prstGeom prst="rect">
          <a:avLst/>
        </a:prstGeom>
      </xdr:spPr>
    </xdr:pic>
    <xdr:clientData/>
  </xdr:twoCellAnchor>
  <xdr:twoCellAnchor editAs="oneCell">
    <xdr:from>
      <xdr:col>1</xdr:col>
      <xdr:colOff>85725</xdr:colOff>
      <xdr:row>163</xdr:row>
      <xdr:rowOff>171450</xdr:rowOff>
    </xdr:from>
    <xdr:to>
      <xdr:col>16</xdr:col>
      <xdr:colOff>379985</xdr:colOff>
      <xdr:row>181</xdr:row>
      <xdr:rowOff>181479</xdr:rowOff>
    </xdr:to>
    <xdr:pic>
      <xdr:nvPicPr>
        <xdr:cNvPr id="5" name="圖片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1025" y="7610475"/>
          <a:ext cx="11660227" cy="3610479"/>
        </a:xfrm>
        <a:prstGeom prst="rect">
          <a:avLst/>
        </a:prstGeom>
      </xdr:spPr>
    </xdr:pic>
    <xdr:clientData/>
  </xdr:twoCellAnchor>
  <xdr:twoCellAnchor editAs="oneCell">
    <xdr:from>
      <xdr:col>17</xdr:col>
      <xdr:colOff>17689</xdr:colOff>
      <xdr:row>163</xdr:row>
      <xdr:rowOff>166007</xdr:rowOff>
    </xdr:from>
    <xdr:to>
      <xdr:col>37</xdr:col>
      <xdr:colOff>152236</xdr:colOff>
      <xdr:row>193</xdr:row>
      <xdr:rowOff>86551</xdr:rowOff>
    </xdr:to>
    <xdr:pic>
      <xdr:nvPicPr>
        <xdr:cNvPr id="6" name="圖片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509046" y="7717971"/>
          <a:ext cx="12638710" cy="6043759"/>
        </a:xfrm>
        <a:prstGeom prst="rect">
          <a:avLst/>
        </a:prstGeom>
      </xdr:spPr>
    </xdr:pic>
    <xdr:clientData/>
  </xdr:twoCellAnchor>
  <xdr:twoCellAnchor editAs="oneCell">
    <xdr:from>
      <xdr:col>1</xdr:col>
      <xdr:colOff>1154206</xdr:colOff>
      <xdr:row>58</xdr:row>
      <xdr:rowOff>56030</xdr:rowOff>
    </xdr:from>
    <xdr:to>
      <xdr:col>7</xdr:col>
      <xdr:colOff>87504</xdr:colOff>
      <xdr:row>64</xdr:row>
      <xdr:rowOff>161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647265" y="12046324"/>
          <a:ext cx="4715533" cy="11526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7">
    <tabColor theme="1"/>
  </sheetPr>
  <dimension ref="A1:D4282"/>
  <sheetViews>
    <sheetView workbookViewId="0">
      <selection sqref="A1:D2689"/>
    </sheetView>
  </sheetViews>
  <sheetFormatPr defaultRowHeight="15"/>
  <cols>
    <col min="1" max="16384" width="9.140625" style="6"/>
  </cols>
  <sheetData>
    <row r="1" spans="1:4">
      <c r="A1" s="66" t="s">
        <v>4316</v>
      </c>
      <c r="B1"/>
      <c r="C1"/>
      <c r="D1"/>
    </row>
    <row r="2" spans="1:4">
      <c r="A2" s="66" t="s">
        <v>4317</v>
      </c>
      <c r="B2"/>
      <c r="C2"/>
      <c r="D2"/>
    </row>
    <row r="3" spans="1:4" ht="60">
      <c r="A3" s="67" t="s">
        <v>6</v>
      </c>
      <c r="B3" s="67" t="s">
        <v>7</v>
      </c>
      <c r="C3" s="67" t="s">
        <v>8</v>
      </c>
      <c r="D3" s="67" t="s">
        <v>9</v>
      </c>
    </row>
    <row r="4" spans="1:4">
      <c r="A4" s="7" t="s">
        <v>2659</v>
      </c>
      <c r="B4" s="8">
        <v>2593.2800000000002</v>
      </c>
      <c r="C4" s="8">
        <v>4463.78</v>
      </c>
      <c r="D4" s="8">
        <v>58.1</v>
      </c>
    </row>
    <row r="5" spans="1:4">
      <c r="A5" s="7" t="s">
        <v>10</v>
      </c>
      <c r="B5" s="8">
        <v>648.32000000000005</v>
      </c>
      <c r="C5" s="8">
        <v>3938.78</v>
      </c>
      <c r="D5" s="8">
        <v>16.46</v>
      </c>
    </row>
    <row r="6" spans="1:4">
      <c r="A6" s="7" t="s">
        <v>47</v>
      </c>
      <c r="B6" s="8">
        <v>810.4</v>
      </c>
      <c r="C6" s="8">
        <v>4696.71</v>
      </c>
      <c r="D6" s="8">
        <v>17.25</v>
      </c>
    </row>
    <row r="7" spans="1:4">
      <c r="A7" s="7" t="s">
        <v>2660</v>
      </c>
      <c r="B7" s="8">
        <v>2593.2800000000002</v>
      </c>
      <c r="C7" s="8">
        <v>6217.04</v>
      </c>
      <c r="D7" s="8">
        <v>41.71</v>
      </c>
    </row>
    <row r="8" spans="1:4">
      <c r="A8" s="7" t="s">
        <v>11</v>
      </c>
      <c r="B8" s="8">
        <v>648.32000000000005</v>
      </c>
      <c r="C8" s="8">
        <v>2477.7600000000002</v>
      </c>
      <c r="D8" s="8">
        <v>26.17</v>
      </c>
    </row>
    <row r="9" spans="1:4">
      <c r="A9" s="7" t="s">
        <v>48</v>
      </c>
      <c r="B9" s="8">
        <v>35670.550000000003</v>
      </c>
      <c r="C9" s="8">
        <v>24801.97</v>
      </c>
      <c r="D9" s="8">
        <v>143.82</v>
      </c>
    </row>
    <row r="10" spans="1:4">
      <c r="A10" s="7" t="s">
        <v>49</v>
      </c>
      <c r="B10" s="8">
        <v>24060.22</v>
      </c>
      <c r="C10" s="8">
        <v>23301.97</v>
      </c>
      <c r="D10" s="8">
        <v>103.25</v>
      </c>
    </row>
    <row r="11" spans="1:4">
      <c r="A11" s="7" t="s">
        <v>644</v>
      </c>
      <c r="B11" s="8">
        <v>35400.54</v>
      </c>
      <c r="C11" s="8">
        <v>26501.97</v>
      </c>
      <c r="D11" s="8">
        <v>133.58000000000001</v>
      </c>
    </row>
    <row r="12" spans="1:4">
      <c r="A12" s="7" t="s">
        <v>50</v>
      </c>
      <c r="B12" s="8">
        <v>35150.78</v>
      </c>
      <c r="C12" s="8">
        <v>26801.97</v>
      </c>
      <c r="D12" s="8">
        <v>131.15</v>
      </c>
    </row>
    <row r="13" spans="1:4">
      <c r="A13" s="7" t="s">
        <v>51</v>
      </c>
      <c r="B13" s="8">
        <v>34640.25</v>
      </c>
      <c r="C13" s="8">
        <v>27801.97</v>
      </c>
      <c r="D13" s="8">
        <v>124.6</v>
      </c>
    </row>
    <row r="14" spans="1:4">
      <c r="A14" s="7" t="s">
        <v>52</v>
      </c>
      <c r="B14" s="8">
        <v>35897.410000000003</v>
      </c>
      <c r="C14" s="8">
        <v>27001.97</v>
      </c>
      <c r="D14" s="8">
        <v>132.94</v>
      </c>
    </row>
    <row r="15" spans="1:4">
      <c r="A15" s="7" t="s">
        <v>53</v>
      </c>
      <c r="B15" s="8">
        <v>25549</v>
      </c>
      <c r="C15" s="8">
        <v>23301.97</v>
      </c>
      <c r="D15" s="8">
        <v>109.64</v>
      </c>
    </row>
    <row r="16" spans="1:4">
      <c r="A16" s="7" t="s">
        <v>54</v>
      </c>
      <c r="B16" s="8">
        <v>34439.19</v>
      </c>
      <c r="C16" s="8">
        <v>28601.97</v>
      </c>
      <c r="D16" s="8">
        <v>120.41</v>
      </c>
    </row>
    <row r="17" spans="1:4">
      <c r="A17" s="7" t="s">
        <v>55</v>
      </c>
      <c r="B17" s="8">
        <v>35370.75</v>
      </c>
      <c r="C17" s="8">
        <v>29301.97</v>
      </c>
      <c r="D17" s="8">
        <v>120.71</v>
      </c>
    </row>
    <row r="18" spans="1:4">
      <c r="A18" s="7" t="s">
        <v>56</v>
      </c>
      <c r="B18" s="8">
        <v>36663.93</v>
      </c>
      <c r="C18" s="8">
        <v>24801.97</v>
      </c>
      <c r="D18" s="8">
        <v>147.83000000000001</v>
      </c>
    </row>
    <row r="19" spans="1:4">
      <c r="A19" s="7" t="s">
        <v>57</v>
      </c>
      <c r="B19" s="8">
        <v>37349.68</v>
      </c>
      <c r="C19" s="8">
        <v>26875.19</v>
      </c>
      <c r="D19" s="8">
        <v>138.97</v>
      </c>
    </row>
    <row r="20" spans="1:4">
      <c r="A20" s="7" t="s">
        <v>58</v>
      </c>
      <c r="B20" s="8">
        <v>25554.48</v>
      </c>
      <c r="C20" s="8">
        <v>23701.97</v>
      </c>
      <c r="D20" s="8">
        <v>107.82</v>
      </c>
    </row>
    <row r="21" spans="1:4">
      <c r="A21" s="7" t="s">
        <v>59</v>
      </c>
      <c r="B21" s="8">
        <v>35397.129999999997</v>
      </c>
      <c r="C21" s="8">
        <v>26875.19</v>
      </c>
      <c r="D21" s="8">
        <v>131.71</v>
      </c>
    </row>
    <row r="22" spans="1:4">
      <c r="A22" s="7" t="s">
        <v>60</v>
      </c>
      <c r="B22" s="8">
        <v>26736.2</v>
      </c>
      <c r="C22" s="8">
        <v>22301.97</v>
      </c>
      <c r="D22" s="8">
        <v>119.88</v>
      </c>
    </row>
    <row r="23" spans="1:4">
      <c r="A23" s="7" t="s">
        <v>61</v>
      </c>
      <c r="B23" s="8">
        <v>36055.65</v>
      </c>
      <c r="C23" s="8">
        <v>27001.97</v>
      </c>
      <c r="D23" s="8">
        <v>133.53</v>
      </c>
    </row>
    <row r="24" spans="1:4">
      <c r="A24" s="7" t="s">
        <v>62</v>
      </c>
      <c r="B24" s="8">
        <v>34660.370000000003</v>
      </c>
      <c r="C24" s="8">
        <v>23701.97</v>
      </c>
      <c r="D24" s="8">
        <v>146.22999999999999</v>
      </c>
    </row>
    <row r="25" spans="1:4">
      <c r="A25" s="7" t="s">
        <v>63</v>
      </c>
      <c r="B25" s="8">
        <v>34807.58</v>
      </c>
      <c r="C25" s="8">
        <v>26801.97</v>
      </c>
      <c r="D25" s="8">
        <v>129.87</v>
      </c>
    </row>
    <row r="26" spans="1:4">
      <c r="A26" s="7" t="s">
        <v>64</v>
      </c>
      <c r="B26" s="8">
        <v>34594.769999999997</v>
      </c>
      <c r="C26" s="8">
        <v>27501.97</v>
      </c>
      <c r="D26" s="8">
        <v>125.79</v>
      </c>
    </row>
    <row r="27" spans="1:4">
      <c r="A27" s="7" t="s">
        <v>65</v>
      </c>
      <c r="B27" s="8">
        <v>34612.51</v>
      </c>
      <c r="C27" s="8">
        <v>25401.97</v>
      </c>
      <c r="D27" s="8">
        <v>136.26</v>
      </c>
    </row>
    <row r="28" spans="1:4">
      <c r="A28" s="7" t="s">
        <v>66</v>
      </c>
      <c r="B28" s="8">
        <v>26981.31</v>
      </c>
      <c r="C28" s="8">
        <v>22401.97</v>
      </c>
      <c r="D28" s="8">
        <v>120.44</v>
      </c>
    </row>
    <row r="29" spans="1:4">
      <c r="A29" s="7" t="s">
        <v>645</v>
      </c>
      <c r="B29" s="8">
        <v>38389.279999999999</v>
      </c>
      <c r="C29" s="8">
        <v>26675.19</v>
      </c>
      <c r="D29" s="8">
        <v>143.91</v>
      </c>
    </row>
    <row r="30" spans="1:4">
      <c r="A30" s="7" t="s">
        <v>646</v>
      </c>
      <c r="B30" s="8">
        <v>30810.28</v>
      </c>
      <c r="C30" s="8">
        <v>22275.19</v>
      </c>
      <c r="D30" s="8">
        <v>138.32</v>
      </c>
    </row>
    <row r="31" spans="1:4">
      <c r="A31" s="7" t="s">
        <v>647</v>
      </c>
      <c r="B31" s="8">
        <v>36428.36</v>
      </c>
      <c r="C31" s="8">
        <v>29075.19</v>
      </c>
      <c r="D31" s="8">
        <v>125.29</v>
      </c>
    </row>
    <row r="32" spans="1:4">
      <c r="A32" s="7" t="s">
        <v>67</v>
      </c>
      <c r="B32" s="8">
        <v>38047.74</v>
      </c>
      <c r="C32" s="8">
        <v>24601.97</v>
      </c>
      <c r="D32" s="8">
        <v>154.65</v>
      </c>
    </row>
    <row r="33" spans="1:4">
      <c r="A33" s="7" t="s">
        <v>68</v>
      </c>
      <c r="B33" s="8">
        <v>34925.31</v>
      </c>
      <c r="C33" s="8">
        <v>24601.97</v>
      </c>
      <c r="D33" s="8">
        <v>141.96</v>
      </c>
    </row>
    <row r="34" spans="1:4">
      <c r="A34" s="7" t="s">
        <v>69</v>
      </c>
      <c r="B34" s="8">
        <v>36395.4</v>
      </c>
      <c r="C34" s="8">
        <v>27975.19</v>
      </c>
      <c r="D34" s="8">
        <v>130.1</v>
      </c>
    </row>
    <row r="35" spans="1:4">
      <c r="A35" s="7" t="s">
        <v>70</v>
      </c>
      <c r="B35" s="8">
        <v>31007.86</v>
      </c>
      <c r="C35" s="8">
        <v>22875.19</v>
      </c>
      <c r="D35" s="8">
        <v>135.55000000000001</v>
      </c>
    </row>
    <row r="36" spans="1:4">
      <c r="A36" s="7" t="s">
        <v>71</v>
      </c>
      <c r="B36" s="8">
        <v>35723.449999999997</v>
      </c>
      <c r="C36" s="8">
        <v>29175.19</v>
      </c>
      <c r="D36" s="8">
        <v>122.44</v>
      </c>
    </row>
    <row r="37" spans="1:4">
      <c r="A37" s="7" t="s">
        <v>72</v>
      </c>
      <c r="B37" s="8">
        <v>39318.78</v>
      </c>
      <c r="C37" s="8">
        <v>25075.19</v>
      </c>
      <c r="D37" s="8">
        <v>156.80000000000001</v>
      </c>
    </row>
    <row r="38" spans="1:4">
      <c r="A38" s="7" t="s">
        <v>73</v>
      </c>
      <c r="B38" s="8">
        <v>30963.13</v>
      </c>
      <c r="C38" s="8">
        <v>23575.19</v>
      </c>
      <c r="D38" s="8">
        <v>131.34</v>
      </c>
    </row>
    <row r="39" spans="1:4">
      <c r="A39" s="7" t="s">
        <v>74</v>
      </c>
      <c r="B39" s="8">
        <v>34951.32</v>
      </c>
      <c r="C39" s="8">
        <v>23875.19</v>
      </c>
      <c r="D39" s="8">
        <v>146.38999999999999</v>
      </c>
    </row>
    <row r="40" spans="1:4">
      <c r="A40" s="7" t="s">
        <v>75</v>
      </c>
      <c r="B40" s="8">
        <v>37677.51</v>
      </c>
      <c r="C40" s="8">
        <v>26075.19</v>
      </c>
      <c r="D40" s="8">
        <v>144.5</v>
      </c>
    </row>
    <row r="41" spans="1:4">
      <c r="A41" s="7" t="s">
        <v>2251</v>
      </c>
      <c r="B41" s="8">
        <v>24026.58</v>
      </c>
      <c r="C41" s="8">
        <v>22101.97</v>
      </c>
      <c r="D41" s="8">
        <v>108.71</v>
      </c>
    </row>
    <row r="42" spans="1:4">
      <c r="A42" s="7" t="s">
        <v>76</v>
      </c>
      <c r="B42" s="8">
        <v>37458.75</v>
      </c>
      <c r="C42" s="8">
        <v>24101.97</v>
      </c>
      <c r="D42" s="8">
        <v>155.41999999999999</v>
      </c>
    </row>
    <row r="43" spans="1:4">
      <c r="A43" s="7" t="s">
        <v>648</v>
      </c>
      <c r="B43" s="8">
        <v>35801.42</v>
      </c>
      <c r="C43" s="8">
        <v>26301.97</v>
      </c>
      <c r="D43" s="8">
        <v>136.12</v>
      </c>
    </row>
    <row r="44" spans="1:4">
      <c r="A44" s="7" t="s">
        <v>77</v>
      </c>
      <c r="B44" s="8">
        <v>36828.949999999997</v>
      </c>
      <c r="C44" s="8">
        <v>23675.19</v>
      </c>
      <c r="D44" s="8">
        <v>155.56</v>
      </c>
    </row>
    <row r="45" spans="1:4">
      <c r="A45" s="7" t="s">
        <v>649</v>
      </c>
      <c r="B45" s="8">
        <v>36637.64</v>
      </c>
      <c r="C45" s="8">
        <v>25575.19</v>
      </c>
      <c r="D45" s="8">
        <v>143.25</v>
      </c>
    </row>
    <row r="46" spans="1:4">
      <c r="A46" s="7" t="s">
        <v>78</v>
      </c>
      <c r="B46" s="8">
        <v>36821.050000000003</v>
      </c>
      <c r="C46" s="8">
        <v>28901.97</v>
      </c>
      <c r="D46" s="8">
        <v>127.4</v>
      </c>
    </row>
    <row r="47" spans="1:4">
      <c r="A47" s="7" t="s">
        <v>650</v>
      </c>
      <c r="B47" s="8">
        <v>34981.410000000003</v>
      </c>
      <c r="C47" s="8">
        <v>28301.97</v>
      </c>
      <c r="D47" s="8">
        <v>123.6</v>
      </c>
    </row>
    <row r="48" spans="1:4">
      <c r="A48" s="7" t="s">
        <v>2661</v>
      </c>
      <c r="B48" s="8">
        <v>36929.33</v>
      </c>
      <c r="C48" s="8">
        <v>27901.97</v>
      </c>
      <c r="D48" s="8">
        <v>132.35</v>
      </c>
    </row>
    <row r="49" spans="1:4">
      <c r="A49" s="7" t="s">
        <v>2662</v>
      </c>
      <c r="B49" s="8">
        <v>34398.31</v>
      </c>
      <c r="C49" s="8">
        <v>25801.97</v>
      </c>
      <c r="D49" s="8">
        <v>133.32</v>
      </c>
    </row>
    <row r="50" spans="1:4">
      <c r="A50" s="7" t="s">
        <v>651</v>
      </c>
      <c r="B50" s="8">
        <v>35875.82</v>
      </c>
      <c r="C50" s="8">
        <v>29301.97</v>
      </c>
      <c r="D50" s="8">
        <v>122.43</v>
      </c>
    </row>
    <row r="51" spans="1:4">
      <c r="A51" s="7" t="s">
        <v>652</v>
      </c>
      <c r="B51" s="8">
        <v>22217.37</v>
      </c>
      <c r="C51" s="8">
        <v>24201.97</v>
      </c>
      <c r="D51" s="8">
        <v>91.8</v>
      </c>
    </row>
    <row r="52" spans="1:4">
      <c r="A52" s="7" t="s">
        <v>653</v>
      </c>
      <c r="B52" s="8">
        <v>23980.32</v>
      </c>
      <c r="C52" s="8">
        <v>24301.97</v>
      </c>
      <c r="D52" s="8">
        <v>98.68</v>
      </c>
    </row>
    <row r="53" spans="1:4">
      <c r="A53" s="7" t="s">
        <v>654</v>
      </c>
      <c r="B53" s="8">
        <v>37496.300000000003</v>
      </c>
      <c r="C53" s="8">
        <v>25301.97</v>
      </c>
      <c r="D53" s="8">
        <v>148.19999999999999</v>
      </c>
    </row>
    <row r="54" spans="1:4">
      <c r="A54" s="7" t="s">
        <v>79</v>
      </c>
      <c r="B54" s="8">
        <v>22340.59</v>
      </c>
      <c r="C54" s="8">
        <v>22121.040000000001</v>
      </c>
      <c r="D54" s="8">
        <v>100.99</v>
      </c>
    </row>
    <row r="55" spans="1:4">
      <c r="A55" s="7" t="s">
        <v>80</v>
      </c>
      <c r="B55" s="8">
        <v>34486.800000000003</v>
      </c>
      <c r="C55" s="8">
        <v>27001.97</v>
      </c>
      <c r="D55" s="8">
        <v>127.72</v>
      </c>
    </row>
    <row r="56" spans="1:4">
      <c r="A56" s="7" t="s">
        <v>81</v>
      </c>
      <c r="B56" s="8">
        <v>36579.89</v>
      </c>
      <c r="C56" s="8">
        <v>30401.97</v>
      </c>
      <c r="D56" s="8">
        <v>120.32</v>
      </c>
    </row>
    <row r="57" spans="1:4">
      <c r="A57" s="7" t="s">
        <v>82</v>
      </c>
      <c r="B57" s="8">
        <v>36397.72</v>
      </c>
      <c r="C57" s="8">
        <v>29301.97</v>
      </c>
      <c r="D57" s="8">
        <v>124.22</v>
      </c>
    </row>
    <row r="58" spans="1:4">
      <c r="A58" s="7" t="s">
        <v>83</v>
      </c>
      <c r="B58" s="8">
        <v>33950.160000000003</v>
      </c>
      <c r="C58" s="8">
        <v>29601.97</v>
      </c>
      <c r="D58" s="8">
        <v>114.69</v>
      </c>
    </row>
    <row r="59" spans="1:4">
      <c r="A59" s="7" t="s">
        <v>84</v>
      </c>
      <c r="B59" s="8">
        <v>34463.56</v>
      </c>
      <c r="C59" s="8">
        <v>28801.97</v>
      </c>
      <c r="D59" s="8">
        <v>119.66</v>
      </c>
    </row>
    <row r="60" spans="1:4">
      <c r="A60" s="7" t="s">
        <v>655</v>
      </c>
      <c r="B60" s="8">
        <v>28232.1</v>
      </c>
      <c r="C60" s="8">
        <v>22598.799999999999</v>
      </c>
      <c r="D60" s="8">
        <v>124.93</v>
      </c>
    </row>
    <row r="61" spans="1:4">
      <c r="A61" s="7" t="s">
        <v>656</v>
      </c>
      <c r="B61" s="8">
        <v>21057.85</v>
      </c>
      <c r="C61" s="8">
        <v>21598.799999999999</v>
      </c>
      <c r="D61" s="8">
        <v>97.5</v>
      </c>
    </row>
    <row r="62" spans="1:4">
      <c r="A62" s="7" t="s">
        <v>657</v>
      </c>
      <c r="B62" s="8">
        <v>21326.71</v>
      </c>
      <c r="C62" s="8">
        <v>21698.799999999999</v>
      </c>
      <c r="D62" s="8">
        <v>98.29</v>
      </c>
    </row>
    <row r="63" spans="1:4">
      <c r="A63" s="7" t="s">
        <v>85</v>
      </c>
      <c r="B63" s="8">
        <v>24866.39</v>
      </c>
      <c r="C63" s="8">
        <v>20362.14</v>
      </c>
      <c r="D63" s="8">
        <v>122.12</v>
      </c>
    </row>
    <row r="64" spans="1:4">
      <c r="A64" s="7" t="s">
        <v>86</v>
      </c>
      <c r="B64" s="8">
        <v>21067.25</v>
      </c>
      <c r="C64" s="8">
        <v>19561.87</v>
      </c>
      <c r="D64" s="8">
        <v>107.7</v>
      </c>
    </row>
    <row r="65" spans="1:4">
      <c r="A65" s="7" t="s">
        <v>87</v>
      </c>
      <c r="B65" s="8">
        <v>19295.12</v>
      </c>
      <c r="C65" s="8">
        <v>20101.91</v>
      </c>
      <c r="D65" s="8">
        <v>95.99</v>
      </c>
    </row>
    <row r="66" spans="1:4">
      <c r="A66" s="7" t="s">
        <v>88</v>
      </c>
      <c r="B66" s="8">
        <v>23535.16</v>
      </c>
      <c r="C66" s="8">
        <v>19651.91</v>
      </c>
      <c r="D66" s="8">
        <v>119.76</v>
      </c>
    </row>
    <row r="67" spans="1:4">
      <c r="A67" s="7" t="s">
        <v>658</v>
      </c>
      <c r="B67" s="8">
        <v>25582.62</v>
      </c>
      <c r="C67" s="8">
        <v>20501.91</v>
      </c>
      <c r="D67" s="8">
        <v>124.78</v>
      </c>
    </row>
    <row r="68" spans="1:4">
      <c r="A68" s="7" t="s">
        <v>89</v>
      </c>
      <c r="B68" s="8">
        <v>20448.5</v>
      </c>
      <c r="C68" s="8">
        <v>21652.18</v>
      </c>
      <c r="D68" s="8">
        <v>94.44</v>
      </c>
    </row>
    <row r="69" spans="1:4">
      <c r="A69" s="7" t="s">
        <v>659</v>
      </c>
      <c r="B69" s="8">
        <v>23477.22</v>
      </c>
      <c r="C69" s="8">
        <v>21202.18</v>
      </c>
      <c r="D69" s="8">
        <v>110.73</v>
      </c>
    </row>
    <row r="70" spans="1:4">
      <c r="A70" s="7" t="s">
        <v>660</v>
      </c>
      <c r="B70" s="8">
        <v>22950.06</v>
      </c>
      <c r="C70" s="8">
        <v>20702.18</v>
      </c>
      <c r="D70" s="8">
        <v>110.86</v>
      </c>
    </row>
    <row r="71" spans="1:4">
      <c r="A71" s="7" t="s">
        <v>661</v>
      </c>
      <c r="B71" s="8">
        <v>34365.449999999997</v>
      </c>
      <c r="C71" s="8">
        <v>27875.19</v>
      </c>
      <c r="D71" s="8">
        <v>123.28</v>
      </c>
    </row>
    <row r="72" spans="1:4">
      <c r="A72" s="7" t="s">
        <v>662</v>
      </c>
      <c r="B72" s="8">
        <v>33497.019999999997</v>
      </c>
      <c r="C72" s="8">
        <v>26675.19</v>
      </c>
      <c r="D72" s="8">
        <v>125.57</v>
      </c>
    </row>
    <row r="73" spans="1:4">
      <c r="A73" s="7" t="s">
        <v>663</v>
      </c>
      <c r="B73" s="8">
        <v>34489.81</v>
      </c>
      <c r="C73" s="8">
        <v>26575.19</v>
      </c>
      <c r="D73" s="8">
        <v>129.78</v>
      </c>
    </row>
    <row r="74" spans="1:4">
      <c r="A74" s="7" t="s">
        <v>664</v>
      </c>
      <c r="B74" s="8">
        <v>38097.07</v>
      </c>
      <c r="C74" s="8">
        <v>26475.19</v>
      </c>
      <c r="D74" s="8">
        <v>143.9</v>
      </c>
    </row>
    <row r="75" spans="1:4">
      <c r="A75" s="7" t="s">
        <v>665</v>
      </c>
      <c r="B75" s="8">
        <v>34185.49</v>
      </c>
      <c r="C75" s="8">
        <v>25275.19</v>
      </c>
      <c r="D75" s="8">
        <v>135.25</v>
      </c>
    </row>
    <row r="76" spans="1:4">
      <c r="A76" s="7" t="s">
        <v>90</v>
      </c>
      <c r="B76" s="8">
        <v>45432.71</v>
      </c>
      <c r="C76" s="8">
        <v>25401.97</v>
      </c>
      <c r="D76" s="8">
        <v>178.86</v>
      </c>
    </row>
    <row r="77" spans="1:4">
      <c r="A77" s="7" t="s">
        <v>91</v>
      </c>
      <c r="B77" s="8">
        <v>26742.6</v>
      </c>
      <c r="C77" s="8">
        <v>23801.97</v>
      </c>
      <c r="D77" s="8">
        <v>112.35</v>
      </c>
    </row>
    <row r="78" spans="1:4">
      <c r="A78" s="7" t="s">
        <v>666</v>
      </c>
      <c r="B78" s="8">
        <v>42325</v>
      </c>
      <c r="C78" s="8">
        <v>27101.97</v>
      </c>
      <c r="D78" s="8">
        <v>156.16999999999999</v>
      </c>
    </row>
    <row r="79" spans="1:4">
      <c r="A79" s="7" t="s">
        <v>92</v>
      </c>
      <c r="B79" s="8">
        <v>47547.44</v>
      </c>
      <c r="C79" s="8">
        <v>27401.97</v>
      </c>
      <c r="D79" s="8">
        <v>173.52</v>
      </c>
    </row>
    <row r="80" spans="1:4">
      <c r="A80" s="7" t="s">
        <v>93</v>
      </c>
      <c r="B80" s="8">
        <v>44298.89</v>
      </c>
      <c r="C80" s="8">
        <v>28401.97</v>
      </c>
      <c r="D80" s="8">
        <v>155.97</v>
      </c>
    </row>
    <row r="81" spans="1:4">
      <c r="A81" s="7" t="s">
        <v>94</v>
      </c>
      <c r="B81" s="8">
        <v>46310.65</v>
      </c>
      <c r="C81" s="8">
        <v>27601.97</v>
      </c>
      <c r="D81" s="8">
        <v>167.78</v>
      </c>
    </row>
    <row r="82" spans="1:4">
      <c r="A82" s="7" t="s">
        <v>95</v>
      </c>
      <c r="B82" s="8">
        <v>23262.53</v>
      </c>
      <c r="C82" s="8">
        <v>23801.97</v>
      </c>
      <c r="D82" s="8">
        <v>97.73</v>
      </c>
    </row>
    <row r="83" spans="1:4">
      <c r="A83" s="7" t="s">
        <v>96</v>
      </c>
      <c r="B83" s="8">
        <v>47451.66</v>
      </c>
      <c r="C83" s="8">
        <v>29201.97</v>
      </c>
      <c r="D83" s="8">
        <v>162.49</v>
      </c>
    </row>
    <row r="84" spans="1:4">
      <c r="A84" s="7" t="s">
        <v>97</v>
      </c>
      <c r="B84" s="8">
        <v>40031.480000000003</v>
      </c>
      <c r="C84" s="8">
        <v>29901.97</v>
      </c>
      <c r="D84" s="8">
        <v>133.88</v>
      </c>
    </row>
    <row r="85" spans="1:4">
      <c r="A85" s="7" t="s">
        <v>98</v>
      </c>
      <c r="B85" s="8">
        <v>47123.05</v>
      </c>
      <c r="C85" s="8">
        <v>25401.97</v>
      </c>
      <c r="D85" s="8">
        <v>185.51</v>
      </c>
    </row>
    <row r="86" spans="1:4">
      <c r="A86" s="7" t="s">
        <v>99</v>
      </c>
      <c r="B86" s="8">
        <v>36839.129999999997</v>
      </c>
      <c r="C86" s="8">
        <v>28216.91</v>
      </c>
      <c r="D86" s="8">
        <v>130.56</v>
      </c>
    </row>
    <row r="87" spans="1:4">
      <c r="A87" s="7" t="s">
        <v>100</v>
      </c>
      <c r="B87" s="8">
        <v>26837.040000000001</v>
      </c>
      <c r="C87" s="8">
        <v>24201.97</v>
      </c>
      <c r="D87" s="8">
        <v>110.89</v>
      </c>
    </row>
    <row r="88" spans="1:4">
      <c r="A88" s="7" t="s">
        <v>2663</v>
      </c>
      <c r="B88" s="8">
        <v>37327.83</v>
      </c>
      <c r="C88" s="8">
        <v>28216.91</v>
      </c>
      <c r="D88" s="8">
        <v>132.29</v>
      </c>
    </row>
    <row r="89" spans="1:4">
      <c r="A89" s="7" t="s">
        <v>101</v>
      </c>
      <c r="B89" s="8">
        <v>26705.29</v>
      </c>
      <c r="C89" s="8">
        <v>22801.97</v>
      </c>
      <c r="D89" s="8">
        <v>117.12</v>
      </c>
    </row>
    <row r="90" spans="1:4">
      <c r="A90" s="7" t="s">
        <v>102</v>
      </c>
      <c r="B90" s="8">
        <v>47747.4</v>
      </c>
      <c r="C90" s="8">
        <v>27601.97</v>
      </c>
      <c r="D90" s="8">
        <v>172.99</v>
      </c>
    </row>
    <row r="91" spans="1:4">
      <c r="A91" s="7" t="s">
        <v>103</v>
      </c>
      <c r="B91" s="8">
        <v>44046.55</v>
      </c>
      <c r="C91" s="8">
        <v>24416.91</v>
      </c>
      <c r="D91" s="8">
        <v>180.39</v>
      </c>
    </row>
    <row r="92" spans="1:4">
      <c r="A92" s="7" t="s">
        <v>104</v>
      </c>
      <c r="B92" s="8">
        <v>40276.370000000003</v>
      </c>
      <c r="C92" s="8">
        <v>28116.91</v>
      </c>
      <c r="D92" s="8">
        <v>143.25</v>
      </c>
    </row>
    <row r="93" spans="1:4">
      <c r="A93" s="7" t="s">
        <v>105</v>
      </c>
      <c r="B93" s="8">
        <v>41505.67</v>
      </c>
      <c r="C93" s="8">
        <v>28216.91</v>
      </c>
      <c r="D93" s="8">
        <v>147.1</v>
      </c>
    </row>
    <row r="94" spans="1:4">
      <c r="A94" s="7" t="s">
        <v>106</v>
      </c>
      <c r="B94" s="8">
        <v>45693.59</v>
      </c>
      <c r="C94" s="8">
        <v>26001.97</v>
      </c>
      <c r="D94" s="8">
        <v>175.73</v>
      </c>
    </row>
    <row r="95" spans="1:4">
      <c r="A95" s="7" t="s">
        <v>107</v>
      </c>
      <c r="B95" s="8">
        <v>25569.22</v>
      </c>
      <c r="C95" s="8">
        <v>22901.97</v>
      </c>
      <c r="D95" s="8">
        <v>111.65</v>
      </c>
    </row>
    <row r="96" spans="1:4">
      <c r="A96" s="7" t="s">
        <v>667</v>
      </c>
      <c r="B96" s="8">
        <v>37952.449999999997</v>
      </c>
      <c r="C96" s="8">
        <v>28016.91</v>
      </c>
      <c r="D96" s="8">
        <v>135.46</v>
      </c>
    </row>
    <row r="97" spans="1:4">
      <c r="A97" s="7" t="s">
        <v>668</v>
      </c>
      <c r="B97" s="8">
        <v>31330.07</v>
      </c>
      <c r="C97" s="8">
        <v>23575.19</v>
      </c>
      <c r="D97" s="8">
        <v>132.88999999999999</v>
      </c>
    </row>
    <row r="98" spans="1:4">
      <c r="A98" s="7" t="s">
        <v>669</v>
      </c>
      <c r="B98" s="8">
        <v>36456.26</v>
      </c>
      <c r="C98" s="8">
        <v>30416.91</v>
      </c>
      <c r="D98" s="8">
        <v>119.86</v>
      </c>
    </row>
    <row r="99" spans="1:4">
      <c r="A99" s="7" t="s">
        <v>108</v>
      </c>
      <c r="B99" s="8">
        <v>49914.9</v>
      </c>
      <c r="C99" s="8">
        <v>25201.97</v>
      </c>
      <c r="D99" s="8">
        <v>198.06</v>
      </c>
    </row>
    <row r="100" spans="1:4">
      <c r="A100" s="7" t="s">
        <v>109</v>
      </c>
      <c r="B100" s="8">
        <v>35980.31</v>
      </c>
      <c r="C100" s="8">
        <v>25201.97</v>
      </c>
      <c r="D100" s="8">
        <v>142.77000000000001</v>
      </c>
    </row>
    <row r="101" spans="1:4">
      <c r="A101" s="7" t="s">
        <v>110</v>
      </c>
      <c r="B101" s="8">
        <v>31141.83</v>
      </c>
      <c r="C101" s="8">
        <v>29316.91</v>
      </c>
      <c r="D101" s="8">
        <v>106.22</v>
      </c>
    </row>
    <row r="102" spans="1:4">
      <c r="A102" s="7" t="s">
        <v>111</v>
      </c>
      <c r="B102" s="8">
        <v>27054.04</v>
      </c>
      <c r="C102" s="8">
        <v>24175.19</v>
      </c>
      <c r="D102" s="8">
        <v>111.91</v>
      </c>
    </row>
    <row r="103" spans="1:4">
      <c r="A103" s="7" t="s">
        <v>112</v>
      </c>
      <c r="B103" s="8">
        <v>38689.21</v>
      </c>
      <c r="C103" s="8">
        <v>30516.91</v>
      </c>
      <c r="D103" s="8">
        <v>126.78</v>
      </c>
    </row>
    <row r="104" spans="1:4">
      <c r="A104" s="7" t="s">
        <v>113</v>
      </c>
      <c r="B104" s="8">
        <v>33684.67</v>
      </c>
      <c r="C104" s="8">
        <v>26416.91</v>
      </c>
      <c r="D104" s="8">
        <v>127.51</v>
      </c>
    </row>
    <row r="105" spans="1:4">
      <c r="A105" s="7" t="s">
        <v>114</v>
      </c>
      <c r="B105" s="8">
        <v>33550.43</v>
      </c>
      <c r="C105" s="8">
        <v>24875.19</v>
      </c>
      <c r="D105" s="8">
        <v>134.88</v>
      </c>
    </row>
    <row r="106" spans="1:4">
      <c r="A106" s="7" t="s">
        <v>115</v>
      </c>
      <c r="B106" s="8">
        <v>43326.34</v>
      </c>
      <c r="C106" s="8">
        <v>25216.91</v>
      </c>
      <c r="D106" s="8">
        <v>171.81</v>
      </c>
    </row>
    <row r="107" spans="1:4">
      <c r="A107" s="7" t="s">
        <v>116</v>
      </c>
      <c r="B107" s="8">
        <v>41241.14</v>
      </c>
      <c r="C107" s="8">
        <v>27416.91</v>
      </c>
      <c r="D107" s="8">
        <v>150.41999999999999</v>
      </c>
    </row>
    <row r="108" spans="1:4">
      <c r="A108" s="7" t="s">
        <v>2664</v>
      </c>
      <c r="B108" s="8">
        <v>23141.599999999999</v>
      </c>
      <c r="C108" s="8">
        <v>22601.97</v>
      </c>
      <c r="D108" s="8">
        <v>102.39</v>
      </c>
    </row>
    <row r="109" spans="1:4">
      <c r="A109" s="7" t="s">
        <v>2665</v>
      </c>
      <c r="B109" s="8">
        <v>41637.620000000003</v>
      </c>
      <c r="C109" s="8">
        <v>25016.91</v>
      </c>
      <c r="D109" s="8">
        <v>166.44</v>
      </c>
    </row>
    <row r="110" spans="1:4">
      <c r="A110" s="7" t="s">
        <v>670</v>
      </c>
      <c r="B110" s="8">
        <v>40327.379999999997</v>
      </c>
      <c r="C110" s="8">
        <v>26901.97</v>
      </c>
      <c r="D110" s="8">
        <v>149.9</v>
      </c>
    </row>
    <row r="111" spans="1:4">
      <c r="A111" s="7" t="s">
        <v>117</v>
      </c>
      <c r="B111" s="8">
        <v>35198.26</v>
      </c>
      <c r="C111" s="8">
        <v>25016.91</v>
      </c>
      <c r="D111" s="8">
        <v>140.69999999999999</v>
      </c>
    </row>
    <row r="112" spans="1:4">
      <c r="A112" s="7" t="s">
        <v>671</v>
      </c>
      <c r="B112" s="8">
        <v>35400.61</v>
      </c>
      <c r="C112" s="8">
        <v>26916.91</v>
      </c>
      <c r="D112" s="8">
        <v>131.52000000000001</v>
      </c>
    </row>
    <row r="113" spans="1:4">
      <c r="A113" s="7" t="s">
        <v>118</v>
      </c>
      <c r="B113" s="8">
        <v>35442.949999999997</v>
      </c>
      <c r="C113" s="8">
        <v>30016.91</v>
      </c>
      <c r="D113" s="8">
        <v>118.08</v>
      </c>
    </row>
    <row r="114" spans="1:4">
      <c r="A114" s="7" t="s">
        <v>672</v>
      </c>
      <c r="B114" s="8">
        <v>36688.620000000003</v>
      </c>
      <c r="C114" s="8">
        <v>29016.91</v>
      </c>
      <c r="D114" s="8">
        <v>126.44</v>
      </c>
    </row>
    <row r="115" spans="1:4">
      <c r="A115" s="7" t="s">
        <v>673</v>
      </c>
      <c r="B115" s="8">
        <v>38799.339999999997</v>
      </c>
      <c r="C115" s="8">
        <v>28501.97</v>
      </c>
      <c r="D115" s="8">
        <v>136.13</v>
      </c>
    </row>
    <row r="116" spans="1:4">
      <c r="A116" s="7" t="s">
        <v>119</v>
      </c>
      <c r="B116" s="8">
        <v>34544.46</v>
      </c>
      <c r="C116" s="8">
        <v>26401.97</v>
      </c>
      <c r="D116" s="8">
        <v>130.84</v>
      </c>
    </row>
    <row r="117" spans="1:4">
      <c r="A117" s="7" t="s">
        <v>674</v>
      </c>
      <c r="B117" s="8">
        <v>40909.440000000002</v>
      </c>
      <c r="C117" s="8">
        <v>29901.97</v>
      </c>
      <c r="D117" s="8">
        <v>136.81</v>
      </c>
    </row>
    <row r="118" spans="1:4">
      <c r="A118" s="7" t="s">
        <v>675</v>
      </c>
      <c r="B118" s="8">
        <v>23772.77</v>
      </c>
      <c r="C118" s="8">
        <v>24701.97</v>
      </c>
      <c r="D118" s="8">
        <v>96.24</v>
      </c>
    </row>
    <row r="119" spans="1:4">
      <c r="A119" s="7" t="s">
        <v>676</v>
      </c>
      <c r="B119" s="8">
        <v>26091.97</v>
      </c>
      <c r="C119" s="8">
        <v>24801.97</v>
      </c>
      <c r="D119" s="8">
        <v>105.2</v>
      </c>
    </row>
    <row r="120" spans="1:4">
      <c r="A120" s="7" t="s">
        <v>677</v>
      </c>
      <c r="B120" s="8">
        <v>34746.379999999997</v>
      </c>
      <c r="C120" s="8">
        <v>25901.97</v>
      </c>
      <c r="D120" s="8">
        <v>134.15</v>
      </c>
    </row>
    <row r="121" spans="1:4">
      <c r="A121" s="7" t="s">
        <v>120</v>
      </c>
      <c r="B121" s="8">
        <v>25129.64</v>
      </c>
      <c r="C121" s="8">
        <v>22221.06</v>
      </c>
      <c r="D121" s="8">
        <v>113.09</v>
      </c>
    </row>
    <row r="122" spans="1:4">
      <c r="A122" s="7" t="s">
        <v>121</v>
      </c>
      <c r="B122" s="8">
        <v>33253.61</v>
      </c>
      <c r="C122" s="8">
        <v>27601.97</v>
      </c>
      <c r="D122" s="8">
        <v>120.48</v>
      </c>
    </row>
    <row r="123" spans="1:4">
      <c r="A123" s="7" t="s">
        <v>122</v>
      </c>
      <c r="B123" s="8">
        <v>34347.64</v>
      </c>
      <c r="C123" s="8">
        <v>31001.97</v>
      </c>
      <c r="D123" s="8">
        <v>110.79</v>
      </c>
    </row>
    <row r="124" spans="1:4">
      <c r="A124" s="7" t="s">
        <v>123</v>
      </c>
      <c r="B124" s="8">
        <v>34658.14</v>
      </c>
      <c r="C124" s="8">
        <v>29901.97</v>
      </c>
      <c r="D124" s="8">
        <v>115.91</v>
      </c>
    </row>
    <row r="125" spans="1:4">
      <c r="A125" s="7" t="s">
        <v>124</v>
      </c>
      <c r="B125" s="8">
        <v>34746.410000000003</v>
      </c>
      <c r="C125" s="8">
        <v>30201.97</v>
      </c>
      <c r="D125" s="8">
        <v>115.05</v>
      </c>
    </row>
    <row r="126" spans="1:4">
      <c r="A126" s="7" t="s">
        <v>125</v>
      </c>
      <c r="B126" s="8">
        <v>41299.42</v>
      </c>
      <c r="C126" s="8">
        <v>29401.97</v>
      </c>
      <c r="D126" s="8">
        <v>140.46</v>
      </c>
    </row>
    <row r="127" spans="1:4">
      <c r="A127" s="7" t="s">
        <v>678</v>
      </c>
      <c r="B127" s="8">
        <v>25358.25</v>
      </c>
      <c r="C127" s="8">
        <v>22498.799999999999</v>
      </c>
      <c r="D127" s="8">
        <v>112.71</v>
      </c>
    </row>
    <row r="128" spans="1:4">
      <c r="A128" s="7" t="s">
        <v>679</v>
      </c>
      <c r="B128" s="8">
        <v>23664.83</v>
      </c>
      <c r="C128" s="8">
        <v>21498.799999999999</v>
      </c>
      <c r="D128" s="8">
        <v>110.08</v>
      </c>
    </row>
    <row r="129" spans="1:4">
      <c r="A129" s="7" t="s">
        <v>680</v>
      </c>
      <c r="B129" s="8">
        <v>24421.599999999999</v>
      </c>
      <c r="C129" s="8">
        <v>21598.799999999999</v>
      </c>
      <c r="D129" s="8">
        <v>113.07</v>
      </c>
    </row>
    <row r="130" spans="1:4">
      <c r="A130" s="7" t="s">
        <v>126</v>
      </c>
      <c r="B130" s="8">
        <v>20757.43</v>
      </c>
      <c r="C130" s="8">
        <v>20362.14</v>
      </c>
      <c r="D130" s="8">
        <v>101.94</v>
      </c>
    </row>
    <row r="131" spans="1:4">
      <c r="A131" s="7" t="s">
        <v>127</v>
      </c>
      <c r="B131" s="8">
        <v>20793.259999999998</v>
      </c>
      <c r="C131" s="8">
        <v>19561.87</v>
      </c>
      <c r="D131" s="8">
        <v>106.29</v>
      </c>
    </row>
    <row r="132" spans="1:4">
      <c r="A132" s="7" t="s">
        <v>128</v>
      </c>
      <c r="B132" s="8">
        <v>20662.98</v>
      </c>
      <c r="C132" s="8">
        <v>20101.93</v>
      </c>
      <c r="D132" s="8">
        <v>102.79</v>
      </c>
    </row>
    <row r="133" spans="1:4">
      <c r="A133" s="7" t="s">
        <v>129</v>
      </c>
      <c r="B133" s="8">
        <v>25420.67</v>
      </c>
      <c r="C133" s="8">
        <v>19651.93</v>
      </c>
      <c r="D133" s="8">
        <v>129.35</v>
      </c>
    </row>
    <row r="134" spans="1:4">
      <c r="A134" s="7" t="s">
        <v>2666</v>
      </c>
      <c r="B134" s="8">
        <v>21698.03</v>
      </c>
      <c r="C134" s="8">
        <v>20501.93</v>
      </c>
      <c r="D134" s="8">
        <v>105.83</v>
      </c>
    </row>
    <row r="135" spans="1:4">
      <c r="A135" s="7" t="s">
        <v>2667</v>
      </c>
      <c r="B135" s="8">
        <v>24380.75</v>
      </c>
      <c r="C135" s="8">
        <v>21652.2</v>
      </c>
      <c r="D135" s="8">
        <v>112.6</v>
      </c>
    </row>
    <row r="136" spans="1:4">
      <c r="A136" s="7" t="s">
        <v>2668</v>
      </c>
      <c r="B136" s="8">
        <v>23203.8</v>
      </c>
      <c r="C136" s="8">
        <v>21202.2</v>
      </c>
      <c r="D136" s="8">
        <v>109.44</v>
      </c>
    </row>
    <row r="137" spans="1:4">
      <c r="A137" s="7" t="s">
        <v>2669</v>
      </c>
      <c r="B137" s="8">
        <v>21949.93</v>
      </c>
      <c r="C137" s="8">
        <v>20702.2</v>
      </c>
      <c r="D137" s="8">
        <v>106.03</v>
      </c>
    </row>
    <row r="138" spans="1:4">
      <c r="A138" s="7" t="s">
        <v>2670</v>
      </c>
      <c r="B138" s="8">
        <v>30303.66</v>
      </c>
      <c r="C138" s="8">
        <v>25275.19</v>
      </c>
      <c r="D138" s="8">
        <v>119.89</v>
      </c>
    </row>
    <row r="139" spans="1:4">
      <c r="A139" s="7" t="s">
        <v>2671</v>
      </c>
      <c r="B139" s="8">
        <v>41480.39</v>
      </c>
      <c r="C139" s="8">
        <v>26075.19</v>
      </c>
      <c r="D139" s="8">
        <v>159.08000000000001</v>
      </c>
    </row>
    <row r="140" spans="1:4">
      <c r="A140" s="7" t="s">
        <v>2672</v>
      </c>
      <c r="B140" s="8">
        <v>42367.59</v>
      </c>
      <c r="C140" s="8">
        <v>27975.19</v>
      </c>
      <c r="D140" s="8">
        <v>151.44999999999999</v>
      </c>
    </row>
    <row r="141" spans="1:4">
      <c r="A141" s="7" t="s">
        <v>2673</v>
      </c>
      <c r="B141" s="8">
        <v>43871.51</v>
      </c>
      <c r="C141" s="8">
        <v>29875.19</v>
      </c>
      <c r="D141" s="8">
        <v>146.85</v>
      </c>
    </row>
    <row r="142" spans="1:4">
      <c r="A142" s="7" t="s">
        <v>2674</v>
      </c>
      <c r="B142" s="8">
        <v>42560.09</v>
      </c>
      <c r="C142" s="8">
        <v>30675.19</v>
      </c>
      <c r="D142" s="8">
        <v>138.74</v>
      </c>
    </row>
    <row r="143" spans="1:4">
      <c r="A143" s="7" t="s">
        <v>130</v>
      </c>
      <c r="B143" s="8">
        <v>300</v>
      </c>
      <c r="C143" s="8">
        <v>300</v>
      </c>
      <c r="D143" s="8">
        <v>100</v>
      </c>
    </row>
    <row r="144" spans="1:4">
      <c r="A144" s="7" t="s">
        <v>131</v>
      </c>
      <c r="B144" s="8">
        <v>300</v>
      </c>
      <c r="C144" s="8">
        <v>300</v>
      </c>
      <c r="D144" s="8">
        <v>100</v>
      </c>
    </row>
    <row r="145" spans="1:4">
      <c r="A145" s="7" t="s">
        <v>26</v>
      </c>
      <c r="B145" s="8">
        <v>31238.080000000002</v>
      </c>
      <c r="C145" s="8">
        <v>23805.11</v>
      </c>
      <c r="D145" s="8">
        <v>131.22</v>
      </c>
    </row>
    <row r="146" spans="1:4">
      <c r="A146" s="7" t="s">
        <v>30</v>
      </c>
      <c r="B146" s="8">
        <v>33057.480000000003</v>
      </c>
      <c r="C146" s="8">
        <v>23905.11</v>
      </c>
      <c r="D146" s="8">
        <v>138.29</v>
      </c>
    </row>
    <row r="147" spans="1:4">
      <c r="A147" s="7" t="s">
        <v>34</v>
      </c>
      <c r="B147" s="8">
        <v>31195.81</v>
      </c>
      <c r="C147" s="8">
        <v>24405.11</v>
      </c>
      <c r="D147" s="8">
        <v>127.82</v>
      </c>
    </row>
    <row r="148" spans="1:4">
      <c r="A148" s="7" t="s">
        <v>38</v>
      </c>
      <c r="B148" s="8">
        <v>30901.88</v>
      </c>
      <c r="C148" s="8">
        <v>21457.35</v>
      </c>
      <c r="D148" s="8">
        <v>144.02000000000001</v>
      </c>
    </row>
    <row r="149" spans="1:4">
      <c r="A149" s="7" t="s">
        <v>42</v>
      </c>
      <c r="B149" s="8">
        <v>31075.77</v>
      </c>
      <c r="C149" s="8">
        <v>21207.35</v>
      </c>
      <c r="D149" s="8">
        <v>146.53</v>
      </c>
    </row>
    <row r="150" spans="1:4">
      <c r="A150" s="7" t="s">
        <v>46</v>
      </c>
      <c r="B150" s="8">
        <v>34545.46</v>
      </c>
      <c r="C150" s="8">
        <v>19957.349999999999</v>
      </c>
      <c r="D150" s="8">
        <v>173.1</v>
      </c>
    </row>
    <row r="151" spans="1:4">
      <c r="A151" s="7" t="s">
        <v>2430</v>
      </c>
      <c r="B151" s="8">
        <v>32931.26</v>
      </c>
      <c r="C151" s="8">
        <v>21007.439999999999</v>
      </c>
      <c r="D151" s="8">
        <v>156.76</v>
      </c>
    </row>
    <row r="152" spans="1:4">
      <c r="A152" s="7" t="s">
        <v>2431</v>
      </c>
      <c r="B152" s="8">
        <v>29601.91</v>
      </c>
      <c r="C152" s="8">
        <v>20757.439999999999</v>
      </c>
      <c r="D152" s="8">
        <v>142.61000000000001</v>
      </c>
    </row>
    <row r="153" spans="1:4">
      <c r="A153" s="7" t="s">
        <v>25</v>
      </c>
      <c r="B153" s="8">
        <v>30389.279999999999</v>
      </c>
      <c r="C153" s="8">
        <v>14990.15</v>
      </c>
      <c r="D153" s="8">
        <v>202.73</v>
      </c>
    </row>
    <row r="154" spans="1:4">
      <c r="A154" s="7" t="s">
        <v>29</v>
      </c>
      <c r="B154" s="8">
        <v>29286.34</v>
      </c>
      <c r="C154" s="8">
        <v>15090.15</v>
      </c>
      <c r="D154" s="8">
        <v>194.08</v>
      </c>
    </row>
    <row r="155" spans="1:4">
      <c r="A155" s="7" t="s">
        <v>33</v>
      </c>
      <c r="B155" s="8">
        <v>28393.4</v>
      </c>
      <c r="C155" s="8">
        <v>15590.15</v>
      </c>
      <c r="D155" s="8">
        <v>182.12</v>
      </c>
    </row>
    <row r="156" spans="1:4">
      <c r="A156" s="7" t="s">
        <v>37</v>
      </c>
      <c r="B156" s="8">
        <v>36329.89</v>
      </c>
      <c r="C156" s="8">
        <v>16665.52</v>
      </c>
      <c r="D156" s="8">
        <v>217.99</v>
      </c>
    </row>
    <row r="157" spans="1:4">
      <c r="A157" s="7" t="s">
        <v>41</v>
      </c>
      <c r="B157" s="8">
        <v>36858.85</v>
      </c>
      <c r="C157" s="8">
        <v>15215.52</v>
      </c>
      <c r="D157" s="8">
        <v>242.25</v>
      </c>
    </row>
    <row r="158" spans="1:4">
      <c r="A158" s="7" t="s">
        <v>45</v>
      </c>
      <c r="B158" s="8">
        <v>37075.660000000003</v>
      </c>
      <c r="C158" s="8">
        <v>14965.52</v>
      </c>
      <c r="D158" s="8">
        <v>247.74</v>
      </c>
    </row>
    <row r="159" spans="1:4">
      <c r="A159" s="7" t="s">
        <v>2428</v>
      </c>
      <c r="B159" s="8">
        <v>36787.279999999999</v>
      </c>
      <c r="C159" s="8">
        <v>15215.43</v>
      </c>
      <c r="D159" s="8">
        <v>241.78</v>
      </c>
    </row>
    <row r="160" spans="1:4">
      <c r="A160" s="7" t="s">
        <v>2429</v>
      </c>
      <c r="B160" s="8">
        <v>29602.04</v>
      </c>
      <c r="C160" s="8">
        <v>14965.43</v>
      </c>
      <c r="D160" s="8">
        <v>197.8</v>
      </c>
    </row>
    <row r="161" spans="1:4">
      <c r="A161" s="7" t="s">
        <v>24</v>
      </c>
      <c r="B161" s="8">
        <v>35315.49</v>
      </c>
      <c r="C161" s="8">
        <v>10961.01</v>
      </c>
      <c r="D161" s="8">
        <v>322.19</v>
      </c>
    </row>
    <row r="162" spans="1:4">
      <c r="A162" s="7" t="s">
        <v>28</v>
      </c>
      <c r="B162" s="8">
        <v>35643.78</v>
      </c>
      <c r="C162" s="8">
        <v>11061.01</v>
      </c>
      <c r="D162" s="8">
        <v>322.25</v>
      </c>
    </row>
    <row r="163" spans="1:4">
      <c r="A163" s="7" t="s">
        <v>32</v>
      </c>
      <c r="B163" s="8">
        <v>29568.3</v>
      </c>
      <c r="C163" s="8">
        <v>11561.01</v>
      </c>
      <c r="D163" s="8">
        <v>255.76</v>
      </c>
    </row>
    <row r="164" spans="1:4">
      <c r="A164" s="7" t="s">
        <v>36</v>
      </c>
      <c r="B164" s="8">
        <v>36567.22</v>
      </c>
      <c r="C164" s="8">
        <v>13103.31</v>
      </c>
      <c r="D164" s="8">
        <v>279.07</v>
      </c>
    </row>
    <row r="165" spans="1:4">
      <c r="A165" s="7" t="s">
        <v>40</v>
      </c>
      <c r="B165" s="8">
        <v>36403.06</v>
      </c>
      <c r="C165" s="8">
        <v>12853.31</v>
      </c>
      <c r="D165" s="8">
        <v>283.22000000000003</v>
      </c>
    </row>
    <row r="166" spans="1:4">
      <c r="A166" s="7" t="s">
        <v>44</v>
      </c>
      <c r="B166" s="8">
        <v>35713.550000000003</v>
      </c>
      <c r="C166" s="8">
        <v>12603.31</v>
      </c>
      <c r="D166" s="8">
        <v>283.37</v>
      </c>
    </row>
    <row r="167" spans="1:4">
      <c r="A167" s="7" t="s">
        <v>2426</v>
      </c>
      <c r="B167" s="8">
        <v>36121.120000000003</v>
      </c>
      <c r="C167" s="8">
        <v>12853.22</v>
      </c>
      <c r="D167" s="8">
        <v>281.02999999999997</v>
      </c>
    </row>
    <row r="168" spans="1:4">
      <c r="A168" s="7" t="s">
        <v>2427</v>
      </c>
      <c r="B168" s="8">
        <v>29601.88</v>
      </c>
      <c r="C168" s="8">
        <v>12603.22</v>
      </c>
      <c r="D168" s="8">
        <v>234.88</v>
      </c>
    </row>
    <row r="169" spans="1:4">
      <c r="A169" s="7" t="s">
        <v>23</v>
      </c>
      <c r="B169" s="8">
        <v>34815.99</v>
      </c>
      <c r="C169" s="8">
        <v>8434.25</v>
      </c>
      <c r="D169" s="8">
        <v>412.79</v>
      </c>
    </row>
    <row r="170" spans="1:4">
      <c r="A170" s="7" t="s">
        <v>27</v>
      </c>
      <c r="B170" s="8">
        <v>35056.75</v>
      </c>
      <c r="C170" s="8">
        <v>7534.25</v>
      </c>
      <c r="D170" s="8">
        <v>465.3</v>
      </c>
    </row>
    <row r="171" spans="1:4">
      <c r="A171" s="7" t="s">
        <v>31</v>
      </c>
      <c r="B171" s="8">
        <v>34136.639999999999</v>
      </c>
      <c r="C171" s="8">
        <v>7434.25</v>
      </c>
      <c r="D171" s="8">
        <v>459.18</v>
      </c>
    </row>
    <row r="172" spans="1:4">
      <c r="A172" s="7" t="s">
        <v>35</v>
      </c>
      <c r="B172" s="8">
        <v>31405.360000000001</v>
      </c>
      <c r="C172" s="8">
        <v>11804.82</v>
      </c>
      <c r="D172" s="8">
        <v>266.04000000000002</v>
      </c>
    </row>
    <row r="173" spans="1:4">
      <c r="A173" s="7" t="s">
        <v>39</v>
      </c>
      <c r="B173" s="8">
        <v>29823.23</v>
      </c>
      <c r="C173" s="8">
        <v>12454.82</v>
      </c>
      <c r="D173" s="8">
        <v>239.45</v>
      </c>
    </row>
    <row r="174" spans="1:4">
      <c r="A174" s="7" t="s">
        <v>43</v>
      </c>
      <c r="B174" s="8">
        <v>31441.25</v>
      </c>
      <c r="C174" s="8">
        <v>13104.82</v>
      </c>
      <c r="D174" s="8">
        <v>239.92</v>
      </c>
    </row>
    <row r="175" spans="1:4">
      <c r="A175" s="7" t="s">
        <v>2424</v>
      </c>
      <c r="B175" s="8">
        <v>31547.25</v>
      </c>
      <c r="C175" s="8">
        <v>11254.73</v>
      </c>
      <c r="D175" s="8">
        <v>280.3</v>
      </c>
    </row>
    <row r="176" spans="1:4">
      <c r="A176" s="7" t="s">
        <v>2425</v>
      </c>
      <c r="B176" s="8">
        <v>29602.23</v>
      </c>
      <c r="C176" s="8">
        <v>11904.73</v>
      </c>
      <c r="D176" s="8">
        <v>248.66</v>
      </c>
    </row>
    <row r="177" spans="1:4">
      <c r="A177" s="7" t="s">
        <v>2283</v>
      </c>
      <c r="B177" s="8">
        <v>28050.79</v>
      </c>
      <c r="C177" s="8">
        <v>8697.24</v>
      </c>
      <c r="D177" s="8">
        <v>322.52999999999997</v>
      </c>
    </row>
    <row r="178" spans="1:4">
      <c r="A178" s="7" t="s">
        <v>2284</v>
      </c>
      <c r="B178" s="8">
        <v>32876.839999999997</v>
      </c>
      <c r="C178" s="8">
        <v>8797.24</v>
      </c>
      <c r="D178" s="8">
        <v>373.72</v>
      </c>
    </row>
    <row r="179" spans="1:4">
      <c r="A179" s="7" t="s">
        <v>2285</v>
      </c>
      <c r="B179" s="8">
        <v>32903.21</v>
      </c>
      <c r="C179" s="8">
        <v>8697.24</v>
      </c>
      <c r="D179" s="8">
        <v>378.32</v>
      </c>
    </row>
    <row r="180" spans="1:4">
      <c r="A180" s="7" t="s">
        <v>2278</v>
      </c>
      <c r="B180" s="8">
        <v>36170.28</v>
      </c>
      <c r="C180" s="8">
        <v>11630.03</v>
      </c>
      <c r="D180" s="8">
        <v>311.01</v>
      </c>
    </row>
    <row r="181" spans="1:4">
      <c r="A181" s="7" t="s">
        <v>2279</v>
      </c>
      <c r="B181" s="8">
        <v>38259.89</v>
      </c>
      <c r="C181" s="8">
        <v>12280.03</v>
      </c>
      <c r="D181" s="8">
        <v>311.56</v>
      </c>
    </row>
    <row r="182" spans="1:4">
      <c r="A182" s="7" t="s">
        <v>2280</v>
      </c>
      <c r="B182" s="8">
        <v>38937.25</v>
      </c>
      <c r="C182" s="8">
        <v>11930.03</v>
      </c>
      <c r="D182" s="8">
        <v>326.38</v>
      </c>
    </row>
    <row r="183" spans="1:4">
      <c r="A183" s="7" t="s">
        <v>2281</v>
      </c>
      <c r="B183" s="8">
        <v>37545.99</v>
      </c>
      <c r="C183" s="8">
        <v>11279.94</v>
      </c>
      <c r="D183" s="8">
        <v>332.86</v>
      </c>
    </row>
    <row r="184" spans="1:4">
      <c r="A184" s="7" t="s">
        <v>2282</v>
      </c>
      <c r="B184" s="8">
        <v>29601.72</v>
      </c>
      <c r="C184" s="8">
        <v>11929.94</v>
      </c>
      <c r="D184" s="8">
        <v>248.13</v>
      </c>
    </row>
    <row r="185" spans="1:4">
      <c r="A185" s="7" t="s">
        <v>2405</v>
      </c>
      <c r="B185" s="8">
        <v>30158.3</v>
      </c>
      <c r="C185" s="8">
        <v>17253.14</v>
      </c>
      <c r="D185" s="8">
        <v>174.8</v>
      </c>
    </row>
    <row r="186" spans="1:4">
      <c r="A186" s="7" t="s">
        <v>2406</v>
      </c>
      <c r="B186" s="8">
        <v>32893.839999999997</v>
      </c>
      <c r="C186" s="8">
        <v>17353.14</v>
      </c>
      <c r="D186" s="8">
        <v>189.56</v>
      </c>
    </row>
    <row r="187" spans="1:4">
      <c r="A187" s="7" t="s">
        <v>2407</v>
      </c>
      <c r="B187" s="8">
        <v>29738.84</v>
      </c>
      <c r="C187" s="8">
        <v>17253.14</v>
      </c>
      <c r="D187" s="8">
        <v>172.37</v>
      </c>
    </row>
    <row r="188" spans="1:4">
      <c r="A188" s="7" t="s">
        <v>2400</v>
      </c>
      <c r="B188" s="8">
        <v>39401.019999999997</v>
      </c>
      <c r="C188" s="8">
        <v>16421.86</v>
      </c>
      <c r="D188" s="8">
        <v>239.93</v>
      </c>
    </row>
    <row r="189" spans="1:4">
      <c r="A189" s="7" t="s">
        <v>2401</v>
      </c>
      <c r="B189" s="8">
        <v>39882.61</v>
      </c>
      <c r="C189" s="8">
        <v>15871.86</v>
      </c>
      <c r="D189" s="8">
        <v>251.28</v>
      </c>
    </row>
    <row r="190" spans="1:4">
      <c r="A190" s="7" t="s">
        <v>2402</v>
      </c>
      <c r="B190" s="8">
        <v>39927.83</v>
      </c>
      <c r="C190" s="8">
        <v>16521.86</v>
      </c>
      <c r="D190" s="8">
        <v>241.67</v>
      </c>
    </row>
    <row r="191" spans="1:4">
      <c r="A191" s="7" t="s">
        <v>2403</v>
      </c>
      <c r="B191" s="8">
        <v>39547.589999999997</v>
      </c>
      <c r="C191" s="8">
        <v>16671.95</v>
      </c>
      <c r="D191" s="8">
        <v>237.21</v>
      </c>
    </row>
    <row r="192" spans="1:4">
      <c r="A192" s="7" t="s">
        <v>2404</v>
      </c>
      <c r="B192" s="8">
        <v>29601.51</v>
      </c>
      <c r="C192" s="8">
        <v>17321.95</v>
      </c>
      <c r="D192" s="8">
        <v>170.89</v>
      </c>
    </row>
    <row r="193" spans="1:4">
      <c r="A193" s="7" t="s">
        <v>2413</v>
      </c>
      <c r="B193" s="8">
        <v>27733.51</v>
      </c>
      <c r="C193" s="8">
        <v>20853.14</v>
      </c>
      <c r="D193" s="8">
        <v>132.99</v>
      </c>
    </row>
    <row r="194" spans="1:4">
      <c r="A194" s="7" t="s">
        <v>2414</v>
      </c>
      <c r="B194" s="8">
        <v>33858.6</v>
      </c>
      <c r="C194" s="8">
        <v>20953.14</v>
      </c>
      <c r="D194" s="8">
        <v>161.59</v>
      </c>
    </row>
    <row r="195" spans="1:4">
      <c r="A195" s="7" t="s">
        <v>2415</v>
      </c>
      <c r="B195" s="8">
        <v>29266.21</v>
      </c>
      <c r="C195" s="8">
        <v>20853.14</v>
      </c>
      <c r="D195" s="8">
        <v>140.34</v>
      </c>
    </row>
    <row r="196" spans="1:4">
      <c r="A196" s="7" t="s">
        <v>2408</v>
      </c>
      <c r="B196" s="8">
        <v>39776.550000000003</v>
      </c>
      <c r="C196" s="8">
        <v>17584.07</v>
      </c>
      <c r="D196" s="8">
        <v>226.21</v>
      </c>
    </row>
    <row r="197" spans="1:4">
      <c r="A197" s="7" t="s">
        <v>2409</v>
      </c>
      <c r="B197" s="8">
        <v>39587.35</v>
      </c>
      <c r="C197" s="8">
        <v>18234.07</v>
      </c>
      <c r="D197" s="8">
        <v>217.11</v>
      </c>
    </row>
    <row r="198" spans="1:4">
      <c r="A198" s="7" t="s">
        <v>2410</v>
      </c>
      <c r="B198" s="8">
        <v>39261.519999999997</v>
      </c>
      <c r="C198" s="8">
        <v>18884.07</v>
      </c>
      <c r="D198" s="8">
        <v>207.91</v>
      </c>
    </row>
    <row r="199" spans="1:4">
      <c r="A199" s="7" t="s">
        <v>2411</v>
      </c>
      <c r="B199" s="8">
        <v>39168.81</v>
      </c>
      <c r="C199" s="8">
        <v>19034.16</v>
      </c>
      <c r="D199" s="8">
        <v>205.78</v>
      </c>
    </row>
    <row r="200" spans="1:4">
      <c r="A200" s="7" t="s">
        <v>2412</v>
      </c>
      <c r="B200" s="8">
        <v>29602.3</v>
      </c>
      <c r="C200" s="8">
        <v>19684.16</v>
      </c>
      <c r="D200" s="8">
        <v>150.38999999999999</v>
      </c>
    </row>
    <row r="201" spans="1:4">
      <c r="A201" s="7" t="s">
        <v>2421</v>
      </c>
      <c r="B201" s="8">
        <v>31450.42</v>
      </c>
      <c r="C201" s="8">
        <v>23297.24</v>
      </c>
      <c r="D201" s="8">
        <v>135</v>
      </c>
    </row>
    <row r="202" spans="1:4">
      <c r="A202" s="7" t="s">
        <v>2422</v>
      </c>
      <c r="B202" s="8">
        <v>35822.129999999997</v>
      </c>
      <c r="C202" s="8">
        <v>22397.24</v>
      </c>
      <c r="D202" s="8">
        <v>159.94</v>
      </c>
    </row>
    <row r="203" spans="1:4">
      <c r="A203" s="7" t="s">
        <v>2423</v>
      </c>
      <c r="B203" s="8">
        <v>35006.949999999997</v>
      </c>
      <c r="C203" s="8">
        <v>22897.24</v>
      </c>
      <c r="D203" s="8">
        <v>152.88999999999999</v>
      </c>
    </row>
    <row r="204" spans="1:4">
      <c r="A204" s="7" t="s">
        <v>2416</v>
      </c>
      <c r="B204" s="8">
        <v>37587.360000000001</v>
      </c>
      <c r="C204" s="8">
        <v>18482.55</v>
      </c>
      <c r="D204" s="8">
        <v>203.37</v>
      </c>
    </row>
    <row r="205" spans="1:4">
      <c r="A205" s="7" t="s">
        <v>2417</v>
      </c>
      <c r="B205" s="8">
        <v>36947.660000000003</v>
      </c>
      <c r="C205" s="8">
        <v>18232.55</v>
      </c>
      <c r="D205" s="8">
        <v>202.65</v>
      </c>
    </row>
    <row r="206" spans="1:4">
      <c r="A206" s="7" t="s">
        <v>2418</v>
      </c>
      <c r="B206" s="8">
        <v>37362.339999999997</v>
      </c>
      <c r="C206" s="8">
        <v>17982.55</v>
      </c>
      <c r="D206" s="8">
        <v>207.77</v>
      </c>
    </row>
    <row r="207" spans="1:4">
      <c r="A207" s="7" t="s">
        <v>2419</v>
      </c>
      <c r="B207" s="8">
        <v>37181.9</v>
      </c>
      <c r="C207" s="8">
        <v>17832.64</v>
      </c>
      <c r="D207" s="8">
        <v>208.5</v>
      </c>
    </row>
    <row r="208" spans="1:4">
      <c r="A208" s="7" t="s">
        <v>2420</v>
      </c>
      <c r="B208" s="8">
        <v>29602.39</v>
      </c>
      <c r="C208" s="8">
        <v>17582.64</v>
      </c>
      <c r="D208" s="8">
        <v>168.36</v>
      </c>
    </row>
    <row r="209" spans="1:4">
      <c r="A209" s="7" t="s">
        <v>132</v>
      </c>
      <c r="B209" s="8">
        <v>2774.65</v>
      </c>
      <c r="C209" s="8">
        <v>2777.11</v>
      </c>
      <c r="D209" s="8">
        <v>99.91</v>
      </c>
    </row>
    <row r="210" spans="1:4">
      <c r="A210" s="7" t="s">
        <v>133</v>
      </c>
      <c r="B210" s="8">
        <v>2928.49</v>
      </c>
      <c r="C210" s="8">
        <v>2872.11</v>
      </c>
      <c r="D210" s="8">
        <v>101.96</v>
      </c>
    </row>
    <row r="211" spans="1:4">
      <c r="A211" s="7" t="s">
        <v>134</v>
      </c>
      <c r="B211" s="8">
        <v>3339.7</v>
      </c>
      <c r="C211" s="8">
        <v>3342.11</v>
      </c>
      <c r="D211" s="8">
        <v>99.93</v>
      </c>
    </row>
    <row r="212" spans="1:4">
      <c r="A212" s="7" t="s">
        <v>2675</v>
      </c>
      <c r="B212" s="8">
        <v>1839.11</v>
      </c>
      <c r="C212" s="8">
        <v>1849.47</v>
      </c>
      <c r="D212" s="8">
        <v>99.44</v>
      </c>
    </row>
    <row r="213" spans="1:4">
      <c r="A213" s="7" t="s">
        <v>2676</v>
      </c>
      <c r="B213" s="8">
        <v>1269.68</v>
      </c>
      <c r="C213" s="8">
        <v>1432.47</v>
      </c>
      <c r="D213" s="8">
        <v>88.64</v>
      </c>
    </row>
    <row r="214" spans="1:4">
      <c r="A214" s="7" t="s">
        <v>277</v>
      </c>
      <c r="B214" s="8">
        <v>3021.68</v>
      </c>
      <c r="C214" s="8">
        <v>2937.14</v>
      </c>
      <c r="D214" s="8">
        <v>102.88</v>
      </c>
    </row>
    <row r="215" spans="1:4">
      <c r="A215" s="7" t="s">
        <v>278</v>
      </c>
      <c r="B215" s="8">
        <v>2575.6</v>
      </c>
      <c r="C215" s="8">
        <v>2387.2199999999998</v>
      </c>
      <c r="D215" s="8">
        <v>107.89</v>
      </c>
    </row>
    <row r="216" spans="1:4">
      <c r="A216" s="7" t="s">
        <v>279</v>
      </c>
      <c r="B216" s="8">
        <v>2298.5700000000002</v>
      </c>
      <c r="C216" s="8">
        <v>2427.6</v>
      </c>
      <c r="D216" s="8">
        <v>94.68</v>
      </c>
    </row>
    <row r="217" spans="1:4">
      <c r="A217" s="7" t="s">
        <v>280</v>
      </c>
      <c r="B217" s="8">
        <v>1807.18</v>
      </c>
      <c r="C217" s="8">
        <v>1877.68</v>
      </c>
      <c r="D217" s="8">
        <v>96.25</v>
      </c>
    </row>
    <row r="218" spans="1:4">
      <c r="A218" s="7" t="s">
        <v>281</v>
      </c>
      <c r="B218" s="8">
        <v>1802.19</v>
      </c>
      <c r="C218" s="8">
        <v>2077.7600000000002</v>
      </c>
      <c r="D218" s="8">
        <v>86.74</v>
      </c>
    </row>
    <row r="219" spans="1:4">
      <c r="A219" s="7" t="s">
        <v>282</v>
      </c>
      <c r="B219" s="8">
        <v>1310.8</v>
      </c>
      <c r="C219" s="8">
        <v>1527.84</v>
      </c>
      <c r="D219" s="8">
        <v>85.79</v>
      </c>
    </row>
    <row r="220" spans="1:4">
      <c r="A220" s="7" t="s">
        <v>2677</v>
      </c>
      <c r="B220" s="8">
        <v>1967.94</v>
      </c>
      <c r="C220" s="8">
        <v>2477.92</v>
      </c>
      <c r="D220" s="8">
        <v>79.42</v>
      </c>
    </row>
    <row r="221" spans="1:4">
      <c r="A221" s="7" t="s">
        <v>2678</v>
      </c>
      <c r="B221" s="8">
        <v>1476.55</v>
      </c>
      <c r="C221" s="8">
        <v>1928</v>
      </c>
      <c r="D221" s="8">
        <v>76.58</v>
      </c>
    </row>
    <row r="222" spans="1:4">
      <c r="A222" s="7" t="s">
        <v>2679</v>
      </c>
      <c r="B222" s="8">
        <v>3233.52</v>
      </c>
      <c r="C222" s="8">
        <v>3678.16</v>
      </c>
      <c r="D222" s="8">
        <v>87.91</v>
      </c>
    </row>
    <row r="223" spans="1:4">
      <c r="A223" s="7" t="s">
        <v>2680</v>
      </c>
      <c r="B223" s="8">
        <v>2759.43</v>
      </c>
      <c r="C223" s="8">
        <v>3328.08</v>
      </c>
      <c r="D223" s="8">
        <v>82.91</v>
      </c>
    </row>
    <row r="224" spans="1:4">
      <c r="A224" s="7" t="s">
        <v>2681</v>
      </c>
      <c r="B224" s="8">
        <v>2713.05</v>
      </c>
      <c r="C224" s="8">
        <v>3428.24</v>
      </c>
      <c r="D224" s="8">
        <v>79.14</v>
      </c>
    </row>
    <row r="225" spans="1:4">
      <c r="A225" s="7" t="s">
        <v>2682</v>
      </c>
      <c r="B225" s="8">
        <v>2305.13</v>
      </c>
      <c r="C225" s="8">
        <v>2878.32</v>
      </c>
      <c r="D225" s="8">
        <v>80.09</v>
      </c>
    </row>
    <row r="226" spans="1:4">
      <c r="A226" s="7" t="s">
        <v>2683</v>
      </c>
      <c r="B226" s="8">
        <v>2009.73</v>
      </c>
      <c r="C226" s="8">
        <v>2578.8000000000002</v>
      </c>
      <c r="D226" s="8">
        <v>77.930000000000007</v>
      </c>
    </row>
    <row r="227" spans="1:4">
      <c r="A227" s="7" t="s">
        <v>2684</v>
      </c>
      <c r="B227" s="8">
        <v>1518.34</v>
      </c>
      <c r="C227" s="8">
        <v>2028.88</v>
      </c>
      <c r="D227" s="8">
        <v>74.84</v>
      </c>
    </row>
    <row r="228" spans="1:4">
      <c r="A228" s="7" t="s">
        <v>2685</v>
      </c>
      <c r="B228" s="8">
        <v>1979.09</v>
      </c>
      <c r="C228" s="8">
        <v>2178.34</v>
      </c>
      <c r="D228" s="8">
        <v>90.85</v>
      </c>
    </row>
    <row r="229" spans="1:4">
      <c r="A229" s="7" t="s">
        <v>2686</v>
      </c>
      <c r="B229" s="8">
        <v>1404.93</v>
      </c>
      <c r="C229" s="8">
        <v>1761.34</v>
      </c>
      <c r="D229" s="8">
        <v>79.760000000000005</v>
      </c>
    </row>
    <row r="230" spans="1:4">
      <c r="A230" s="7" t="s">
        <v>2687</v>
      </c>
      <c r="B230" s="8">
        <v>1846.5</v>
      </c>
      <c r="C230" s="8">
        <v>2093.9899999999998</v>
      </c>
      <c r="D230" s="8">
        <v>88.18</v>
      </c>
    </row>
    <row r="231" spans="1:4">
      <c r="A231" s="7" t="s">
        <v>2688</v>
      </c>
      <c r="B231" s="8">
        <v>1288.19</v>
      </c>
      <c r="C231" s="8">
        <v>1477.15</v>
      </c>
      <c r="D231" s="8">
        <v>87.21</v>
      </c>
    </row>
    <row r="232" spans="1:4">
      <c r="A232" s="7" t="s">
        <v>2689</v>
      </c>
      <c r="B232" s="8">
        <v>3163.82</v>
      </c>
      <c r="C232" s="8">
        <v>3378.1</v>
      </c>
      <c r="D232" s="8">
        <v>93.66</v>
      </c>
    </row>
    <row r="233" spans="1:4">
      <c r="A233" s="7" t="s">
        <v>2690</v>
      </c>
      <c r="B233" s="8">
        <v>2703.55</v>
      </c>
      <c r="C233" s="8">
        <v>2761.26</v>
      </c>
      <c r="D233" s="8">
        <v>97.91</v>
      </c>
    </row>
    <row r="234" spans="1:4">
      <c r="A234" s="7" t="s">
        <v>2691</v>
      </c>
      <c r="B234" s="8">
        <v>2453.27</v>
      </c>
      <c r="C234" s="8">
        <v>2428.02</v>
      </c>
      <c r="D234" s="8">
        <v>101.04</v>
      </c>
    </row>
    <row r="235" spans="1:4">
      <c r="A235" s="7" t="s">
        <v>2692</v>
      </c>
      <c r="B235" s="8">
        <v>1908.48</v>
      </c>
      <c r="C235" s="8">
        <v>2011.02</v>
      </c>
      <c r="D235" s="8">
        <v>94.9</v>
      </c>
    </row>
    <row r="236" spans="1:4">
      <c r="A236" s="7" t="s">
        <v>2693</v>
      </c>
      <c r="B236" s="8">
        <v>1842.02</v>
      </c>
      <c r="C236" s="8">
        <v>1761.8</v>
      </c>
      <c r="D236" s="8">
        <v>104.55</v>
      </c>
    </row>
    <row r="237" spans="1:4">
      <c r="A237" s="7" t="s">
        <v>2694</v>
      </c>
      <c r="B237" s="8">
        <v>1186.55</v>
      </c>
      <c r="C237" s="8">
        <v>1160.8599999999999</v>
      </c>
      <c r="D237" s="8">
        <v>102.21</v>
      </c>
    </row>
    <row r="238" spans="1:4">
      <c r="A238" s="7" t="s">
        <v>2695</v>
      </c>
      <c r="B238" s="8">
        <v>1923.46</v>
      </c>
      <c r="C238" s="8">
        <v>2282.15</v>
      </c>
      <c r="D238" s="8">
        <v>84.28</v>
      </c>
    </row>
    <row r="239" spans="1:4">
      <c r="A239" s="7" t="s">
        <v>2696</v>
      </c>
      <c r="B239" s="8">
        <v>1365.15</v>
      </c>
      <c r="C239" s="8">
        <v>1665.31</v>
      </c>
      <c r="D239" s="8">
        <v>81.98</v>
      </c>
    </row>
    <row r="240" spans="1:4">
      <c r="A240" s="7" t="s">
        <v>2697</v>
      </c>
      <c r="B240" s="8">
        <v>3184.47</v>
      </c>
      <c r="C240" s="8">
        <v>3482.39</v>
      </c>
      <c r="D240" s="8">
        <v>91.45</v>
      </c>
    </row>
    <row r="241" spans="1:4">
      <c r="A241" s="7" t="s">
        <v>2698</v>
      </c>
      <c r="B241" s="8">
        <v>2648.03</v>
      </c>
      <c r="C241" s="8">
        <v>3065.39</v>
      </c>
      <c r="D241" s="8">
        <v>86.38</v>
      </c>
    </row>
    <row r="242" spans="1:4">
      <c r="A242" s="7" t="s">
        <v>2699</v>
      </c>
      <c r="B242" s="8">
        <v>2792.78</v>
      </c>
      <c r="C242" s="8">
        <v>3232.47</v>
      </c>
      <c r="D242" s="8">
        <v>86.4</v>
      </c>
    </row>
    <row r="243" spans="1:4">
      <c r="A243" s="7" t="s">
        <v>2700</v>
      </c>
      <c r="B243" s="8">
        <v>2264.23</v>
      </c>
      <c r="C243" s="8">
        <v>2615.63</v>
      </c>
      <c r="D243" s="8">
        <v>86.57</v>
      </c>
    </row>
    <row r="244" spans="1:4">
      <c r="A244" s="7" t="s">
        <v>2701</v>
      </c>
      <c r="B244" s="8">
        <v>1965.25</v>
      </c>
      <c r="C244" s="8">
        <v>2383.0300000000002</v>
      </c>
      <c r="D244" s="8">
        <v>82.47</v>
      </c>
    </row>
    <row r="245" spans="1:4">
      <c r="A245" s="7" t="s">
        <v>2702</v>
      </c>
      <c r="B245" s="8">
        <v>1406.94</v>
      </c>
      <c r="C245" s="8">
        <v>1766.19</v>
      </c>
      <c r="D245" s="8">
        <v>79.66</v>
      </c>
    </row>
    <row r="246" spans="1:4">
      <c r="A246" s="7" t="s">
        <v>2703</v>
      </c>
      <c r="B246" s="8">
        <v>2064.08</v>
      </c>
      <c r="C246" s="8">
        <v>2716.27</v>
      </c>
      <c r="D246" s="8">
        <v>75.989999999999995</v>
      </c>
    </row>
    <row r="247" spans="1:4">
      <c r="A247" s="7" t="s">
        <v>2704</v>
      </c>
      <c r="B247" s="8">
        <v>1572.69</v>
      </c>
      <c r="C247" s="8">
        <v>2166.35</v>
      </c>
      <c r="D247" s="8">
        <v>72.599999999999994</v>
      </c>
    </row>
    <row r="248" spans="1:4">
      <c r="A248" s="7" t="s">
        <v>2705</v>
      </c>
      <c r="B248" s="8">
        <v>4503.1099999999997</v>
      </c>
      <c r="C248" s="8">
        <v>3916.51</v>
      </c>
      <c r="D248" s="8">
        <v>114.98</v>
      </c>
    </row>
    <row r="249" spans="1:4">
      <c r="A249" s="7" t="s">
        <v>2706</v>
      </c>
      <c r="B249" s="8">
        <v>4838.26</v>
      </c>
      <c r="C249" s="8">
        <v>3566.43</v>
      </c>
      <c r="D249" s="8">
        <v>135.66</v>
      </c>
    </row>
    <row r="250" spans="1:4">
      <c r="A250" s="7" t="s">
        <v>2707</v>
      </c>
      <c r="B250" s="8">
        <v>2980.12</v>
      </c>
      <c r="C250" s="8">
        <v>3666.59</v>
      </c>
      <c r="D250" s="8">
        <v>81.28</v>
      </c>
    </row>
    <row r="251" spans="1:4">
      <c r="A251" s="7" t="s">
        <v>2708</v>
      </c>
      <c r="B251" s="8">
        <v>2501.79</v>
      </c>
      <c r="C251" s="8">
        <v>3116.67</v>
      </c>
      <c r="D251" s="8">
        <v>80.27</v>
      </c>
    </row>
    <row r="252" spans="1:4">
      <c r="A252" s="7" t="s">
        <v>2709</v>
      </c>
      <c r="B252" s="8">
        <v>2012.25</v>
      </c>
      <c r="C252" s="8">
        <v>2494.15</v>
      </c>
      <c r="D252" s="8">
        <v>80.680000000000007</v>
      </c>
    </row>
    <row r="253" spans="1:4">
      <c r="A253" s="7" t="s">
        <v>2710</v>
      </c>
      <c r="B253" s="8">
        <v>1453.94</v>
      </c>
      <c r="C253" s="8">
        <v>1877.31</v>
      </c>
      <c r="D253" s="8">
        <v>77.45</v>
      </c>
    </row>
    <row r="254" spans="1:4">
      <c r="A254" s="7" t="s">
        <v>2711</v>
      </c>
      <c r="B254" s="8">
        <v>2940.38</v>
      </c>
      <c r="C254" s="8">
        <v>3316.75</v>
      </c>
      <c r="D254" s="8">
        <v>88.65</v>
      </c>
    </row>
    <row r="255" spans="1:4">
      <c r="A255" s="7" t="s">
        <v>2712</v>
      </c>
      <c r="B255" s="8">
        <v>2444.16</v>
      </c>
      <c r="C255" s="8">
        <v>2766.83</v>
      </c>
      <c r="D255" s="8">
        <v>88.34</v>
      </c>
    </row>
    <row r="256" spans="1:4">
      <c r="A256" s="7" t="s">
        <v>2713</v>
      </c>
      <c r="B256" s="8">
        <v>1697.99</v>
      </c>
      <c r="C256" s="8">
        <v>1687.17</v>
      </c>
      <c r="D256" s="8">
        <v>100.64</v>
      </c>
    </row>
    <row r="257" spans="1:4">
      <c r="A257" s="7" t="s">
        <v>2714</v>
      </c>
      <c r="B257" s="8">
        <v>1227.8599999999999</v>
      </c>
      <c r="C257" s="8">
        <v>1337.09</v>
      </c>
      <c r="D257" s="8">
        <v>91.83</v>
      </c>
    </row>
    <row r="258" spans="1:4">
      <c r="A258" s="7" t="s">
        <v>2715</v>
      </c>
      <c r="B258" s="8">
        <v>2871.21</v>
      </c>
      <c r="C258" s="8">
        <v>2886.93</v>
      </c>
      <c r="D258" s="8">
        <v>99.46</v>
      </c>
    </row>
    <row r="259" spans="1:4">
      <c r="A259" s="7" t="s">
        <v>2716</v>
      </c>
      <c r="B259" s="8">
        <v>2472.38</v>
      </c>
      <c r="C259" s="8">
        <v>2364.25</v>
      </c>
      <c r="D259" s="8">
        <v>104.57</v>
      </c>
    </row>
    <row r="260" spans="1:4">
      <c r="A260" s="7" t="s">
        <v>2717</v>
      </c>
      <c r="B260" s="8">
        <v>2309.89</v>
      </c>
      <c r="C260" s="8">
        <v>2464.41</v>
      </c>
      <c r="D260" s="8">
        <v>93.73</v>
      </c>
    </row>
    <row r="261" spans="1:4">
      <c r="A261" s="7" t="s">
        <v>2718</v>
      </c>
      <c r="B261" s="8">
        <v>1879.48</v>
      </c>
      <c r="C261" s="8">
        <v>1914.49</v>
      </c>
      <c r="D261" s="8">
        <v>98.17</v>
      </c>
    </row>
    <row r="262" spans="1:4">
      <c r="A262" s="7" t="s">
        <v>2719</v>
      </c>
      <c r="B262" s="8">
        <v>1657.91</v>
      </c>
      <c r="C262" s="8">
        <v>1614.97</v>
      </c>
      <c r="D262" s="8">
        <v>102.66</v>
      </c>
    </row>
    <row r="263" spans="1:4">
      <c r="A263" s="7" t="s">
        <v>2720</v>
      </c>
      <c r="B263" s="8">
        <v>1186.08</v>
      </c>
      <c r="C263" s="8">
        <v>1236.21</v>
      </c>
      <c r="D263" s="8">
        <v>95.94</v>
      </c>
    </row>
    <row r="264" spans="1:4">
      <c r="A264" s="7" t="s">
        <v>283</v>
      </c>
      <c r="B264" s="8">
        <v>1772.32</v>
      </c>
      <c r="C264" s="8">
        <v>2015.13</v>
      </c>
      <c r="D264" s="8">
        <v>87.95</v>
      </c>
    </row>
    <row r="265" spans="1:4">
      <c r="A265" s="7" t="s">
        <v>284</v>
      </c>
      <c r="B265" s="8">
        <v>1280.93</v>
      </c>
      <c r="C265" s="8">
        <v>1465.21</v>
      </c>
      <c r="D265" s="8">
        <v>87.42</v>
      </c>
    </row>
    <row r="266" spans="1:4">
      <c r="A266" s="7" t="s">
        <v>285</v>
      </c>
      <c r="B266" s="8">
        <v>3239.46</v>
      </c>
      <c r="C266" s="8">
        <v>3215.37</v>
      </c>
      <c r="D266" s="8">
        <v>100.75</v>
      </c>
    </row>
    <row r="267" spans="1:4">
      <c r="A267" s="7" t="s">
        <v>286</v>
      </c>
      <c r="B267" s="8">
        <v>2731.37</v>
      </c>
      <c r="C267" s="8">
        <v>2865.29</v>
      </c>
      <c r="D267" s="8">
        <v>95.33</v>
      </c>
    </row>
    <row r="268" spans="1:4">
      <c r="A268" s="7" t="s">
        <v>287</v>
      </c>
      <c r="B268" s="8">
        <v>2517.4299999999998</v>
      </c>
      <c r="C268" s="8">
        <v>2965.45</v>
      </c>
      <c r="D268" s="8">
        <v>84.89</v>
      </c>
    </row>
    <row r="269" spans="1:4">
      <c r="A269" s="7" t="s">
        <v>288</v>
      </c>
      <c r="B269" s="8">
        <v>2026.04</v>
      </c>
      <c r="C269" s="8">
        <v>2415.5300000000002</v>
      </c>
      <c r="D269" s="8">
        <v>83.88</v>
      </c>
    </row>
    <row r="270" spans="1:4">
      <c r="A270" s="7" t="s">
        <v>289</v>
      </c>
      <c r="B270" s="8">
        <v>2021.05</v>
      </c>
      <c r="C270" s="8">
        <v>2615.61</v>
      </c>
      <c r="D270" s="8">
        <v>77.27</v>
      </c>
    </row>
    <row r="271" spans="1:4">
      <c r="A271" s="7" t="s">
        <v>290</v>
      </c>
      <c r="B271" s="8">
        <v>1529.66</v>
      </c>
      <c r="C271" s="8">
        <v>2065.69</v>
      </c>
      <c r="D271" s="8">
        <v>74.05</v>
      </c>
    </row>
    <row r="272" spans="1:4">
      <c r="A272" s="7" t="s">
        <v>291</v>
      </c>
      <c r="B272" s="8">
        <v>3426.8</v>
      </c>
      <c r="C272" s="8">
        <v>3903.95</v>
      </c>
      <c r="D272" s="8">
        <v>87.78</v>
      </c>
    </row>
    <row r="273" spans="1:4">
      <c r="A273" s="7" t="s">
        <v>292</v>
      </c>
      <c r="B273" s="8">
        <v>2929.63</v>
      </c>
      <c r="C273" s="8">
        <v>3354.03</v>
      </c>
      <c r="D273" s="8">
        <v>87.35</v>
      </c>
    </row>
    <row r="274" spans="1:4">
      <c r="A274" s="7" t="s">
        <v>2721</v>
      </c>
      <c r="B274" s="8">
        <v>3474.71</v>
      </c>
      <c r="C274" s="8">
        <v>3694.39</v>
      </c>
      <c r="D274" s="8">
        <v>94.05</v>
      </c>
    </row>
    <row r="275" spans="1:4">
      <c r="A275" s="7" t="s">
        <v>2722</v>
      </c>
      <c r="B275" s="8">
        <v>2880.91</v>
      </c>
      <c r="C275" s="8">
        <v>3277.39</v>
      </c>
      <c r="D275" s="8">
        <v>87.9</v>
      </c>
    </row>
    <row r="276" spans="1:4">
      <c r="A276" s="7" t="s">
        <v>293</v>
      </c>
      <c r="B276" s="8">
        <v>4770.41</v>
      </c>
      <c r="C276" s="8">
        <v>5104.1899999999996</v>
      </c>
      <c r="D276" s="8">
        <v>93.46</v>
      </c>
    </row>
    <row r="277" spans="1:4">
      <c r="A277" s="7" t="s">
        <v>294</v>
      </c>
      <c r="B277" s="8">
        <v>4339.87</v>
      </c>
      <c r="C277" s="8">
        <v>4754.1099999999997</v>
      </c>
      <c r="D277" s="8">
        <v>91.29</v>
      </c>
    </row>
    <row r="278" spans="1:4">
      <c r="A278" s="7" t="s">
        <v>295</v>
      </c>
      <c r="B278" s="8">
        <v>4411.3900000000003</v>
      </c>
      <c r="C278" s="8">
        <v>4854.2700000000004</v>
      </c>
      <c r="D278" s="8">
        <v>90.88</v>
      </c>
    </row>
    <row r="279" spans="1:4">
      <c r="A279" s="7" t="s">
        <v>296</v>
      </c>
      <c r="B279" s="8">
        <v>3992.45</v>
      </c>
      <c r="C279" s="8">
        <v>4304.3500000000004</v>
      </c>
      <c r="D279" s="8">
        <v>92.75</v>
      </c>
    </row>
    <row r="280" spans="1:4">
      <c r="A280" s="7" t="s">
        <v>297</v>
      </c>
      <c r="B280" s="8">
        <v>3390.09</v>
      </c>
      <c r="C280" s="8">
        <v>4004.83</v>
      </c>
      <c r="D280" s="8">
        <v>84.65</v>
      </c>
    </row>
    <row r="281" spans="1:4">
      <c r="A281" s="7" t="s">
        <v>298</v>
      </c>
      <c r="B281" s="8">
        <v>2892.8</v>
      </c>
      <c r="C281" s="8">
        <v>3454.91</v>
      </c>
      <c r="D281" s="8">
        <v>83.73</v>
      </c>
    </row>
    <row r="282" spans="1:4">
      <c r="A282" s="7" t="s">
        <v>299</v>
      </c>
      <c r="B282" s="8">
        <v>3778.37</v>
      </c>
      <c r="C282" s="8">
        <v>4248.28</v>
      </c>
      <c r="D282" s="8">
        <v>88.94</v>
      </c>
    </row>
    <row r="283" spans="1:4">
      <c r="A283" s="7" t="s">
        <v>300</v>
      </c>
      <c r="B283" s="8">
        <v>3318.49</v>
      </c>
      <c r="C283" s="8">
        <v>3898.2</v>
      </c>
      <c r="D283" s="8">
        <v>85.13</v>
      </c>
    </row>
    <row r="284" spans="1:4">
      <c r="A284" s="7" t="s">
        <v>301</v>
      </c>
      <c r="B284" s="8">
        <v>4946.75</v>
      </c>
      <c r="C284" s="8">
        <v>5448.04</v>
      </c>
      <c r="D284" s="8">
        <v>90.8</v>
      </c>
    </row>
    <row r="285" spans="1:4">
      <c r="A285" s="7" t="s">
        <v>302</v>
      </c>
      <c r="B285" s="8">
        <v>4429.7299999999996</v>
      </c>
      <c r="C285" s="8">
        <v>4898.12</v>
      </c>
      <c r="D285" s="8">
        <v>90.44</v>
      </c>
    </row>
    <row r="286" spans="1:4">
      <c r="A286" s="7" t="s">
        <v>303</v>
      </c>
      <c r="B286" s="8">
        <v>4189.47</v>
      </c>
      <c r="C286" s="8">
        <v>4497.96</v>
      </c>
      <c r="D286" s="8">
        <v>93.14</v>
      </c>
    </row>
    <row r="287" spans="1:4">
      <c r="A287" s="7" t="s">
        <v>304</v>
      </c>
      <c r="B287" s="8">
        <v>3772.73</v>
      </c>
      <c r="C287" s="8">
        <v>4147.88</v>
      </c>
      <c r="D287" s="8">
        <v>90.96</v>
      </c>
    </row>
    <row r="288" spans="1:4">
      <c r="A288" s="7" t="s">
        <v>305</v>
      </c>
      <c r="B288" s="8">
        <v>3279.26</v>
      </c>
      <c r="C288" s="8">
        <v>3647.8</v>
      </c>
      <c r="D288" s="8">
        <v>89.9</v>
      </c>
    </row>
    <row r="289" spans="1:4">
      <c r="A289" s="7" t="s">
        <v>306</v>
      </c>
      <c r="B289" s="8">
        <v>2824.09</v>
      </c>
      <c r="C289" s="8">
        <v>3297.72</v>
      </c>
      <c r="D289" s="8">
        <v>85.64</v>
      </c>
    </row>
    <row r="290" spans="1:4">
      <c r="A290" s="7" t="s">
        <v>307</v>
      </c>
      <c r="B290" s="8">
        <v>2977.41</v>
      </c>
      <c r="C290" s="8">
        <v>3247.64</v>
      </c>
      <c r="D290" s="8">
        <v>91.68</v>
      </c>
    </row>
    <row r="291" spans="1:4">
      <c r="A291" s="7" t="s">
        <v>308</v>
      </c>
      <c r="B291" s="8">
        <v>2489.92</v>
      </c>
      <c r="C291" s="8">
        <v>2897.56</v>
      </c>
      <c r="D291" s="8">
        <v>85.93</v>
      </c>
    </row>
    <row r="292" spans="1:4">
      <c r="A292" s="7" t="s">
        <v>309</v>
      </c>
      <c r="B292" s="8">
        <v>4082.57</v>
      </c>
      <c r="C292" s="8">
        <v>4447.3999999999996</v>
      </c>
      <c r="D292" s="8">
        <v>91.8</v>
      </c>
    </row>
    <row r="293" spans="1:4">
      <c r="A293" s="7" t="s">
        <v>310</v>
      </c>
      <c r="B293" s="8">
        <v>3687.25</v>
      </c>
      <c r="C293" s="8">
        <v>3897.48</v>
      </c>
      <c r="D293" s="8">
        <v>94.61</v>
      </c>
    </row>
    <row r="294" spans="1:4">
      <c r="A294" s="7" t="s">
        <v>311</v>
      </c>
      <c r="B294" s="8">
        <v>3323.68</v>
      </c>
      <c r="C294" s="8">
        <v>3497.32</v>
      </c>
      <c r="D294" s="8">
        <v>95.04</v>
      </c>
    </row>
    <row r="295" spans="1:4">
      <c r="A295" s="7" t="s">
        <v>312</v>
      </c>
      <c r="B295" s="8">
        <v>2834.87</v>
      </c>
      <c r="C295" s="8">
        <v>3147.24</v>
      </c>
      <c r="D295" s="8">
        <v>90.07</v>
      </c>
    </row>
    <row r="296" spans="1:4">
      <c r="A296" s="7" t="s">
        <v>2723</v>
      </c>
      <c r="B296" s="8">
        <v>2757.35</v>
      </c>
      <c r="C296" s="8">
        <v>3444.47</v>
      </c>
      <c r="D296" s="8">
        <v>80.05</v>
      </c>
    </row>
    <row r="297" spans="1:4">
      <c r="A297" s="7" t="s">
        <v>2724</v>
      </c>
      <c r="B297" s="8">
        <v>2252.8000000000002</v>
      </c>
      <c r="C297" s="8">
        <v>2827.63</v>
      </c>
      <c r="D297" s="8">
        <v>79.67</v>
      </c>
    </row>
    <row r="298" spans="1:4">
      <c r="A298" s="7" t="s">
        <v>313</v>
      </c>
      <c r="B298" s="8">
        <v>2884.58</v>
      </c>
      <c r="C298" s="8">
        <v>3146.76</v>
      </c>
      <c r="D298" s="8">
        <v>91.67</v>
      </c>
    </row>
    <row r="299" spans="1:4">
      <c r="A299" s="7" t="s">
        <v>314</v>
      </c>
      <c r="B299" s="8">
        <v>2378.48</v>
      </c>
      <c r="C299" s="8">
        <v>2796.68</v>
      </c>
      <c r="D299" s="8">
        <v>85.05</v>
      </c>
    </row>
    <row r="300" spans="1:4">
      <c r="A300" s="7" t="s">
        <v>2725</v>
      </c>
      <c r="B300" s="8">
        <v>2180.7600000000002</v>
      </c>
      <c r="C300" s="8">
        <v>2595.0300000000002</v>
      </c>
      <c r="D300" s="8">
        <v>84.04</v>
      </c>
    </row>
    <row r="301" spans="1:4">
      <c r="A301" s="7" t="s">
        <v>2726</v>
      </c>
      <c r="B301" s="8">
        <v>1618.25</v>
      </c>
      <c r="C301" s="8">
        <v>1978.19</v>
      </c>
      <c r="D301" s="8">
        <v>81.8</v>
      </c>
    </row>
    <row r="302" spans="1:4">
      <c r="A302" s="7" t="s">
        <v>247</v>
      </c>
      <c r="B302" s="8">
        <v>2021.54</v>
      </c>
      <c r="C302" s="8">
        <v>2607.31</v>
      </c>
      <c r="D302" s="8">
        <v>77.53</v>
      </c>
    </row>
    <row r="303" spans="1:4">
      <c r="A303" s="7" t="s">
        <v>2727</v>
      </c>
      <c r="B303" s="8">
        <v>1530.15</v>
      </c>
      <c r="C303" s="8">
        <v>2057.39</v>
      </c>
      <c r="D303" s="8">
        <v>74.37</v>
      </c>
    </row>
    <row r="304" spans="1:4">
      <c r="A304" s="7" t="s">
        <v>248</v>
      </c>
      <c r="B304" s="8">
        <v>3587.6</v>
      </c>
      <c r="C304" s="8">
        <v>3807.55</v>
      </c>
      <c r="D304" s="8">
        <v>94.22</v>
      </c>
    </row>
    <row r="305" spans="1:4">
      <c r="A305" s="7" t="s">
        <v>2728</v>
      </c>
      <c r="B305" s="8">
        <v>3160.44</v>
      </c>
      <c r="C305" s="8">
        <v>3457.47</v>
      </c>
      <c r="D305" s="8">
        <v>91.41</v>
      </c>
    </row>
    <row r="306" spans="1:4">
      <c r="A306" s="7" t="s">
        <v>249</v>
      </c>
      <c r="B306" s="8">
        <v>3172.69</v>
      </c>
      <c r="C306" s="8">
        <v>3557.63</v>
      </c>
      <c r="D306" s="8">
        <v>89.18</v>
      </c>
    </row>
    <row r="307" spans="1:4">
      <c r="A307" s="7" t="s">
        <v>2729</v>
      </c>
      <c r="B307" s="8">
        <v>2663.4</v>
      </c>
      <c r="C307" s="8">
        <v>3007.71</v>
      </c>
      <c r="D307" s="8">
        <v>88.55</v>
      </c>
    </row>
    <row r="308" spans="1:4">
      <c r="A308" s="7" t="s">
        <v>250</v>
      </c>
      <c r="B308" s="8">
        <v>2795.73</v>
      </c>
      <c r="C308" s="8">
        <v>3207.79</v>
      </c>
      <c r="D308" s="8">
        <v>87.15</v>
      </c>
    </row>
    <row r="309" spans="1:4">
      <c r="A309" s="7" t="s">
        <v>2730</v>
      </c>
      <c r="B309" s="8">
        <v>2304.16</v>
      </c>
      <c r="C309" s="8">
        <v>2657.87</v>
      </c>
      <c r="D309" s="8">
        <v>86.69</v>
      </c>
    </row>
    <row r="310" spans="1:4">
      <c r="A310" s="7" t="s">
        <v>251</v>
      </c>
      <c r="B310" s="8">
        <v>3829.64</v>
      </c>
      <c r="C310" s="8">
        <v>4496.13</v>
      </c>
      <c r="D310" s="8">
        <v>85.18</v>
      </c>
    </row>
    <row r="311" spans="1:4">
      <c r="A311" s="7" t="s">
        <v>252</v>
      </c>
      <c r="B311" s="8">
        <v>3332.35</v>
      </c>
      <c r="C311" s="8">
        <v>3946.21</v>
      </c>
      <c r="D311" s="8">
        <v>84.44</v>
      </c>
    </row>
    <row r="312" spans="1:4">
      <c r="A312" s="7" t="s">
        <v>2731</v>
      </c>
      <c r="B312" s="8">
        <v>3054.58</v>
      </c>
      <c r="C312" s="8">
        <v>3049.23</v>
      </c>
      <c r="D312" s="8">
        <v>100.18</v>
      </c>
    </row>
    <row r="313" spans="1:4">
      <c r="A313" s="7" t="s">
        <v>2732</v>
      </c>
      <c r="B313" s="8">
        <v>2537.5700000000002</v>
      </c>
      <c r="C313" s="8">
        <v>2432.39</v>
      </c>
      <c r="D313" s="8">
        <v>104.32</v>
      </c>
    </row>
    <row r="314" spans="1:4">
      <c r="A314" s="7" t="s">
        <v>253</v>
      </c>
      <c r="B314" s="8">
        <v>5177.34</v>
      </c>
      <c r="C314" s="8">
        <v>5696.37</v>
      </c>
      <c r="D314" s="8">
        <v>90.89</v>
      </c>
    </row>
    <row r="315" spans="1:4">
      <c r="A315" s="7" t="s">
        <v>254</v>
      </c>
      <c r="B315" s="8">
        <v>4710.92</v>
      </c>
      <c r="C315" s="8">
        <v>5346.29</v>
      </c>
      <c r="D315" s="8">
        <v>88.12</v>
      </c>
    </row>
    <row r="316" spans="1:4">
      <c r="A316" s="7" t="s">
        <v>255</v>
      </c>
      <c r="B316" s="8">
        <v>4855.34</v>
      </c>
      <c r="C316" s="8">
        <v>5446.45</v>
      </c>
      <c r="D316" s="8">
        <v>89.15</v>
      </c>
    </row>
    <row r="317" spans="1:4">
      <c r="A317" s="7" t="s">
        <v>256</v>
      </c>
      <c r="B317" s="8">
        <v>4408.25</v>
      </c>
      <c r="C317" s="8">
        <v>4896.53</v>
      </c>
      <c r="D317" s="8">
        <v>90.03</v>
      </c>
    </row>
    <row r="318" spans="1:4">
      <c r="A318" s="7" t="s">
        <v>257</v>
      </c>
      <c r="B318" s="8">
        <v>3993.36</v>
      </c>
      <c r="C318" s="8">
        <v>4597.01</v>
      </c>
      <c r="D318" s="8">
        <v>86.87</v>
      </c>
    </row>
    <row r="319" spans="1:4">
      <c r="A319" s="7" t="s">
        <v>258</v>
      </c>
      <c r="B319" s="8">
        <v>3493.97</v>
      </c>
      <c r="C319" s="8">
        <v>4047.09</v>
      </c>
      <c r="D319" s="8">
        <v>86.33</v>
      </c>
    </row>
    <row r="320" spans="1:4">
      <c r="A320" s="7" t="s">
        <v>259</v>
      </c>
      <c r="B320" s="8">
        <v>8600.61</v>
      </c>
      <c r="C320" s="8">
        <v>4227.16</v>
      </c>
      <c r="D320" s="8">
        <v>203.46</v>
      </c>
    </row>
    <row r="321" spans="1:4">
      <c r="A321" s="7" t="s">
        <v>260</v>
      </c>
      <c r="B321" s="8">
        <v>8503.11</v>
      </c>
      <c r="C321" s="8">
        <v>3677.24</v>
      </c>
      <c r="D321" s="8">
        <v>231.24</v>
      </c>
    </row>
    <row r="322" spans="1:4">
      <c r="A322" s="7" t="s">
        <v>261</v>
      </c>
      <c r="B322" s="8">
        <v>6331.34</v>
      </c>
      <c r="C322" s="8">
        <v>5227.08</v>
      </c>
      <c r="D322" s="8">
        <v>121.13</v>
      </c>
    </row>
    <row r="323" spans="1:4">
      <c r="A323" s="7" t="s">
        <v>262</v>
      </c>
      <c r="B323" s="8">
        <v>6760.07</v>
      </c>
      <c r="C323" s="8">
        <v>4877</v>
      </c>
      <c r="D323" s="8">
        <v>138.61000000000001</v>
      </c>
    </row>
    <row r="324" spans="1:4">
      <c r="A324" s="7" t="s">
        <v>263</v>
      </c>
      <c r="B324" s="8">
        <v>7682.67</v>
      </c>
      <c r="C324" s="8">
        <v>4476.84</v>
      </c>
      <c r="D324" s="8">
        <v>171.61</v>
      </c>
    </row>
    <row r="325" spans="1:4">
      <c r="A325" s="7" t="s">
        <v>264</v>
      </c>
      <c r="B325" s="8">
        <v>7582.58</v>
      </c>
      <c r="C325" s="8">
        <v>3926.92</v>
      </c>
      <c r="D325" s="8">
        <v>193.09</v>
      </c>
    </row>
    <row r="326" spans="1:4">
      <c r="A326" s="7" t="s">
        <v>265</v>
      </c>
      <c r="B326" s="8">
        <v>5348.92</v>
      </c>
      <c r="C326" s="8">
        <v>3626.68</v>
      </c>
      <c r="D326" s="8">
        <v>147.49</v>
      </c>
    </row>
    <row r="327" spans="1:4">
      <c r="A327" s="7" t="s">
        <v>266</v>
      </c>
      <c r="B327" s="8">
        <v>4725.8500000000004</v>
      </c>
      <c r="C327" s="8">
        <v>3076.76</v>
      </c>
      <c r="D327" s="8">
        <v>153.6</v>
      </c>
    </row>
    <row r="328" spans="1:4">
      <c r="A328" s="7" t="s">
        <v>267</v>
      </c>
      <c r="B328" s="8">
        <v>2515.09</v>
      </c>
      <c r="C328" s="8">
        <v>3226.52</v>
      </c>
      <c r="D328" s="8">
        <v>77.95</v>
      </c>
    </row>
    <row r="329" spans="1:4">
      <c r="A329" s="7" t="s">
        <v>268</v>
      </c>
      <c r="B329" s="8">
        <v>1998.65</v>
      </c>
      <c r="C329" s="8">
        <v>2676.6</v>
      </c>
      <c r="D329" s="8">
        <v>74.67</v>
      </c>
    </row>
    <row r="330" spans="1:4">
      <c r="A330" s="7" t="s">
        <v>269</v>
      </c>
      <c r="B330" s="8">
        <v>3614.37</v>
      </c>
      <c r="C330" s="8">
        <v>4226.4399999999996</v>
      </c>
      <c r="D330" s="8">
        <v>85.52</v>
      </c>
    </row>
    <row r="331" spans="1:4">
      <c r="A331" s="7" t="s">
        <v>270</v>
      </c>
      <c r="B331" s="8">
        <v>3123.31</v>
      </c>
      <c r="C331" s="8">
        <v>3876.36</v>
      </c>
      <c r="D331" s="8">
        <v>80.569999999999993</v>
      </c>
    </row>
    <row r="332" spans="1:4">
      <c r="A332" s="7" t="s">
        <v>271</v>
      </c>
      <c r="B332" s="8">
        <v>2884.46</v>
      </c>
      <c r="C332" s="8">
        <v>3476.2</v>
      </c>
      <c r="D332" s="8">
        <v>82.98</v>
      </c>
    </row>
    <row r="333" spans="1:4">
      <c r="A333" s="7" t="s">
        <v>272</v>
      </c>
      <c r="B333" s="8">
        <v>2308.7600000000002</v>
      </c>
      <c r="C333" s="8">
        <v>2926.28</v>
      </c>
      <c r="D333" s="8">
        <v>78.900000000000006</v>
      </c>
    </row>
    <row r="334" spans="1:4">
      <c r="A334" s="7" t="s">
        <v>2733</v>
      </c>
      <c r="B334" s="8">
        <v>2342.88</v>
      </c>
      <c r="C334" s="8">
        <v>2443.83</v>
      </c>
      <c r="D334" s="8">
        <v>95.87</v>
      </c>
    </row>
    <row r="335" spans="1:4">
      <c r="A335" s="7" t="s">
        <v>2734</v>
      </c>
      <c r="B335" s="8">
        <v>1784.57</v>
      </c>
      <c r="C335" s="8">
        <v>1826.99</v>
      </c>
      <c r="D335" s="8">
        <v>97.68</v>
      </c>
    </row>
    <row r="336" spans="1:4">
      <c r="A336" s="7" t="s">
        <v>273</v>
      </c>
      <c r="B336" s="8">
        <v>2029.29</v>
      </c>
      <c r="C336" s="8">
        <v>2626.04</v>
      </c>
      <c r="D336" s="8">
        <v>77.28</v>
      </c>
    </row>
    <row r="337" spans="1:4">
      <c r="A337" s="7" t="s">
        <v>274</v>
      </c>
      <c r="B337" s="8">
        <v>1537.91</v>
      </c>
      <c r="C337" s="8">
        <v>2076.12</v>
      </c>
      <c r="D337" s="8">
        <v>74.08</v>
      </c>
    </row>
    <row r="338" spans="1:4">
      <c r="A338" s="7" t="s">
        <v>275</v>
      </c>
      <c r="B338" s="8">
        <v>1716.79</v>
      </c>
      <c r="C338" s="8">
        <v>1737.38</v>
      </c>
      <c r="D338" s="8">
        <v>98.81</v>
      </c>
    </row>
    <row r="339" spans="1:4">
      <c r="A339" s="7" t="s">
        <v>276</v>
      </c>
      <c r="B339" s="8">
        <v>1252.5899999999999</v>
      </c>
      <c r="C339" s="8">
        <v>1387.3</v>
      </c>
      <c r="D339" s="8">
        <v>90.29</v>
      </c>
    </row>
    <row r="340" spans="1:4">
      <c r="A340" s="7" t="s">
        <v>2735</v>
      </c>
      <c r="B340" s="8">
        <v>5826.16</v>
      </c>
      <c r="C340" s="8">
        <v>6583.66</v>
      </c>
      <c r="D340" s="8">
        <v>88.49</v>
      </c>
    </row>
    <row r="341" spans="1:4">
      <c r="A341" s="7" t="s">
        <v>2736</v>
      </c>
      <c r="B341" s="8">
        <v>6948.24</v>
      </c>
      <c r="C341" s="8">
        <v>8283.66</v>
      </c>
      <c r="D341" s="8">
        <v>83.88</v>
      </c>
    </row>
    <row r="342" spans="1:4">
      <c r="A342" s="7" t="s">
        <v>2737</v>
      </c>
      <c r="B342" s="8">
        <v>5134.9399999999996</v>
      </c>
      <c r="C342" s="8">
        <v>6433.66</v>
      </c>
      <c r="D342" s="8">
        <v>79.81</v>
      </c>
    </row>
    <row r="343" spans="1:4">
      <c r="A343" s="7" t="s">
        <v>2738</v>
      </c>
      <c r="B343" s="8">
        <v>8059.08</v>
      </c>
      <c r="C343" s="8">
        <v>9133.66</v>
      </c>
      <c r="D343" s="8">
        <v>88.23</v>
      </c>
    </row>
    <row r="344" spans="1:4">
      <c r="A344" s="7" t="s">
        <v>2739</v>
      </c>
      <c r="B344" s="8">
        <v>6590.9</v>
      </c>
      <c r="C344" s="8">
        <v>7983.66</v>
      </c>
      <c r="D344" s="8">
        <v>82.55</v>
      </c>
    </row>
    <row r="345" spans="1:4">
      <c r="A345" s="7" t="s">
        <v>2740</v>
      </c>
      <c r="B345" s="8">
        <v>7708.57</v>
      </c>
      <c r="C345" s="8">
        <v>9333.66</v>
      </c>
      <c r="D345" s="8">
        <v>82.59</v>
      </c>
    </row>
    <row r="346" spans="1:4">
      <c r="A346" s="7" t="s">
        <v>2741</v>
      </c>
      <c r="B346" s="8">
        <v>8242.59</v>
      </c>
      <c r="C346" s="8">
        <v>9033.66</v>
      </c>
      <c r="D346" s="8">
        <v>91.24</v>
      </c>
    </row>
    <row r="347" spans="1:4">
      <c r="A347" s="7" t="s">
        <v>2742</v>
      </c>
      <c r="B347" s="8">
        <v>7363.97</v>
      </c>
      <c r="C347" s="8">
        <v>8883.66</v>
      </c>
      <c r="D347" s="8">
        <v>82.89</v>
      </c>
    </row>
    <row r="348" spans="1:4">
      <c r="A348" s="7" t="s">
        <v>2743</v>
      </c>
      <c r="B348" s="8">
        <v>8051.77</v>
      </c>
      <c r="C348" s="8">
        <v>9333.66</v>
      </c>
      <c r="D348" s="8">
        <v>86.27</v>
      </c>
    </row>
    <row r="349" spans="1:4">
      <c r="A349" s="7" t="s">
        <v>2744</v>
      </c>
      <c r="B349" s="8">
        <v>5946.02</v>
      </c>
      <c r="C349" s="8">
        <v>7083.66</v>
      </c>
      <c r="D349" s="8">
        <v>83.94</v>
      </c>
    </row>
    <row r="350" spans="1:4">
      <c r="A350" s="7" t="s">
        <v>2745</v>
      </c>
      <c r="B350" s="8">
        <v>7484.79</v>
      </c>
      <c r="C350" s="8">
        <v>7383.66</v>
      </c>
      <c r="D350" s="8">
        <v>101.37</v>
      </c>
    </row>
    <row r="351" spans="1:4">
      <c r="A351" s="7" t="s">
        <v>2746</v>
      </c>
      <c r="B351" s="8">
        <v>5277.36</v>
      </c>
      <c r="C351" s="8">
        <v>6133.66</v>
      </c>
      <c r="D351" s="8">
        <v>86.04</v>
      </c>
    </row>
    <row r="352" spans="1:4">
      <c r="A352" s="7" t="s">
        <v>2747</v>
      </c>
      <c r="B352" s="8">
        <v>5808.16</v>
      </c>
      <c r="C352" s="8">
        <v>6483.66</v>
      </c>
      <c r="D352" s="8">
        <v>89.58</v>
      </c>
    </row>
    <row r="353" spans="1:4">
      <c r="A353" s="7" t="s">
        <v>2748</v>
      </c>
      <c r="B353" s="8">
        <v>5895.87</v>
      </c>
      <c r="C353" s="8">
        <v>6983.66</v>
      </c>
      <c r="D353" s="8">
        <v>84.42</v>
      </c>
    </row>
    <row r="354" spans="1:4">
      <c r="A354" s="7" t="s">
        <v>2749</v>
      </c>
      <c r="B354" s="8">
        <v>7513.41</v>
      </c>
      <c r="C354" s="8">
        <v>7259.26</v>
      </c>
      <c r="D354" s="8">
        <v>103.5</v>
      </c>
    </row>
    <row r="355" spans="1:4">
      <c r="A355" s="7" t="s">
        <v>2750</v>
      </c>
      <c r="B355" s="8">
        <v>8258.17</v>
      </c>
      <c r="C355" s="8">
        <v>8133.66</v>
      </c>
      <c r="D355" s="8">
        <v>101.53</v>
      </c>
    </row>
    <row r="356" spans="1:4">
      <c r="A356" s="7" t="s">
        <v>2751</v>
      </c>
      <c r="B356" s="8">
        <v>6733.75</v>
      </c>
      <c r="C356" s="8">
        <v>8009.26</v>
      </c>
      <c r="D356" s="8">
        <v>84.07</v>
      </c>
    </row>
    <row r="357" spans="1:4">
      <c r="A357" s="7" t="s">
        <v>2752</v>
      </c>
      <c r="B357" s="8">
        <v>6431.17</v>
      </c>
      <c r="C357" s="8">
        <v>7783.66</v>
      </c>
      <c r="D357" s="8">
        <v>82.62</v>
      </c>
    </row>
    <row r="358" spans="1:4">
      <c r="A358" s="7" t="s">
        <v>2753</v>
      </c>
      <c r="B358" s="8">
        <v>4613.37</v>
      </c>
      <c r="C358" s="8">
        <v>5733.66</v>
      </c>
      <c r="D358" s="8">
        <v>80.459999999999994</v>
      </c>
    </row>
    <row r="359" spans="1:4">
      <c r="A359" s="7" t="s">
        <v>2754</v>
      </c>
      <c r="B359" s="8">
        <v>7967.32</v>
      </c>
      <c r="C359" s="8">
        <v>7901.15</v>
      </c>
      <c r="D359" s="8">
        <v>100.84</v>
      </c>
    </row>
    <row r="360" spans="1:4">
      <c r="A360" s="7" t="s">
        <v>2755</v>
      </c>
      <c r="B360" s="8">
        <v>300</v>
      </c>
      <c r="C360" s="8">
        <v>300</v>
      </c>
      <c r="D360" s="8">
        <v>100</v>
      </c>
    </row>
    <row r="361" spans="1:4">
      <c r="A361" s="7" t="s">
        <v>2756</v>
      </c>
      <c r="B361" s="8">
        <v>300</v>
      </c>
      <c r="C361" s="8">
        <v>300</v>
      </c>
      <c r="D361" s="8">
        <v>100</v>
      </c>
    </row>
    <row r="362" spans="1:4">
      <c r="A362" s="7" t="s">
        <v>2757</v>
      </c>
      <c r="B362" s="8">
        <v>300</v>
      </c>
      <c r="C362" s="8">
        <v>300</v>
      </c>
      <c r="D362" s="8">
        <v>100</v>
      </c>
    </row>
    <row r="363" spans="1:4">
      <c r="A363" s="7" t="s">
        <v>2758</v>
      </c>
      <c r="B363" s="8">
        <v>300</v>
      </c>
      <c r="C363" s="8">
        <v>300</v>
      </c>
      <c r="D363" s="8">
        <v>100</v>
      </c>
    </row>
    <row r="364" spans="1:4">
      <c r="A364" s="7" t="s">
        <v>2759</v>
      </c>
      <c r="B364" s="8">
        <v>300</v>
      </c>
      <c r="C364" s="8">
        <v>300</v>
      </c>
      <c r="D364" s="8">
        <v>100</v>
      </c>
    </row>
    <row r="365" spans="1:4">
      <c r="A365" s="7" t="s">
        <v>2760</v>
      </c>
      <c r="B365" s="8">
        <v>300</v>
      </c>
      <c r="C365" s="8">
        <v>300</v>
      </c>
      <c r="D365" s="8">
        <v>100</v>
      </c>
    </row>
    <row r="366" spans="1:4">
      <c r="A366" s="7" t="s">
        <v>2761</v>
      </c>
      <c r="B366" s="8">
        <v>300</v>
      </c>
      <c r="C366" s="8">
        <v>300</v>
      </c>
      <c r="D366" s="8">
        <v>100</v>
      </c>
    </row>
    <row r="367" spans="1:4">
      <c r="A367" s="7" t="s">
        <v>2762</v>
      </c>
      <c r="B367" s="8">
        <v>300</v>
      </c>
      <c r="C367" s="8">
        <v>300</v>
      </c>
      <c r="D367" s="8">
        <v>100</v>
      </c>
    </row>
    <row r="368" spans="1:4">
      <c r="A368" s="7" t="s">
        <v>2763</v>
      </c>
      <c r="B368" s="8">
        <v>300</v>
      </c>
      <c r="C368" s="8">
        <v>300</v>
      </c>
      <c r="D368" s="8">
        <v>100</v>
      </c>
    </row>
    <row r="369" spans="1:4">
      <c r="A369" s="7" t="s">
        <v>2764</v>
      </c>
      <c r="B369" s="8">
        <v>300</v>
      </c>
      <c r="C369" s="8">
        <v>300</v>
      </c>
      <c r="D369" s="8">
        <v>100</v>
      </c>
    </row>
    <row r="370" spans="1:4">
      <c r="A370" s="7" t="s">
        <v>2765</v>
      </c>
      <c r="B370" s="8">
        <v>300</v>
      </c>
      <c r="C370" s="8">
        <v>300</v>
      </c>
      <c r="D370" s="8">
        <v>100</v>
      </c>
    </row>
    <row r="371" spans="1:4">
      <c r="A371" s="7" t="s">
        <v>2766</v>
      </c>
      <c r="B371" s="8">
        <v>300</v>
      </c>
      <c r="C371" s="8">
        <v>300</v>
      </c>
      <c r="D371" s="8">
        <v>100</v>
      </c>
    </row>
    <row r="372" spans="1:4">
      <c r="A372" s="7" t="s">
        <v>315</v>
      </c>
      <c r="B372" s="8">
        <v>8809.86</v>
      </c>
      <c r="C372" s="8">
        <v>7738.78</v>
      </c>
      <c r="D372" s="8">
        <v>113.84</v>
      </c>
    </row>
    <row r="373" spans="1:4">
      <c r="A373" s="7" t="s">
        <v>316</v>
      </c>
      <c r="B373" s="8">
        <v>9077.25</v>
      </c>
      <c r="C373" s="8">
        <v>9438.7800000000007</v>
      </c>
      <c r="D373" s="8">
        <v>96.17</v>
      </c>
    </row>
    <row r="374" spans="1:4">
      <c r="A374" s="7" t="s">
        <v>317</v>
      </c>
      <c r="B374" s="8">
        <v>8115.46</v>
      </c>
      <c r="C374" s="8">
        <v>7888.78</v>
      </c>
      <c r="D374" s="8">
        <v>102.87</v>
      </c>
    </row>
    <row r="375" spans="1:4">
      <c r="A375" s="7" t="s">
        <v>318</v>
      </c>
      <c r="B375" s="8">
        <v>9909.65</v>
      </c>
      <c r="C375" s="8">
        <v>7588.78</v>
      </c>
      <c r="D375" s="8">
        <v>130.58000000000001</v>
      </c>
    </row>
    <row r="376" spans="1:4">
      <c r="A376" s="7" t="s">
        <v>319</v>
      </c>
      <c r="B376" s="8">
        <v>6428.41</v>
      </c>
      <c r="C376" s="8">
        <v>6738.78</v>
      </c>
      <c r="D376" s="8">
        <v>95.39</v>
      </c>
    </row>
    <row r="377" spans="1:4">
      <c r="A377" s="7" t="s">
        <v>320</v>
      </c>
      <c r="B377" s="8">
        <v>8931.6299999999992</v>
      </c>
      <c r="C377" s="8">
        <v>7188.78</v>
      </c>
      <c r="D377" s="8">
        <v>124.24</v>
      </c>
    </row>
    <row r="378" spans="1:4">
      <c r="A378" s="7" t="s">
        <v>321</v>
      </c>
      <c r="B378" s="8">
        <v>12230.58</v>
      </c>
      <c r="C378" s="8">
        <v>8688.7800000000007</v>
      </c>
      <c r="D378" s="8">
        <v>140.76</v>
      </c>
    </row>
    <row r="379" spans="1:4">
      <c r="A379" s="7" t="s">
        <v>322</v>
      </c>
      <c r="B379" s="8">
        <v>9102.6</v>
      </c>
      <c r="C379" s="8">
        <v>7638.78</v>
      </c>
      <c r="D379" s="8">
        <v>119.16</v>
      </c>
    </row>
    <row r="380" spans="1:4">
      <c r="A380" s="7" t="s">
        <v>323</v>
      </c>
      <c r="B380" s="8">
        <v>6957.14</v>
      </c>
      <c r="C380" s="8">
        <v>7188.78</v>
      </c>
      <c r="D380" s="8">
        <v>96.78</v>
      </c>
    </row>
    <row r="381" spans="1:4">
      <c r="A381" s="7" t="s">
        <v>324</v>
      </c>
      <c r="B381" s="8">
        <v>6350.85</v>
      </c>
      <c r="C381" s="8">
        <v>5238.78</v>
      </c>
      <c r="D381" s="8">
        <v>121.23</v>
      </c>
    </row>
    <row r="382" spans="1:4">
      <c r="A382" s="7" t="s">
        <v>325</v>
      </c>
      <c r="B382" s="8">
        <v>7095.89</v>
      </c>
      <c r="C382" s="8">
        <v>6138.78</v>
      </c>
      <c r="D382" s="8">
        <v>115.59</v>
      </c>
    </row>
    <row r="383" spans="1:4">
      <c r="A383" s="7" t="s">
        <v>326</v>
      </c>
      <c r="B383" s="8">
        <v>7534.25</v>
      </c>
      <c r="C383" s="8">
        <v>8188.78</v>
      </c>
      <c r="D383" s="8">
        <v>92.01</v>
      </c>
    </row>
    <row r="384" spans="1:4">
      <c r="A384" s="7" t="s">
        <v>327</v>
      </c>
      <c r="B384" s="8">
        <v>8155.14</v>
      </c>
      <c r="C384" s="8">
        <v>8838.7800000000007</v>
      </c>
      <c r="D384" s="8">
        <v>92.27</v>
      </c>
    </row>
    <row r="385" spans="1:4">
      <c r="A385" s="7" t="s">
        <v>328</v>
      </c>
      <c r="B385" s="8">
        <v>21061.62</v>
      </c>
      <c r="C385" s="8">
        <v>8738.7800000000007</v>
      </c>
      <c r="D385" s="8">
        <v>241.01</v>
      </c>
    </row>
    <row r="386" spans="1:4">
      <c r="A386" s="7" t="s">
        <v>329</v>
      </c>
      <c r="B386" s="8">
        <v>8880.5</v>
      </c>
      <c r="C386" s="8">
        <v>9485.24</v>
      </c>
      <c r="D386" s="8">
        <v>93.62</v>
      </c>
    </row>
    <row r="387" spans="1:4">
      <c r="A387" s="7" t="s">
        <v>330</v>
      </c>
      <c r="B387" s="8">
        <v>9817.41</v>
      </c>
      <c r="C387" s="8">
        <v>9588.7800000000007</v>
      </c>
      <c r="D387" s="8">
        <v>102.38</v>
      </c>
    </row>
    <row r="388" spans="1:4">
      <c r="A388" s="7" t="s">
        <v>331</v>
      </c>
      <c r="B388" s="8">
        <v>10443.39</v>
      </c>
      <c r="C388" s="8">
        <v>7847.06</v>
      </c>
      <c r="D388" s="8">
        <v>133.09</v>
      </c>
    </row>
    <row r="389" spans="1:4">
      <c r="A389" s="7" t="s">
        <v>332</v>
      </c>
      <c r="B389" s="8">
        <v>8451.6200000000008</v>
      </c>
      <c r="C389" s="8">
        <v>8050.6</v>
      </c>
      <c r="D389" s="8">
        <v>104.98</v>
      </c>
    </row>
    <row r="390" spans="1:4">
      <c r="A390" s="7" t="s">
        <v>333</v>
      </c>
      <c r="B390" s="8">
        <v>5343.78</v>
      </c>
      <c r="C390" s="8">
        <v>5700.6</v>
      </c>
      <c r="D390" s="8">
        <v>93.74</v>
      </c>
    </row>
    <row r="391" spans="1:4">
      <c r="A391" s="7" t="s">
        <v>334</v>
      </c>
      <c r="B391" s="8">
        <v>6831.33</v>
      </c>
      <c r="C391" s="8">
        <v>6400.47</v>
      </c>
      <c r="D391" s="8">
        <v>106.73</v>
      </c>
    </row>
    <row r="392" spans="1:4">
      <c r="A392" s="7" t="s">
        <v>335</v>
      </c>
      <c r="B392" s="8">
        <v>300</v>
      </c>
      <c r="C392" s="8">
        <v>300</v>
      </c>
      <c r="D392" s="8">
        <v>100</v>
      </c>
    </row>
    <row r="393" spans="1:4">
      <c r="A393" s="7" t="s">
        <v>336</v>
      </c>
      <c r="B393" s="8">
        <v>300</v>
      </c>
      <c r="C393" s="8">
        <v>300</v>
      </c>
      <c r="D393" s="8">
        <v>100</v>
      </c>
    </row>
    <row r="394" spans="1:4">
      <c r="A394" s="7" t="s">
        <v>337</v>
      </c>
      <c r="B394" s="8">
        <v>300</v>
      </c>
      <c r="C394" s="8">
        <v>300</v>
      </c>
      <c r="D394" s="8">
        <v>100</v>
      </c>
    </row>
    <row r="395" spans="1:4">
      <c r="A395" s="7" t="s">
        <v>338</v>
      </c>
      <c r="B395" s="8">
        <v>300</v>
      </c>
      <c r="C395" s="8">
        <v>300</v>
      </c>
      <c r="D395" s="8">
        <v>100</v>
      </c>
    </row>
    <row r="396" spans="1:4">
      <c r="A396" s="7" t="s">
        <v>339</v>
      </c>
      <c r="B396" s="8">
        <v>300</v>
      </c>
      <c r="C396" s="8">
        <v>300</v>
      </c>
      <c r="D396" s="8">
        <v>100</v>
      </c>
    </row>
    <row r="397" spans="1:4">
      <c r="A397" s="7" t="s">
        <v>340</v>
      </c>
      <c r="B397" s="8">
        <v>300</v>
      </c>
      <c r="C397" s="8">
        <v>300</v>
      </c>
      <c r="D397" s="8">
        <v>100</v>
      </c>
    </row>
    <row r="398" spans="1:4">
      <c r="A398" s="7" t="s">
        <v>341</v>
      </c>
      <c r="B398" s="8">
        <v>300</v>
      </c>
      <c r="C398" s="8">
        <v>300</v>
      </c>
      <c r="D398" s="8">
        <v>100</v>
      </c>
    </row>
    <row r="399" spans="1:4">
      <c r="A399" s="7" t="s">
        <v>342</v>
      </c>
      <c r="B399" s="8">
        <v>300</v>
      </c>
      <c r="C399" s="8">
        <v>300</v>
      </c>
      <c r="D399" s="8">
        <v>100</v>
      </c>
    </row>
    <row r="400" spans="1:4">
      <c r="A400" s="7" t="s">
        <v>343</v>
      </c>
      <c r="B400" s="8">
        <v>300</v>
      </c>
      <c r="C400" s="8">
        <v>300</v>
      </c>
      <c r="D400" s="8">
        <v>100</v>
      </c>
    </row>
    <row r="401" spans="1:4">
      <c r="A401" s="7" t="s">
        <v>344</v>
      </c>
      <c r="B401" s="8">
        <v>300</v>
      </c>
      <c r="C401" s="8">
        <v>300</v>
      </c>
      <c r="D401" s="8">
        <v>100</v>
      </c>
    </row>
    <row r="402" spans="1:4">
      <c r="A402" s="7" t="s">
        <v>345</v>
      </c>
      <c r="B402" s="8">
        <v>300</v>
      </c>
      <c r="C402" s="8">
        <v>300</v>
      </c>
      <c r="D402" s="8">
        <v>100</v>
      </c>
    </row>
    <row r="403" spans="1:4">
      <c r="A403" s="7" t="s">
        <v>346</v>
      </c>
      <c r="B403" s="8">
        <v>300</v>
      </c>
      <c r="C403" s="8">
        <v>300</v>
      </c>
      <c r="D403" s="8">
        <v>100</v>
      </c>
    </row>
    <row r="404" spans="1:4">
      <c r="A404" s="7" t="s">
        <v>347</v>
      </c>
      <c r="B404" s="8">
        <v>3561.43</v>
      </c>
      <c r="C404" s="8">
        <v>3575</v>
      </c>
      <c r="D404" s="8">
        <v>99.62</v>
      </c>
    </row>
    <row r="405" spans="1:4">
      <c r="A405" s="7" t="s">
        <v>348</v>
      </c>
      <c r="B405" s="8">
        <v>4868.2299999999996</v>
      </c>
      <c r="C405" s="8">
        <v>5275</v>
      </c>
      <c r="D405" s="8">
        <v>92.29</v>
      </c>
    </row>
    <row r="406" spans="1:4">
      <c r="A406" s="7" t="s">
        <v>349</v>
      </c>
      <c r="B406" s="8">
        <v>3205.88</v>
      </c>
      <c r="C406" s="8">
        <v>3725</v>
      </c>
      <c r="D406" s="8">
        <v>86.06</v>
      </c>
    </row>
    <row r="407" spans="1:4">
      <c r="A407" s="7" t="s">
        <v>350</v>
      </c>
      <c r="B407" s="8">
        <v>4842.3599999999997</v>
      </c>
      <c r="C407" s="8">
        <v>4500.6000000000004</v>
      </c>
      <c r="D407" s="8">
        <v>107.59</v>
      </c>
    </row>
    <row r="408" spans="1:4">
      <c r="A408" s="7" t="s">
        <v>351</v>
      </c>
      <c r="B408" s="8">
        <v>3200.2</v>
      </c>
      <c r="C408" s="8">
        <v>3350.6</v>
      </c>
      <c r="D408" s="8">
        <v>95.51</v>
      </c>
    </row>
    <row r="409" spans="1:4">
      <c r="A409" s="7" t="s">
        <v>352</v>
      </c>
      <c r="B409" s="8">
        <v>4282.67</v>
      </c>
      <c r="C409" s="8">
        <v>4700.6000000000004</v>
      </c>
      <c r="D409" s="8">
        <v>91.11</v>
      </c>
    </row>
    <row r="410" spans="1:4">
      <c r="A410" s="7" t="s">
        <v>353</v>
      </c>
      <c r="B410" s="8">
        <v>7062.17</v>
      </c>
      <c r="C410" s="8">
        <v>4525</v>
      </c>
      <c r="D410" s="8">
        <v>156.07</v>
      </c>
    </row>
    <row r="411" spans="1:4">
      <c r="A411" s="7" t="s">
        <v>354</v>
      </c>
      <c r="B411" s="8">
        <v>4096.75</v>
      </c>
      <c r="C411" s="8">
        <v>4250.6000000000004</v>
      </c>
      <c r="D411" s="8">
        <v>96.38</v>
      </c>
    </row>
    <row r="412" spans="1:4">
      <c r="A412" s="7" t="s">
        <v>355</v>
      </c>
      <c r="B412" s="8">
        <v>6126.26</v>
      </c>
      <c r="C412" s="8">
        <v>4700.6000000000004</v>
      </c>
      <c r="D412" s="8">
        <v>130.33000000000001</v>
      </c>
    </row>
    <row r="413" spans="1:4">
      <c r="A413" s="7" t="s">
        <v>356</v>
      </c>
      <c r="B413" s="8">
        <v>2109.85</v>
      </c>
      <c r="C413" s="8">
        <v>2450.6</v>
      </c>
      <c r="D413" s="8">
        <v>86.1</v>
      </c>
    </row>
    <row r="414" spans="1:4">
      <c r="A414" s="7" t="s">
        <v>357</v>
      </c>
      <c r="B414" s="8">
        <v>2974.63</v>
      </c>
      <c r="C414" s="8">
        <v>2750.6</v>
      </c>
      <c r="D414" s="8">
        <v>108.14</v>
      </c>
    </row>
    <row r="415" spans="1:4">
      <c r="A415" s="7" t="s">
        <v>358</v>
      </c>
      <c r="B415" s="8">
        <v>3606.28</v>
      </c>
      <c r="C415" s="8">
        <v>4025</v>
      </c>
      <c r="D415" s="8">
        <v>89.6</v>
      </c>
    </row>
    <row r="416" spans="1:4">
      <c r="A416" s="7" t="s">
        <v>359</v>
      </c>
      <c r="B416" s="8">
        <v>4357.8599999999997</v>
      </c>
      <c r="C416" s="8">
        <v>4675</v>
      </c>
      <c r="D416" s="8">
        <v>93.22</v>
      </c>
    </row>
    <row r="417" spans="1:4">
      <c r="A417" s="7" t="s">
        <v>360</v>
      </c>
      <c r="B417" s="8">
        <v>3956.93</v>
      </c>
      <c r="C417" s="8">
        <v>4575</v>
      </c>
      <c r="D417" s="8">
        <v>86.49</v>
      </c>
    </row>
    <row r="418" spans="1:4">
      <c r="A418" s="7" t="s">
        <v>361</v>
      </c>
      <c r="B418" s="8">
        <v>5168.62</v>
      </c>
      <c r="C418" s="8">
        <v>5321.46</v>
      </c>
      <c r="D418" s="8">
        <v>97.13</v>
      </c>
    </row>
    <row r="419" spans="1:4">
      <c r="A419" s="7" t="s">
        <v>362</v>
      </c>
      <c r="B419" s="8">
        <v>8062.29</v>
      </c>
      <c r="C419" s="8">
        <v>5425</v>
      </c>
      <c r="D419" s="8">
        <v>148.61000000000001</v>
      </c>
    </row>
    <row r="420" spans="1:4">
      <c r="A420" s="7" t="s">
        <v>363</v>
      </c>
      <c r="B420" s="8">
        <v>4438.58</v>
      </c>
      <c r="C420" s="8">
        <v>4571.46</v>
      </c>
      <c r="D420" s="8">
        <v>97.09</v>
      </c>
    </row>
    <row r="421" spans="1:4">
      <c r="A421" s="7" t="s">
        <v>364</v>
      </c>
      <c r="B421" s="8">
        <v>4448.59</v>
      </c>
      <c r="C421" s="8">
        <v>4775</v>
      </c>
      <c r="D421" s="8">
        <v>93.16</v>
      </c>
    </row>
    <row r="422" spans="1:4">
      <c r="A422" s="7" t="s">
        <v>365</v>
      </c>
      <c r="B422" s="8">
        <v>2086.96</v>
      </c>
      <c r="C422" s="8">
        <v>2425</v>
      </c>
      <c r="D422" s="8">
        <v>86.06</v>
      </c>
    </row>
    <row r="423" spans="1:4">
      <c r="A423" s="7" t="s">
        <v>366</v>
      </c>
      <c r="B423" s="8">
        <v>3398.04</v>
      </c>
      <c r="C423" s="8">
        <v>3268.09</v>
      </c>
      <c r="D423" s="8">
        <v>103.98</v>
      </c>
    </row>
    <row r="424" spans="1:4">
      <c r="A424" s="7" t="s">
        <v>367</v>
      </c>
      <c r="B424" s="8">
        <v>300</v>
      </c>
      <c r="C424" s="8">
        <v>300</v>
      </c>
      <c r="D424" s="8">
        <v>100</v>
      </c>
    </row>
    <row r="425" spans="1:4">
      <c r="A425" s="7" t="s">
        <v>368</v>
      </c>
      <c r="B425" s="8">
        <v>300</v>
      </c>
      <c r="C425" s="8">
        <v>300</v>
      </c>
      <c r="D425" s="8">
        <v>100</v>
      </c>
    </row>
    <row r="426" spans="1:4">
      <c r="A426" s="7" t="s">
        <v>369</v>
      </c>
      <c r="B426" s="8">
        <v>300</v>
      </c>
      <c r="C426" s="8">
        <v>300</v>
      </c>
      <c r="D426" s="8">
        <v>100</v>
      </c>
    </row>
    <row r="427" spans="1:4">
      <c r="A427" s="7" t="s">
        <v>370</v>
      </c>
      <c r="B427" s="8">
        <v>300</v>
      </c>
      <c r="C427" s="8">
        <v>300</v>
      </c>
      <c r="D427" s="8">
        <v>100</v>
      </c>
    </row>
    <row r="428" spans="1:4">
      <c r="A428" s="7" t="s">
        <v>371</v>
      </c>
      <c r="B428" s="8">
        <v>300</v>
      </c>
      <c r="C428" s="8">
        <v>300</v>
      </c>
      <c r="D428" s="8">
        <v>100</v>
      </c>
    </row>
    <row r="429" spans="1:4">
      <c r="A429" s="7" t="s">
        <v>372</v>
      </c>
      <c r="B429" s="8">
        <v>300</v>
      </c>
      <c r="C429" s="8">
        <v>300</v>
      </c>
      <c r="D429" s="8">
        <v>100</v>
      </c>
    </row>
    <row r="430" spans="1:4">
      <c r="A430" s="7" t="s">
        <v>373</v>
      </c>
      <c r="B430" s="8">
        <v>300</v>
      </c>
      <c r="C430" s="8">
        <v>300</v>
      </c>
      <c r="D430" s="8">
        <v>100</v>
      </c>
    </row>
    <row r="431" spans="1:4">
      <c r="A431" s="7" t="s">
        <v>374</v>
      </c>
      <c r="B431" s="8">
        <v>300</v>
      </c>
      <c r="C431" s="8">
        <v>300</v>
      </c>
      <c r="D431" s="8">
        <v>100</v>
      </c>
    </row>
    <row r="432" spans="1:4">
      <c r="A432" s="7" t="s">
        <v>375</v>
      </c>
      <c r="B432" s="8">
        <v>300</v>
      </c>
      <c r="C432" s="8">
        <v>300</v>
      </c>
      <c r="D432" s="8">
        <v>100</v>
      </c>
    </row>
    <row r="433" spans="1:4">
      <c r="A433" s="7" t="s">
        <v>376</v>
      </c>
      <c r="B433" s="8">
        <v>300</v>
      </c>
      <c r="C433" s="8">
        <v>300</v>
      </c>
      <c r="D433" s="8">
        <v>100</v>
      </c>
    </row>
    <row r="434" spans="1:4">
      <c r="A434" s="7" t="s">
        <v>377</v>
      </c>
      <c r="B434" s="8">
        <v>300</v>
      </c>
      <c r="C434" s="8">
        <v>300</v>
      </c>
      <c r="D434" s="8">
        <v>100</v>
      </c>
    </row>
    <row r="435" spans="1:4">
      <c r="A435" s="7" t="s">
        <v>378</v>
      </c>
      <c r="B435" s="8">
        <v>300</v>
      </c>
      <c r="C435" s="8">
        <v>300</v>
      </c>
      <c r="D435" s="8">
        <v>100</v>
      </c>
    </row>
    <row r="436" spans="1:4">
      <c r="A436" s="7" t="s">
        <v>379</v>
      </c>
      <c r="B436" s="8">
        <v>6805.99</v>
      </c>
      <c r="C436" s="8">
        <v>7286.82</v>
      </c>
      <c r="D436" s="8">
        <v>93.4</v>
      </c>
    </row>
    <row r="437" spans="1:4">
      <c r="A437" s="7" t="s">
        <v>380</v>
      </c>
      <c r="B437" s="8">
        <v>8098.04</v>
      </c>
      <c r="C437" s="8">
        <v>7986.82</v>
      </c>
      <c r="D437" s="8">
        <v>101.39</v>
      </c>
    </row>
    <row r="438" spans="1:4">
      <c r="A438" s="7" t="s">
        <v>381</v>
      </c>
      <c r="B438" s="8">
        <v>6853.34</v>
      </c>
      <c r="C438" s="8">
        <v>7436.82</v>
      </c>
      <c r="D438" s="8">
        <v>92.15</v>
      </c>
    </row>
    <row r="439" spans="1:4">
      <c r="A439" s="7" t="s">
        <v>382</v>
      </c>
      <c r="B439" s="8">
        <v>7009.01</v>
      </c>
      <c r="C439" s="8">
        <v>7136.82</v>
      </c>
      <c r="D439" s="8">
        <v>98.21</v>
      </c>
    </row>
    <row r="440" spans="1:4">
      <c r="A440" s="7" t="s">
        <v>383</v>
      </c>
      <c r="B440" s="8">
        <v>10866.69</v>
      </c>
      <c r="C440" s="8">
        <v>8286.82</v>
      </c>
      <c r="D440" s="8">
        <v>131.13</v>
      </c>
    </row>
    <row r="441" spans="1:4">
      <c r="A441" s="7" t="s">
        <v>384</v>
      </c>
      <c r="B441" s="8">
        <v>5688.64</v>
      </c>
      <c r="C441" s="8">
        <v>5736.82</v>
      </c>
      <c r="D441" s="8">
        <v>99.16</v>
      </c>
    </row>
    <row r="442" spans="1:4">
      <c r="A442" s="7" t="s">
        <v>385</v>
      </c>
      <c r="B442" s="8">
        <v>9489.4500000000007</v>
      </c>
      <c r="C442" s="8">
        <v>7236.82</v>
      </c>
      <c r="D442" s="8">
        <v>131.13</v>
      </c>
    </row>
    <row r="443" spans="1:4">
      <c r="A443" s="7" t="s">
        <v>386</v>
      </c>
      <c r="B443" s="8">
        <v>6465.26</v>
      </c>
      <c r="C443" s="8">
        <v>6186.82</v>
      </c>
      <c r="D443" s="8">
        <v>104.5</v>
      </c>
    </row>
    <row r="444" spans="1:4">
      <c r="A444" s="7" t="s">
        <v>387</v>
      </c>
      <c r="B444" s="8">
        <v>5988.15</v>
      </c>
      <c r="C444" s="8">
        <v>5944.68</v>
      </c>
      <c r="D444" s="8">
        <v>100.73</v>
      </c>
    </row>
    <row r="445" spans="1:4">
      <c r="A445" s="7" t="s">
        <v>388</v>
      </c>
      <c r="B445" s="8">
        <v>6388</v>
      </c>
      <c r="C445" s="8">
        <v>6786.82</v>
      </c>
      <c r="D445" s="8">
        <v>94.12</v>
      </c>
    </row>
    <row r="446" spans="1:4">
      <c r="A446" s="7" t="s">
        <v>389</v>
      </c>
      <c r="B446" s="8">
        <v>7291.04</v>
      </c>
      <c r="C446" s="8">
        <v>7686.82</v>
      </c>
      <c r="D446" s="8">
        <v>94.85</v>
      </c>
    </row>
    <row r="447" spans="1:4">
      <c r="A447" s="7" t="s">
        <v>390</v>
      </c>
      <c r="B447" s="8">
        <v>7822.83</v>
      </c>
      <c r="C447" s="8">
        <v>7736.82</v>
      </c>
      <c r="D447" s="8">
        <v>101.11</v>
      </c>
    </row>
    <row r="448" spans="1:4">
      <c r="A448" s="7" t="s">
        <v>391</v>
      </c>
      <c r="B448" s="8">
        <v>8653.18</v>
      </c>
      <c r="C448" s="8">
        <v>8494.68</v>
      </c>
      <c r="D448" s="8">
        <v>101.87</v>
      </c>
    </row>
    <row r="449" spans="1:4">
      <c r="A449" s="7" t="s">
        <v>392</v>
      </c>
      <c r="B449" s="8">
        <v>13661.49</v>
      </c>
      <c r="C449" s="8">
        <v>9286.82</v>
      </c>
      <c r="D449" s="8">
        <v>147.11000000000001</v>
      </c>
    </row>
    <row r="450" spans="1:4">
      <c r="A450" s="7" t="s">
        <v>393</v>
      </c>
      <c r="B450" s="8">
        <v>10618.88</v>
      </c>
      <c r="C450" s="8">
        <v>9377.5400000000009</v>
      </c>
      <c r="D450" s="8">
        <v>113.24</v>
      </c>
    </row>
    <row r="451" spans="1:4">
      <c r="A451" s="7" t="s">
        <v>394</v>
      </c>
      <c r="B451" s="8">
        <v>11901.09</v>
      </c>
      <c r="C451" s="8">
        <v>9544.68</v>
      </c>
      <c r="D451" s="8">
        <v>124.69</v>
      </c>
    </row>
    <row r="452" spans="1:4">
      <c r="A452" s="7" t="s">
        <v>2767</v>
      </c>
      <c r="B452" s="8">
        <v>9774</v>
      </c>
      <c r="C452" s="8">
        <v>9527.5400000000009</v>
      </c>
      <c r="D452" s="8">
        <v>102.59</v>
      </c>
    </row>
    <row r="453" spans="1:4">
      <c r="A453" s="7" t="s">
        <v>2768</v>
      </c>
      <c r="B453" s="8">
        <v>12837.89</v>
      </c>
      <c r="C453" s="8">
        <v>9794.68</v>
      </c>
      <c r="D453" s="8">
        <v>131.07</v>
      </c>
    </row>
    <row r="454" spans="1:4">
      <c r="A454" s="7" t="s">
        <v>2769</v>
      </c>
      <c r="B454" s="8">
        <v>8396.08</v>
      </c>
      <c r="C454" s="8">
        <v>8136.82</v>
      </c>
      <c r="D454" s="8">
        <v>103.19</v>
      </c>
    </row>
    <row r="455" spans="1:4">
      <c r="A455" s="7" t="s">
        <v>2770</v>
      </c>
      <c r="B455" s="8">
        <v>8785.4699999999993</v>
      </c>
      <c r="C455" s="8">
        <v>8588.65</v>
      </c>
      <c r="D455" s="8">
        <v>102.29</v>
      </c>
    </row>
    <row r="456" spans="1:4">
      <c r="A456" s="7" t="s">
        <v>2771</v>
      </c>
      <c r="B456" s="8">
        <v>300</v>
      </c>
      <c r="C456" s="8">
        <v>300</v>
      </c>
      <c r="D456" s="8">
        <v>100</v>
      </c>
    </row>
    <row r="457" spans="1:4">
      <c r="A457" s="7" t="s">
        <v>2772</v>
      </c>
      <c r="B457" s="8">
        <v>300</v>
      </c>
      <c r="C457" s="8">
        <v>300</v>
      </c>
      <c r="D457" s="8">
        <v>100</v>
      </c>
    </row>
    <row r="458" spans="1:4">
      <c r="A458" s="7" t="s">
        <v>2773</v>
      </c>
      <c r="B458" s="8">
        <v>300</v>
      </c>
      <c r="C458" s="8">
        <v>300</v>
      </c>
      <c r="D458" s="8">
        <v>100</v>
      </c>
    </row>
    <row r="459" spans="1:4">
      <c r="A459" s="7" t="s">
        <v>2774</v>
      </c>
      <c r="B459" s="8">
        <v>300</v>
      </c>
      <c r="C459" s="8">
        <v>300</v>
      </c>
      <c r="D459" s="8">
        <v>100</v>
      </c>
    </row>
    <row r="460" spans="1:4">
      <c r="A460" s="7" t="s">
        <v>2775</v>
      </c>
      <c r="B460" s="8">
        <v>300</v>
      </c>
      <c r="C460" s="8">
        <v>300</v>
      </c>
      <c r="D460" s="8">
        <v>100</v>
      </c>
    </row>
    <row r="461" spans="1:4">
      <c r="A461" s="7" t="s">
        <v>2776</v>
      </c>
      <c r="B461" s="8">
        <v>300</v>
      </c>
      <c r="C461" s="8">
        <v>300</v>
      </c>
      <c r="D461" s="8">
        <v>100</v>
      </c>
    </row>
    <row r="462" spans="1:4">
      <c r="A462" s="7" t="s">
        <v>2777</v>
      </c>
      <c r="B462" s="8">
        <v>300</v>
      </c>
      <c r="C462" s="8">
        <v>300</v>
      </c>
      <c r="D462" s="8">
        <v>100</v>
      </c>
    </row>
    <row r="463" spans="1:4">
      <c r="A463" s="7" t="s">
        <v>2778</v>
      </c>
      <c r="B463" s="8">
        <v>300</v>
      </c>
      <c r="C463" s="8">
        <v>300</v>
      </c>
      <c r="D463" s="8">
        <v>100</v>
      </c>
    </row>
    <row r="464" spans="1:4">
      <c r="A464" s="7" t="s">
        <v>2779</v>
      </c>
      <c r="B464" s="8">
        <v>300</v>
      </c>
      <c r="C464" s="8">
        <v>300</v>
      </c>
      <c r="D464" s="8">
        <v>100</v>
      </c>
    </row>
    <row r="465" spans="1:4">
      <c r="A465" s="7" t="s">
        <v>2780</v>
      </c>
      <c r="B465" s="8">
        <v>300</v>
      </c>
      <c r="C465" s="8">
        <v>300</v>
      </c>
      <c r="D465" s="8">
        <v>100</v>
      </c>
    </row>
    <row r="466" spans="1:4">
      <c r="A466" s="7" t="s">
        <v>2781</v>
      </c>
      <c r="B466" s="8">
        <v>300</v>
      </c>
      <c r="C466" s="8">
        <v>300</v>
      </c>
      <c r="D466" s="8">
        <v>100</v>
      </c>
    </row>
    <row r="467" spans="1:4">
      <c r="A467" s="7" t="s">
        <v>2782</v>
      </c>
      <c r="B467" s="8">
        <v>300</v>
      </c>
      <c r="C467" s="8">
        <v>300</v>
      </c>
      <c r="D467" s="8">
        <v>100</v>
      </c>
    </row>
    <row r="468" spans="1:4">
      <c r="A468" s="7" t="s">
        <v>2783</v>
      </c>
      <c r="B468" s="8">
        <v>15555.57</v>
      </c>
      <c r="C468" s="8">
        <v>13068.7</v>
      </c>
      <c r="D468" s="8">
        <v>119.03</v>
      </c>
    </row>
    <row r="469" spans="1:4">
      <c r="A469" s="7" t="s">
        <v>2784</v>
      </c>
      <c r="B469" s="8">
        <v>15161.89</v>
      </c>
      <c r="C469" s="8">
        <v>14768.7</v>
      </c>
      <c r="D469" s="8">
        <v>102.66</v>
      </c>
    </row>
    <row r="470" spans="1:4">
      <c r="A470" s="7" t="s">
        <v>2785</v>
      </c>
      <c r="B470" s="8">
        <v>12615.21</v>
      </c>
      <c r="C470" s="8">
        <v>13218.7</v>
      </c>
      <c r="D470" s="8">
        <v>95.43</v>
      </c>
    </row>
    <row r="471" spans="1:4">
      <c r="A471" s="7" t="s">
        <v>2786</v>
      </c>
      <c r="B471" s="8">
        <v>11817.33</v>
      </c>
      <c r="C471" s="8">
        <v>12918.7</v>
      </c>
      <c r="D471" s="8">
        <v>91.47</v>
      </c>
    </row>
    <row r="472" spans="1:4">
      <c r="A472" s="7" t="s">
        <v>2787</v>
      </c>
      <c r="B472" s="8">
        <v>12191.85</v>
      </c>
      <c r="C472" s="8">
        <v>12068.7</v>
      </c>
      <c r="D472" s="8">
        <v>101.02</v>
      </c>
    </row>
    <row r="473" spans="1:4">
      <c r="A473" s="7" t="s">
        <v>2788</v>
      </c>
      <c r="B473" s="8">
        <v>17798.14</v>
      </c>
      <c r="C473" s="8">
        <v>12518.7</v>
      </c>
      <c r="D473" s="8">
        <v>142.16999999999999</v>
      </c>
    </row>
    <row r="474" spans="1:4">
      <c r="A474" s="7" t="s">
        <v>2789</v>
      </c>
      <c r="B474" s="8">
        <v>12671.93</v>
      </c>
      <c r="C474" s="8">
        <v>14018.7</v>
      </c>
      <c r="D474" s="8">
        <v>90.39</v>
      </c>
    </row>
    <row r="475" spans="1:4">
      <c r="A475" s="7" t="s">
        <v>2790</v>
      </c>
      <c r="B475" s="8">
        <v>11948.56</v>
      </c>
      <c r="C475" s="8">
        <v>12968.7</v>
      </c>
      <c r="D475" s="8">
        <v>92.13</v>
      </c>
    </row>
    <row r="476" spans="1:4">
      <c r="A476" s="7" t="s">
        <v>2791</v>
      </c>
      <c r="B476" s="8">
        <v>11608.18</v>
      </c>
      <c r="C476" s="8">
        <v>12518.7</v>
      </c>
      <c r="D476" s="8">
        <v>92.73</v>
      </c>
    </row>
    <row r="477" spans="1:4">
      <c r="A477" s="7" t="s">
        <v>2792</v>
      </c>
      <c r="B477" s="8">
        <v>9547.4500000000007</v>
      </c>
      <c r="C477" s="8">
        <v>10568.7</v>
      </c>
      <c r="D477" s="8">
        <v>90.34</v>
      </c>
    </row>
    <row r="478" spans="1:4">
      <c r="A478" s="7" t="s">
        <v>2793</v>
      </c>
      <c r="B478" s="8">
        <v>10762.92</v>
      </c>
      <c r="C478" s="8">
        <v>11468.7</v>
      </c>
      <c r="D478" s="8">
        <v>93.85</v>
      </c>
    </row>
    <row r="479" spans="1:4">
      <c r="A479" s="7" t="s">
        <v>2794</v>
      </c>
      <c r="B479" s="8">
        <v>16995.48</v>
      </c>
      <c r="C479" s="8">
        <v>13518.7</v>
      </c>
      <c r="D479" s="8">
        <v>125.72</v>
      </c>
    </row>
    <row r="480" spans="1:4">
      <c r="A480" s="7" t="s">
        <v>2795</v>
      </c>
      <c r="B480" s="8">
        <v>15581.33</v>
      </c>
      <c r="C480" s="8">
        <v>14168.7</v>
      </c>
      <c r="D480" s="8">
        <v>109.97</v>
      </c>
    </row>
    <row r="481" spans="1:4">
      <c r="A481" s="7" t="s">
        <v>2796</v>
      </c>
      <c r="B481" s="8">
        <v>16610.28</v>
      </c>
      <c r="C481" s="8">
        <v>14068.67</v>
      </c>
      <c r="D481" s="8">
        <v>118.07</v>
      </c>
    </row>
    <row r="482" spans="1:4">
      <c r="A482" s="7" t="s">
        <v>2797</v>
      </c>
      <c r="B482" s="8">
        <v>13982.61</v>
      </c>
      <c r="C482" s="8">
        <v>14722.42</v>
      </c>
      <c r="D482" s="8">
        <v>94.97</v>
      </c>
    </row>
    <row r="483" spans="1:4">
      <c r="A483" s="7" t="s">
        <v>2798</v>
      </c>
      <c r="B483" s="8">
        <v>13675.62</v>
      </c>
      <c r="C483" s="8">
        <v>14918.7</v>
      </c>
      <c r="D483" s="8">
        <v>91.67</v>
      </c>
    </row>
    <row r="484" spans="1:4">
      <c r="A484" s="7" t="s">
        <v>2799</v>
      </c>
      <c r="B484" s="8">
        <v>6687.4</v>
      </c>
      <c r="C484" s="8">
        <v>7043.28</v>
      </c>
      <c r="D484" s="8">
        <v>94.95</v>
      </c>
    </row>
    <row r="485" spans="1:4">
      <c r="A485" s="7" t="s">
        <v>2800</v>
      </c>
      <c r="B485" s="8">
        <v>5949.81</v>
      </c>
      <c r="C485" s="8">
        <v>6510.42</v>
      </c>
      <c r="D485" s="8">
        <v>91.39</v>
      </c>
    </row>
    <row r="486" spans="1:4">
      <c r="A486" s="7" t="s">
        <v>2801</v>
      </c>
      <c r="B486" s="8">
        <v>3691.46</v>
      </c>
      <c r="C486" s="8">
        <v>4460.45</v>
      </c>
      <c r="D486" s="8">
        <v>82.76</v>
      </c>
    </row>
    <row r="487" spans="1:4">
      <c r="A487" s="7" t="s">
        <v>2802</v>
      </c>
      <c r="B487" s="8">
        <v>5531.05</v>
      </c>
      <c r="C487" s="8">
        <v>6572.01</v>
      </c>
      <c r="D487" s="8">
        <v>84.16</v>
      </c>
    </row>
    <row r="488" spans="1:4">
      <c r="A488" s="7" t="s">
        <v>2803</v>
      </c>
      <c r="B488" s="8">
        <v>300</v>
      </c>
      <c r="C488" s="8">
        <v>300</v>
      </c>
      <c r="D488" s="8">
        <v>100</v>
      </c>
    </row>
    <row r="489" spans="1:4">
      <c r="A489" s="7" t="s">
        <v>2804</v>
      </c>
      <c r="B489" s="8">
        <v>300</v>
      </c>
      <c r="C489" s="8">
        <v>300</v>
      </c>
      <c r="D489" s="8">
        <v>100</v>
      </c>
    </row>
    <row r="490" spans="1:4">
      <c r="A490" s="7" t="s">
        <v>2805</v>
      </c>
      <c r="B490" s="8">
        <v>300</v>
      </c>
      <c r="C490" s="8">
        <v>300</v>
      </c>
      <c r="D490" s="8">
        <v>100</v>
      </c>
    </row>
    <row r="491" spans="1:4">
      <c r="A491" s="7" t="s">
        <v>2806</v>
      </c>
      <c r="B491" s="8">
        <v>300</v>
      </c>
      <c r="C491" s="8">
        <v>300</v>
      </c>
      <c r="D491" s="8">
        <v>100</v>
      </c>
    </row>
    <row r="492" spans="1:4">
      <c r="A492" s="7" t="s">
        <v>2807</v>
      </c>
      <c r="B492" s="8">
        <v>300</v>
      </c>
      <c r="C492" s="8">
        <v>300</v>
      </c>
      <c r="D492" s="8">
        <v>100</v>
      </c>
    </row>
    <row r="493" spans="1:4">
      <c r="A493" s="7" t="s">
        <v>2808</v>
      </c>
      <c r="B493" s="8">
        <v>300</v>
      </c>
      <c r="C493" s="8">
        <v>300</v>
      </c>
      <c r="D493" s="8">
        <v>100</v>
      </c>
    </row>
    <row r="494" spans="1:4">
      <c r="A494" s="7" t="s">
        <v>2809</v>
      </c>
      <c r="B494" s="8">
        <v>300</v>
      </c>
      <c r="C494" s="8">
        <v>300</v>
      </c>
      <c r="D494" s="8">
        <v>100</v>
      </c>
    </row>
    <row r="495" spans="1:4">
      <c r="A495" s="7" t="s">
        <v>2810</v>
      </c>
      <c r="B495" s="8">
        <v>300</v>
      </c>
      <c r="C495" s="8">
        <v>300</v>
      </c>
      <c r="D495" s="8">
        <v>100</v>
      </c>
    </row>
    <row r="496" spans="1:4">
      <c r="A496" s="7" t="s">
        <v>2811</v>
      </c>
      <c r="B496" s="8">
        <v>300</v>
      </c>
      <c r="C496" s="8">
        <v>300</v>
      </c>
      <c r="D496" s="8">
        <v>100</v>
      </c>
    </row>
    <row r="497" spans="1:4">
      <c r="A497" s="7" t="s">
        <v>2812</v>
      </c>
      <c r="B497" s="8">
        <v>300</v>
      </c>
      <c r="C497" s="8">
        <v>300</v>
      </c>
      <c r="D497" s="8">
        <v>100</v>
      </c>
    </row>
    <row r="498" spans="1:4">
      <c r="A498" s="7" t="s">
        <v>2813</v>
      </c>
      <c r="B498" s="8">
        <v>300</v>
      </c>
      <c r="C498" s="8">
        <v>300</v>
      </c>
      <c r="D498" s="8">
        <v>100</v>
      </c>
    </row>
    <row r="499" spans="1:4">
      <c r="A499" s="7" t="s">
        <v>2814</v>
      </c>
      <c r="B499" s="8">
        <v>300</v>
      </c>
      <c r="C499" s="8">
        <v>300</v>
      </c>
      <c r="D499" s="8">
        <v>100</v>
      </c>
    </row>
    <row r="500" spans="1:4">
      <c r="A500" s="7" t="s">
        <v>2815</v>
      </c>
      <c r="B500" s="8">
        <v>17848.150000000001</v>
      </c>
      <c r="C500" s="8">
        <v>8539.56</v>
      </c>
      <c r="D500" s="8">
        <v>209.01</v>
      </c>
    </row>
    <row r="501" spans="1:4">
      <c r="A501" s="7" t="s">
        <v>2816</v>
      </c>
      <c r="B501" s="8">
        <v>10252.620000000001</v>
      </c>
      <c r="C501" s="8">
        <v>10239.56</v>
      </c>
      <c r="D501" s="8">
        <v>100.13</v>
      </c>
    </row>
    <row r="502" spans="1:4">
      <c r="A502" s="7" t="s">
        <v>2817</v>
      </c>
      <c r="B502" s="8">
        <v>8894.5499999999993</v>
      </c>
      <c r="C502" s="8">
        <v>8989.56</v>
      </c>
      <c r="D502" s="8">
        <v>98.94</v>
      </c>
    </row>
    <row r="503" spans="1:4">
      <c r="A503" s="7" t="s">
        <v>2818</v>
      </c>
      <c r="B503" s="8">
        <v>10323.67</v>
      </c>
      <c r="C503" s="8">
        <v>8689.56</v>
      </c>
      <c r="D503" s="8">
        <v>118.81</v>
      </c>
    </row>
    <row r="504" spans="1:4">
      <c r="A504" s="7" t="s">
        <v>2819</v>
      </c>
      <c r="B504" s="8">
        <v>10512.51</v>
      </c>
      <c r="C504" s="8">
        <v>9036.42</v>
      </c>
      <c r="D504" s="8">
        <v>116.33</v>
      </c>
    </row>
    <row r="505" spans="1:4">
      <c r="A505" s="7" t="s">
        <v>2820</v>
      </c>
      <c r="B505" s="8">
        <v>11991.32</v>
      </c>
      <c r="C505" s="8">
        <v>8889.56</v>
      </c>
      <c r="D505" s="8">
        <v>134.88999999999999</v>
      </c>
    </row>
    <row r="506" spans="1:4">
      <c r="A506" s="7" t="s">
        <v>2821</v>
      </c>
      <c r="B506" s="8">
        <v>10539.77</v>
      </c>
      <c r="C506" s="8">
        <v>10389.56</v>
      </c>
      <c r="D506" s="8">
        <v>101.45</v>
      </c>
    </row>
    <row r="507" spans="1:4">
      <c r="A507" s="7" t="s">
        <v>2822</v>
      </c>
      <c r="B507" s="8">
        <v>14683.1</v>
      </c>
      <c r="C507" s="8">
        <v>9639.56</v>
      </c>
      <c r="D507" s="8">
        <v>152.32</v>
      </c>
    </row>
    <row r="508" spans="1:4">
      <c r="A508" s="7" t="s">
        <v>2823</v>
      </c>
      <c r="B508" s="8">
        <v>9221.57</v>
      </c>
      <c r="C508" s="8">
        <v>9489.56</v>
      </c>
      <c r="D508" s="8">
        <v>97.18</v>
      </c>
    </row>
    <row r="509" spans="1:4">
      <c r="A509" s="7" t="s">
        <v>2824</v>
      </c>
      <c r="B509" s="8">
        <v>8904.6299999999992</v>
      </c>
      <c r="C509" s="8">
        <v>7839.56</v>
      </c>
      <c r="D509" s="8">
        <v>113.59</v>
      </c>
    </row>
    <row r="510" spans="1:4">
      <c r="A510" s="7" t="s">
        <v>2825</v>
      </c>
      <c r="B510" s="8">
        <v>10040.83</v>
      </c>
      <c r="C510" s="8">
        <v>8739.56</v>
      </c>
      <c r="D510" s="8">
        <v>114.89</v>
      </c>
    </row>
    <row r="511" spans="1:4">
      <c r="A511" s="7" t="s">
        <v>2826</v>
      </c>
      <c r="B511" s="8">
        <v>11250.77</v>
      </c>
      <c r="C511" s="8">
        <v>11089.56</v>
      </c>
      <c r="D511" s="8">
        <v>101.45</v>
      </c>
    </row>
    <row r="512" spans="1:4">
      <c r="A512" s="7" t="s">
        <v>2827</v>
      </c>
      <c r="B512" s="8">
        <v>12348.71</v>
      </c>
      <c r="C512" s="8">
        <v>12039.56</v>
      </c>
      <c r="D512" s="8">
        <v>102.57</v>
      </c>
    </row>
    <row r="513" spans="1:4">
      <c r="A513" s="7" t="s">
        <v>2828</v>
      </c>
      <c r="B513" s="8">
        <v>11959.78</v>
      </c>
      <c r="C513" s="8">
        <v>11939.56</v>
      </c>
      <c r="D513" s="8">
        <v>100.17</v>
      </c>
    </row>
    <row r="514" spans="1:4">
      <c r="A514" s="7" t="s">
        <v>2829</v>
      </c>
      <c r="B514" s="8">
        <v>13956.74</v>
      </c>
      <c r="C514" s="8">
        <v>12922.42</v>
      </c>
      <c r="D514" s="8">
        <v>108</v>
      </c>
    </row>
    <row r="515" spans="1:4">
      <c r="A515" s="7" t="s">
        <v>2830</v>
      </c>
      <c r="B515" s="8">
        <v>14815.73</v>
      </c>
      <c r="C515" s="8">
        <v>13089.56</v>
      </c>
      <c r="D515" s="8">
        <v>113.19</v>
      </c>
    </row>
    <row r="516" spans="1:4">
      <c r="A516" s="7" t="s">
        <v>2831</v>
      </c>
      <c r="B516" s="8">
        <v>19398.189999999999</v>
      </c>
      <c r="C516" s="8">
        <v>11827.54</v>
      </c>
      <c r="D516" s="8">
        <v>164.01</v>
      </c>
    </row>
    <row r="517" spans="1:4">
      <c r="A517" s="7" t="s">
        <v>2832</v>
      </c>
      <c r="B517" s="8">
        <v>26624.85</v>
      </c>
      <c r="C517" s="8">
        <v>12094.68</v>
      </c>
      <c r="D517" s="8">
        <v>220.14</v>
      </c>
    </row>
    <row r="518" spans="1:4">
      <c r="A518" s="7" t="s">
        <v>2833</v>
      </c>
      <c r="B518" s="8">
        <v>14021.89</v>
      </c>
      <c r="C518" s="8">
        <v>9744.68</v>
      </c>
      <c r="D518" s="8">
        <v>143.88999999999999</v>
      </c>
    </row>
    <row r="519" spans="1:4">
      <c r="A519" s="7" t="s">
        <v>2834</v>
      </c>
      <c r="B519" s="8">
        <v>11079.69</v>
      </c>
      <c r="C519" s="8">
        <v>10617.79</v>
      </c>
      <c r="D519" s="8">
        <v>104.35</v>
      </c>
    </row>
    <row r="520" spans="1:4">
      <c r="A520" s="7" t="s">
        <v>2835</v>
      </c>
      <c r="B520" s="8">
        <v>300</v>
      </c>
      <c r="C520" s="8">
        <v>300</v>
      </c>
      <c r="D520" s="8">
        <v>100</v>
      </c>
    </row>
    <row r="521" spans="1:4">
      <c r="A521" s="7" t="s">
        <v>2836</v>
      </c>
      <c r="B521" s="8">
        <v>300</v>
      </c>
      <c r="C521" s="8">
        <v>300</v>
      </c>
      <c r="D521" s="8">
        <v>100</v>
      </c>
    </row>
    <row r="522" spans="1:4">
      <c r="A522" s="7" t="s">
        <v>2837</v>
      </c>
      <c r="B522" s="8">
        <v>300</v>
      </c>
      <c r="C522" s="8">
        <v>300</v>
      </c>
      <c r="D522" s="8">
        <v>100</v>
      </c>
    </row>
    <row r="523" spans="1:4">
      <c r="A523" s="7" t="s">
        <v>2838</v>
      </c>
      <c r="B523" s="8">
        <v>300</v>
      </c>
      <c r="C523" s="8">
        <v>300</v>
      </c>
      <c r="D523" s="8">
        <v>100</v>
      </c>
    </row>
    <row r="524" spans="1:4">
      <c r="A524" s="7" t="s">
        <v>2839</v>
      </c>
      <c r="B524" s="8">
        <v>300</v>
      </c>
      <c r="C524" s="8">
        <v>300</v>
      </c>
      <c r="D524" s="8">
        <v>100</v>
      </c>
    </row>
    <row r="525" spans="1:4">
      <c r="A525" s="7" t="s">
        <v>2840</v>
      </c>
      <c r="B525" s="8">
        <v>300</v>
      </c>
      <c r="C525" s="8">
        <v>300</v>
      </c>
      <c r="D525" s="8">
        <v>100</v>
      </c>
    </row>
    <row r="526" spans="1:4">
      <c r="A526" s="7" t="s">
        <v>2841</v>
      </c>
      <c r="B526" s="8">
        <v>300</v>
      </c>
      <c r="C526" s="8">
        <v>300</v>
      </c>
      <c r="D526" s="8">
        <v>100</v>
      </c>
    </row>
    <row r="527" spans="1:4">
      <c r="A527" s="7" t="s">
        <v>2842</v>
      </c>
      <c r="B527" s="8">
        <v>300</v>
      </c>
      <c r="C527" s="8">
        <v>300</v>
      </c>
      <c r="D527" s="8">
        <v>100</v>
      </c>
    </row>
    <row r="528" spans="1:4">
      <c r="A528" s="7" t="s">
        <v>2843</v>
      </c>
      <c r="B528" s="8">
        <v>300</v>
      </c>
      <c r="C528" s="8">
        <v>300</v>
      </c>
      <c r="D528" s="8">
        <v>100</v>
      </c>
    </row>
    <row r="529" spans="1:4">
      <c r="A529" s="7" t="s">
        <v>2844</v>
      </c>
      <c r="B529" s="8">
        <v>300</v>
      </c>
      <c r="C529" s="8">
        <v>300</v>
      </c>
      <c r="D529" s="8">
        <v>100</v>
      </c>
    </row>
    <row r="530" spans="1:4">
      <c r="A530" s="7" t="s">
        <v>2845</v>
      </c>
      <c r="B530" s="8">
        <v>300</v>
      </c>
      <c r="C530" s="8">
        <v>300</v>
      </c>
      <c r="D530" s="8">
        <v>100</v>
      </c>
    </row>
    <row r="531" spans="1:4">
      <c r="A531" s="7" t="s">
        <v>2846</v>
      </c>
      <c r="B531" s="8">
        <v>300</v>
      </c>
      <c r="C531" s="8">
        <v>300</v>
      </c>
      <c r="D531" s="8">
        <v>100</v>
      </c>
    </row>
    <row r="532" spans="1:4">
      <c r="A532" s="7" t="s">
        <v>395</v>
      </c>
      <c r="B532" s="8">
        <v>13565.24</v>
      </c>
      <c r="C532" s="8">
        <v>11123.82</v>
      </c>
      <c r="D532" s="8">
        <v>121.95</v>
      </c>
    </row>
    <row r="533" spans="1:4">
      <c r="A533" s="7" t="s">
        <v>396</v>
      </c>
      <c r="B533" s="8">
        <v>12140.36</v>
      </c>
      <c r="C533" s="8">
        <v>12823.82</v>
      </c>
      <c r="D533" s="8">
        <v>94.67</v>
      </c>
    </row>
    <row r="534" spans="1:4">
      <c r="A534" s="7" t="s">
        <v>397</v>
      </c>
      <c r="B534" s="8">
        <v>10497.1</v>
      </c>
      <c r="C534" s="8">
        <v>11273.82</v>
      </c>
      <c r="D534" s="8">
        <v>93.11</v>
      </c>
    </row>
    <row r="535" spans="1:4">
      <c r="A535" s="7" t="s">
        <v>398</v>
      </c>
      <c r="B535" s="8">
        <v>11647.97</v>
      </c>
      <c r="C535" s="8">
        <v>10973.82</v>
      </c>
      <c r="D535" s="8">
        <v>106.14</v>
      </c>
    </row>
    <row r="536" spans="1:4">
      <c r="A536" s="7" t="s">
        <v>399</v>
      </c>
      <c r="B536" s="8">
        <v>10386.34</v>
      </c>
      <c r="C536" s="8">
        <v>10123.82</v>
      </c>
      <c r="D536" s="8">
        <v>102.59</v>
      </c>
    </row>
    <row r="537" spans="1:4">
      <c r="A537" s="7" t="s">
        <v>400</v>
      </c>
      <c r="B537" s="8">
        <v>12478.42</v>
      </c>
      <c r="C537" s="8">
        <v>10573.82</v>
      </c>
      <c r="D537" s="8">
        <v>118.01</v>
      </c>
    </row>
    <row r="538" spans="1:4">
      <c r="A538" s="7" t="s">
        <v>401</v>
      </c>
      <c r="B538" s="8">
        <v>12798.38</v>
      </c>
      <c r="C538" s="8">
        <v>12073.82</v>
      </c>
      <c r="D538" s="8">
        <v>106</v>
      </c>
    </row>
    <row r="539" spans="1:4">
      <c r="A539" s="7" t="s">
        <v>402</v>
      </c>
      <c r="B539" s="8">
        <v>12732.95</v>
      </c>
      <c r="C539" s="8">
        <v>11023.82</v>
      </c>
      <c r="D539" s="8">
        <v>115.5</v>
      </c>
    </row>
    <row r="540" spans="1:4">
      <c r="A540" s="7" t="s">
        <v>403</v>
      </c>
      <c r="B540" s="8">
        <v>14109.24</v>
      </c>
      <c r="C540" s="8">
        <v>10573.82</v>
      </c>
      <c r="D540" s="8">
        <v>133.44</v>
      </c>
    </row>
    <row r="541" spans="1:4">
      <c r="A541" s="7" t="s">
        <v>404</v>
      </c>
      <c r="B541" s="8">
        <v>11860.44</v>
      </c>
      <c r="C541" s="8">
        <v>8623.82</v>
      </c>
      <c r="D541" s="8">
        <v>137.53</v>
      </c>
    </row>
    <row r="542" spans="1:4">
      <c r="A542" s="7" t="s">
        <v>405</v>
      </c>
      <c r="B542" s="8">
        <v>11219.33</v>
      </c>
      <c r="C542" s="8">
        <v>9523.82</v>
      </c>
      <c r="D542" s="8">
        <v>117.8</v>
      </c>
    </row>
    <row r="543" spans="1:4">
      <c r="A543" s="7" t="s">
        <v>406</v>
      </c>
      <c r="B543" s="8">
        <v>10547.98</v>
      </c>
      <c r="C543" s="8">
        <v>11573.82</v>
      </c>
      <c r="D543" s="8">
        <v>91.14</v>
      </c>
    </row>
    <row r="544" spans="1:4">
      <c r="A544" s="7" t="s">
        <v>407</v>
      </c>
      <c r="B544" s="8">
        <v>11762.8</v>
      </c>
      <c r="C544" s="8">
        <v>12223.82</v>
      </c>
      <c r="D544" s="8">
        <v>96.23</v>
      </c>
    </row>
    <row r="545" spans="1:4">
      <c r="A545" s="7" t="s">
        <v>408</v>
      </c>
      <c r="B545" s="8">
        <v>12504.45</v>
      </c>
      <c r="C545" s="8">
        <v>12123.79</v>
      </c>
      <c r="D545" s="8">
        <v>103.14</v>
      </c>
    </row>
    <row r="546" spans="1:4">
      <c r="A546" s="7" t="s">
        <v>409</v>
      </c>
      <c r="B546" s="8">
        <v>13427.46</v>
      </c>
      <c r="C546" s="8">
        <v>12777.54</v>
      </c>
      <c r="D546" s="8">
        <v>105.09</v>
      </c>
    </row>
    <row r="547" spans="1:4">
      <c r="A547" s="7" t="s">
        <v>410</v>
      </c>
      <c r="B547" s="8">
        <v>13443.73</v>
      </c>
      <c r="C547" s="8">
        <v>12973.82</v>
      </c>
      <c r="D547" s="8">
        <v>103.62</v>
      </c>
    </row>
    <row r="548" spans="1:4">
      <c r="A548" s="7" t="s">
        <v>411</v>
      </c>
      <c r="B548" s="8">
        <v>13911.8</v>
      </c>
      <c r="C548" s="8">
        <v>11139.36</v>
      </c>
      <c r="D548" s="8">
        <v>124.89</v>
      </c>
    </row>
    <row r="549" spans="1:4">
      <c r="A549" s="7" t="s">
        <v>412</v>
      </c>
      <c r="B549" s="8">
        <v>11337.25</v>
      </c>
      <c r="C549" s="8">
        <v>11435.64</v>
      </c>
      <c r="D549" s="8">
        <v>99.14</v>
      </c>
    </row>
    <row r="550" spans="1:4">
      <c r="A550" s="7" t="s">
        <v>413</v>
      </c>
      <c r="B550" s="8">
        <v>12802.93</v>
      </c>
      <c r="C550" s="8">
        <v>9085.64</v>
      </c>
      <c r="D550" s="8">
        <v>140.91</v>
      </c>
    </row>
    <row r="551" spans="1:4">
      <c r="A551" s="7" t="s">
        <v>414</v>
      </c>
      <c r="B551" s="8">
        <v>9479.2800000000007</v>
      </c>
      <c r="C551" s="8">
        <v>9929.61</v>
      </c>
      <c r="D551" s="8">
        <v>95.46</v>
      </c>
    </row>
    <row r="552" spans="1:4">
      <c r="A552" s="7" t="s">
        <v>415</v>
      </c>
      <c r="B552" s="8">
        <v>300</v>
      </c>
      <c r="C552" s="8">
        <v>300</v>
      </c>
      <c r="D552" s="8">
        <v>100</v>
      </c>
    </row>
    <row r="553" spans="1:4">
      <c r="A553" s="7" t="s">
        <v>416</v>
      </c>
      <c r="B553" s="8">
        <v>300</v>
      </c>
      <c r="C553" s="8">
        <v>300</v>
      </c>
      <c r="D553" s="8">
        <v>100</v>
      </c>
    </row>
    <row r="554" spans="1:4">
      <c r="A554" s="7" t="s">
        <v>417</v>
      </c>
      <c r="B554" s="8">
        <v>300</v>
      </c>
      <c r="C554" s="8">
        <v>300</v>
      </c>
      <c r="D554" s="8">
        <v>100</v>
      </c>
    </row>
    <row r="555" spans="1:4">
      <c r="A555" s="7" t="s">
        <v>418</v>
      </c>
      <c r="B555" s="8">
        <v>300</v>
      </c>
      <c r="C555" s="8">
        <v>300</v>
      </c>
      <c r="D555" s="8">
        <v>100</v>
      </c>
    </row>
    <row r="556" spans="1:4">
      <c r="A556" s="7" t="s">
        <v>419</v>
      </c>
      <c r="B556" s="8">
        <v>300</v>
      </c>
      <c r="C556" s="8">
        <v>300</v>
      </c>
      <c r="D556" s="8">
        <v>100</v>
      </c>
    </row>
    <row r="557" spans="1:4">
      <c r="A557" s="7" t="s">
        <v>420</v>
      </c>
      <c r="B557" s="8">
        <v>300</v>
      </c>
      <c r="C557" s="8">
        <v>300</v>
      </c>
      <c r="D557" s="8">
        <v>100</v>
      </c>
    </row>
    <row r="558" spans="1:4">
      <c r="A558" s="7" t="s">
        <v>421</v>
      </c>
      <c r="B558" s="8">
        <v>300</v>
      </c>
      <c r="C558" s="8">
        <v>300</v>
      </c>
      <c r="D558" s="8">
        <v>100</v>
      </c>
    </row>
    <row r="559" spans="1:4">
      <c r="A559" s="7" t="s">
        <v>422</v>
      </c>
      <c r="B559" s="8">
        <v>300</v>
      </c>
      <c r="C559" s="8">
        <v>300</v>
      </c>
      <c r="D559" s="8">
        <v>100</v>
      </c>
    </row>
    <row r="560" spans="1:4">
      <c r="A560" s="7" t="s">
        <v>423</v>
      </c>
      <c r="B560" s="8">
        <v>300</v>
      </c>
      <c r="C560" s="8">
        <v>300</v>
      </c>
      <c r="D560" s="8">
        <v>100</v>
      </c>
    </row>
    <row r="561" spans="1:4">
      <c r="A561" s="7" t="s">
        <v>424</v>
      </c>
      <c r="B561" s="8">
        <v>300</v>
      </c>
      <c r="C561" s="8">
        <v>300</v>
      </c>
      <c r="D561" s="8">
        <v>100</v>
      </c>
    </row>
    <row r="562" spans="1:4">
      <c r="A562" s="7" t="s">
        <v>425</v>
      </c>
      <c r="B562" s="8">
        <v>300</v>
      </c>
      <c r="C562" s="8">
        <v>300</v>
      </c>
      <c r="D562" s="8">
        <v>100</v>
      </c>
    </row>
    <row r="563" spans="1:4">
      <c r="A563" s="7" t="s">
        <v>426</v>
      </c>
      <c r="B563" s="8">
        <v>300</v>
      </c>
      <c r="C563" s="8">
        <v>300</v>
      </c>
      <c r="D563" s="8">
        <v>100</v>
      </c>
    </row>
    <row r="564" spans="1:4">
      <c r="A564" s="7" t="s">
        <v>427</v>
      </c>
      <c r="B564" s="8">
        <v>12630.77</v>
      </c>
      <c r="C564" s="8">
        <v>12330.9</v>
      </c>
      <c r="D564" s="8">
        <v>102.43</v>
      </c>
    </row>
    <row r="565" spans="1:4">
      <c r="A565" s="7" t="s">
        <v>428</v>
      </c>
      <c r="B565" s="8">
        <v>15317.38</v>
      </c>
      <c r="C565" s="8">
        <v>13030.9</v>
      </c>
      <c r="D565" s="8">
        <v>117.55</v>
      </c>
    </row>
    <row r="566" spans="1:4">
      <c r="A566" s="7" t="s">
        <v>429</v>
      </c>
      <c r="B566" s="8">
        <v>13646.57</v>
      </c>
      <c r="C566" s="8">
        <v>12480.9</v>
      </c>
      <c r="D566" s="8">
        <v>109.34</v>
      </c>
    </row>
    <row r="567" spans="1:4">
      <c r="A567" s="7" t="s">
        <v>430</v>
      </c>
      <c r="B567" s="8">
        <v>11538.92</v>
      </c>
      <c r="C567" s="8">
        <v>12180.9</v>
      </c>
      <c r="D567" s="8">
        <v>94.73</v>
      </c>
    </row>
    <row r="568" spans="1:4">
      <c r="A568" s="7" t="s">
        <v>431</v>
      </c>
      <c r="B568" s="8">
        <v>14504.46</v>
      </c>
      <c r="C568" s="8">
        <v>13330.9</v>
      </c>
      <c r="D568" s="8">
        <v>108.8</v>
      </c>
    </row>
    <row r="569" spans="1:4">
      <c r="A569" s="7" t="s">
        <v>432</v>
      </c>
      <c r="B569" s="8">
        <v>9740.2800000000007</v>
      </c>
      <c r="C569" s="8">
        <v>10780.9</v>
      </c>
      <c r="D569" s="8">
        <v>90.35</v>
      </c>
    </row>
    <row r="570" spans="1:4">
      <c r="A570" s="7" t="s">
        <v>433</v>
      </c>
      <c r="B570" s="8">
        <v>13251.68</v>
      </c>
      <c r="C570" s="8">
        <v>12280.9</v>
      </c>
      <c r="D570" s="8">
        <v>107.9</v>
      </c>
    </row>
    <row r="571" spans="1:4">
      <c r="A571" s="7" t="s">
        <v>434</v>
      </c>
      <c r="B571" s="8">
        <v>10466.219999999999</v>
      </c>
      <c r="C571" s="8">
        <v>11230.9</v>
      </c>
      <c r="D571" s="8">
        <v>93.19</v>
      </c>
    </row>
    <row r="572" spans="1:4">
      <c r="A572" s="7" t="s">
        <v>435</v>
      </c>
      <c r="B572" s="8">
        <v>11396.28</v>
      </c>
      <c r="C572" s="8">
        <v>10780.9</v>
      </c>
      <c r="D572" s="8">
        <v>105.71</v>
      </c>
    </row>
    <row r="573" spans="1:4">
      <c r="A573" s="7" t="s">
        <v>436</v>
      </c>
      <c r="B573" s="8">
        <v>10477.36</v>
      </c>
      <c r="C573" s="8">
        <v>11830.9</v>
      </c>
      <c r="D573" s="8">
        <v>88.56</v>
      </c>
    </row>
    <row r="574" spans="1:4">
      <c r="A574" s="7" t="s">
        <v>437</v>
      </c>
      <c r="B574" s="8">
        <v>13289.42</v>
      </c>
      <c r="C574" s="8">
        <v>12730.9</v>
      </c>
      <c r="D574" s="8">
        <v>104.39</v>
      </c>
    </row>
    <row r="575" spans="1:4">
      <c r="A575" s="7" t="s">
        <v>438</v>
      </c>
      <c r="B575" s="8">
        <v>14784.83</v>
      </c>
      <c r="C575" s="8">
        <v>12780.9</v>
      </c>
      <c r="D575" s="8">
        <v>115.68</v>
      </c>
    </row>
    <row r="576" spans="1:4">
      <c r="A576" s="7" t="s">
        <v>439</v>
      </c>
      <c r="B576" s="8">
        <v>15840.02</v>
      </c>
      <c r="C576" s="8">
        <v>12430.9</v>
      </c>
      <c r="D576" s="8">
        <v>127.42</v>
      </c>
    </row>
    <row r="577" spans="1:4">
      <c r="A577" s="7" t="s">
        <v>440</v>
      </c>
      <c r="B577" s="8">
        <v>14871.42</v>
      </c>
      <c r="C577" s="8">
        <v>14330.9</v>
      </c>
      <c r="D577" s="8">
        <v>103.77</v>
      </c>
    </row>
    <row r="578" spans="1:4">
      <c r="A578" s="7" t="s">
        <v>441</v>
      </c>
      <c r="B578" s="8">
        <v>16947.23</v>
      </c>
      <c r="C578" s="8">
        <v>11884.62</v>
      </c>
      <c r="D578" s="8">
        <v>142.6</v>
      </c>
    </row>
    <row r="579" spans="1:4">
      <c r="A579" s="7" t="s">
        <v>442</v>
      </c>
      <c r="B579" s="8">
        <v>22702.1</v>
      </c>
      <c r="C579" s="8">
        <v>13180.9</v>
      </c>
      <c r="D579" s="8">
        <v>172.23</v>
      </c>
    </row>
    <row r="580" spans="1:4">
      <c r="A580" s="7" t="s">
        <v>443</v>
      </c>
      <c r="B580" s="8">
        <v>15773.44</v>
      </c>
      <c r="C580" s="8">
        <v>11134.62</v>
      </c>
      <c r="D580" s="8">
        <v>141.66</v>
      </c>
    </row>
    <row r="581" spans="1:4">
      <c r="A581" s="7" t="s">
        <v>444</v>
      </c>
      <c r="B581" s="8">
        <v>19957.34</v>
      </c>
      <c r="C581" s="8">
        <v>13530.9</v>
      </c>
      <c r="D581" s="8">
        <v>147.49</v>
      </c>
    </row>
    <row r="582" spans="1:4">
      <c r="A582" s="7" t="s">
        <v>445</v>
      </c>
      <c r="B582" s="8">
        <v>11848.85</v>
      </c>
      <c r="C582" s="8">
        <v>13180.9</v>
      </c>
      <c r="D582" s="8">
        <v>89.89</v>
      </c>
    </row>
    <row r="583" spans="1:4">
      <c r="A583" s="7" t="s">
        <v>446</v>
      </c>
      <c r="B583" s="8">
        <v>11766.23</v>
      </c>
      <c r="C583" s="8">
        <v>13480.63</v>
      </c>
      <c r="D583" s="8">
        <v>87.28</v>
      </c>
    </row>
    <row r="584" spans="1:4">
      <c r="A584" s="7" t="s">
        <v>447</v>
      </c>
      <c r="B584" s="8">
        <v>300</v>
      </c>
      <c r="C584" s="8">
        <v>300</v>
      </c>
      <c r="D584" s="8">
        <v>100</v>
      </c>
    </row>
    <row r="585" spans="1:4">
      <c r="A585" s="7" t="s">
        <v>448</v>
      </c>
      <c r="B585" s="8">
        <v>300</v>
      </c>
      <c r="C585" s="8">
        <v>300</v>
      </c>
      <c r="D585" s="8">
        <v>100</v>
      </c>
    </row>
    <row r="586" spans="1:4">
      <c r="A586" s="7" t="s">
        <v>449</v>
      </c>
      <c r="B586" s="8">
        <v>300</v>
      </c>
      <c r="C586" s="8">
        <v>300</v>
      </c>
      <c r="D586" s="8">
        <v>100</v>
      </c>
    </row>
    <row r="587" spans="1:4">
      <c r="A587" s="7" t="s">
        <v>450</v>
      </c>
      <c r="B587" s="8">
        <v>300</v>
      </c>
      <c r="C587" s="8">
        <v>300</v>
      </c>
      <c r="D587" s="8">
        <v>100</v>
      </c>
    </row>
    <row r="588" spans="1:4">
      <c r="A588" s="7" t="s">
        <v>451</v>
      </c>
      <c r="B588" s="8">
        <v>300</v>
      </c>
      <c r="C588" s="8">
        <v>300</v>
      </c>
      <c r="D588" s="8">
        <v>100</v>
      </c>
    </row>
    <row r="589" spans="1:4">
      <c r="A589" s="7" t="s">
        <v>452</v>
      </c>
      <c r="B589" s="8">
        <v>300</v>
      </c>
      <c r="C589" s="8">
        <v>300</v>
      </c>
      <c r="D589" s="8">
        <v>100</v>
      </c>
    </row>
    <row r="590" spans="1:4">
      <c r="A590" s="7" t="s">
        <v>453</v>
      </c>
      <c r="B590" s="8">
        <v>300</v>
      </c>
      <c r="C590" s="8">
        <v>300</v>
      </c>
      <c r="D590" s="8">
        <v>100</v>
      </c>
    </row>
    <row r="591" spans="1:4">
      <c r="A591" s="7" t="s">
        <v>454</v>
      </c>
      <c r="B591" s="8">
        <v>300</v>
      </c>
      <c r="C591" s="8">
        <v>300</v>
      </c>
      <c r="D591" s="8">
        <v>100</v>
      </c>
    </row>
    <row r="592" spans="1:4">
      <c r="A592" s="7" t="s">
        <v>455</v>
      </c>
      <c r="B592" s="8">
        <v>300</v>
      </c>
      <c r="C592" s="8">
        <v>300</v>
      </c>
      <c r="D592" s="8">
        <v>100</v>
      </c>
    </row>
    <row r="593" spans="1:4">
      <c r="A593" s="7" t="s">
        <v>456</v>
      </c>
      <c r="B593" s="8">
        <v>300</v>
      </c>
      <c r="C593" s="8">
        <v>300</v>
      </c>
      <c r="D593" s="8">
        <v>100</v>
      </c>
    </row>
    <row r="594" spans="1:4">
      <c r="A594" s="7" t="s">
        <v>457</v>
      </c>
      <c r="B594" s="8">
        <v>300</v>
      </c>
      <c r="C594" s="8">
        <v>300</v>
      </c>
      <c r="D594" s="8">
        <v>100</v>
      </c>
    </row>
    <row r="595" spans="1:4">
      <c r="A595" s="7" t="s">
        <v>458</v>
      </c>
      <c r="B595" s="8">
        <v>300</v>
      </c>
      <c r="C595" s="8">
        <v>300</v>
      </c>
      <c r="D595" s="8">
        <v>100</v>
      </c>
    </row>
    <row r="596" spans="1:4">
      <c r="A596" s="7" t="s">
        <v>2847</v>
      </c>
      <c r="B596" s="8">
        <v>5353.12</v>
      </c>
      <c r="C596" s="8">
        <v>6233.66</v>
      </c>
      <c r="D596" s="8">
        <v>85.87</v>
      </c>
    </row>
    <row r="597" spans="1:4">
      <c r="A597" s="7" t="s">
        <v>2848</v>
      </c>
      <c r="B597" s="8">
        <v>7691.61</v>
      </c>
      <c r="C597" s="8">
        <v>7933.66</v>
      </c>
      <c r="D597" s="8">
        <v>96.95</v>
      </c>
    </row>
    <row r="598" spans="1:4">
      <c r="A598" s="7" t="s">
        <v>2849</v>
      </c>
      <c r="B598" s="8">
        <v>4694.8100000000004</v>
      </c>
      <c r="C598" s="8">
        <v>6083.66</v>
      </c>
      <c r="D598" s="8">
        <v>77.17</v>
      </c>
    </row>
    <row r="599" spans="1:4">
      <c r="A599" s="7" t="s">
        <v>2850</v>
      </c>
      <c r="B599" s="8">
        <v>7595.22</v>
      </c>
      <c r="C599" s="8">
        <v>8783.66</v>
      </c>
      <c r="D599" s="8">
        <v>86.47</v>
      </c>
    </row>
    <row r="600" spans="1:4">
      <c r="A600" s="7" t="s">
        <v>2851</v>
      </c>
      <c r="B600" s="8">
        <v>7024.91</v>
      </c>
      <c r="C600" s="8">
        <v>7633.66</v>
      </c>
      <c r="D600" s="8">
        <v>92.03</v>
      </c>
    </row>
    <row r="601" spans="1:4">
      <c r="A601" s="7" t="s">
        <v>2852</v>
      </c>
      <c r="B601" s="8">
        <v>7594.54</v>
      </c>
      <c r="C601" s="8">
        <v>8983.66</v>
      </c>
      <c r="D601" s="8">
        <v>84.54</v>
      </c>
    </row>
    <row r="602" spans="1:4">
      <c r="A602" s="7" t="s">
        <v>2853</v>
      </c>
      <c r="B602" s="8">
        <v>7670.79</v>
      </c>
      <c r="C602" s="8">
        <v>8683.66</v>
      </c>
      <c r="D602" s="8">
        <v>88.34</v>
      </c>
    </row>
    <row r="603" spans="1:4">
      <c r="A603" s="7" t="s">
        <v>2854</v>
      </c>
      <c r="B603" s="8">
        <v>6938.71</v>
      </c>
      <c r="C603" s="8">
        <v>8533.66</v>
      </c>
      <c r="D603" s="8">
        <v>81.31</v>
      </c>
    </row>
    <row r="604" spans="1:4">
      <c r="A604" s="7" t="s">
        <v>2855</v>
      </c>
      <c r="B604" s="8">
        <v>7977.1</v>
      </c>
      <c r="C604" s="8">
        <v>8983.66</v>
      </c>
      <c r="D604" s="8">
        <v>88.8</v>
      </c>
    </row>
    <row r="605" spans="1:4">
      <c r="A605" s="7" t="s">
        <v>2856</v>
      </c>
      <c r="B605" s="8">
        <v>5472.42</v>
      </c>
      <c r="C605" s="8">
        <v>6733.66</v>
      </c>
      <c r="D605" s="8">
        <v>81.27</v>
      </c>
    </row>
    <row r="606" spans="1:4">
      <c r="A606" s="7" t="s">
        <v>2857</v>
      </c>
      <c r="B606" s="8">
        <v>6858.9</v>
      </c>
      <c r="C606" s="8">
        <v>7033.66</v>
      </c>
      <c r="D606" s="8">
        <v>97.52</v>
      </c>
    </row>
    <row r="607" spans="1:4">
      <c r="A607" s="7" t="s">
        <v>2858</v>
      </c>
      <c r="B607" s="8">
        <v>4832.47</v>
      </c>
      <c r="C607" s="8">
        <v>5783.66</v>
      </c>
      <c r="D607" s="8">
        <v>83.55</v>
      </c>
    </row>
    <row r="608" spans="1:4">
      <c r="A608" s="7" t="s">
        <v>2859</v>
      </c>
      <c r="B608" s="8">
        <v>5362.95</v>
      </c>
      <c r="C608" s="8">
        <v>6133.66</v>
      </c>
      <c r="D608" s="8">
        <v>87.43</v>
      </c>
    </row>
    <row r="609" spans="1:4">
      <c r="A609" s="7" t="s">
        <v>2860</v>
      </c>
      <c r="B609" s="8">
        <v>5447.23</v>
      </c>
      <c r="C609" s="8">
        <v>6633.66</v>
      </c>
      <c r="D609" s="8">
        <v>82.12</v>
      </c>
    </row>
    <row r="610" spans="1:4">
      <c r="A610" s="7" t="s">
        <v>2861</v>
      </c>
      <c r="B610" s="8">
        <v>6542.74</v>
      </c>
      <c r="C610" s="8">
        <v>6513.02</v>
      </c>
      <c r="D610" s="8">
        <v>100.46</v>
      </c>
    </row>
    <row r="611" spans="1:4">
      <c r="A611" s="7" t="s">
        <v>2862</v>
      </c>
      <c r="B611" s="8">
        <v>8563.0499999999993</v>
      </c>
      <c r="C611" s="8">
        <v>7783.66</v>
      </c>
      <c r="D611" s="8">
        <v>110.01</v>
      </c>
    </row>
    <row r="612" spans="1:4">
      <c r="A612" s="7" t="s">
        <v>2863</v>
      </c>
      <c r="B612" s="8">
        <v>5818.6</v>
      </c>
      <c r="C612" s="8">
        <v>7263.02</v>
      </c>
      <c r="D612" s="8">
        <v>80.11</v>
      </c>
    </row>
    <row r="613" spans="1:4">
      <c r="A613" s="7" t="s">
        <v>2864</v>
      </c>
      <c r="B613" s="8">
        <v>5991.79</v>
      </c>
      <c r="C613" s="8">
        <v>7433.66</v>
      </c>
      <c r="D613" s="8">
        <v>80.599999999999994</v>
      </c>
    </row>
    <row r="614" spans="1:4">
      <c r="A614" s="7" t="s">
        <v>2865</v>
      </c>
      <c r="B614" s="8">
        <v>4174.7299999999996</v>
      </c>
      <c r="C614" s="8">
        <v>5383.66</v>
      </c>
      <c r="D614" s="8">
        <v>77.540000000000006</v>
      </c>
    </row>
    <row r="615" spans="1:4">
      <c r="A615" s="7" t="s">
        <v>2866</v>
      </c>
      <c r="B615" s="8">
        <v>7805.82</v>
      </c>
      <c r="C615" s="8">
        <v>7518.07</v>
      </c>
      <c r="D615" s="8">
        <v>103.83</v>
      </c>
    </row>
    <row r="616" spans="1:4">
      <c r="A616" s="7" t="s">
        <v>2867</v>
      </c>
      <c r="B616" s="8">
        <v>8651.17</v>
      </c>
      <c r="C616" s="8">
        <v>7188.78</v>
      </c>
      <c r="D616" s="8">
        <v>120.34</v>
      </c>
    </row>
    <row r="617" spans="1:4">
      <c r="A617" s="7" t="s">
        <v>2868</v>
      </c>
      <c r="B617" s="8">
        <v>8628.0300000000007</v>
      </c>
      <c r="C617" s="8">
        <v>8888.7800000000007</v>
      </c>
      <c r="D617" s="8">
        <v>97.07</v>
      </c>
    </row>
    <row r="618" spans="1:4">
      <c r="A618" s="7" t="s">
        <v>2869</v>
      </c>
      <c r="B618" s="8">
        <v>7673.44</v>
      </c>
      <c r="C618" s="8">
        <v>7338.78</v>
      </c>
      <c r="D618" s="8">
        <v>104.56</v>
      </c>
    </row>
    <row r="619" spans="1:4">
      <c r="A619" s="7" t="s">
        <v>2870</v>
      </c>
      <c r="B619" s="8">
        <v>10214.24</v>
      </c>
      <c r="C619" s="8">
        <v>7038.78</v>
      </c>
      <c r="D619" s="8">
        <v>145.11000000000001</v>
      </c>
    </row>
    <row r="620" spans="1:4">
      <c r="A620" s="7" t="s">
        <v>2871</v>
      </c>
      <c r="B620" s="8">
        <v>6420.33</v>
      </c>
      <c r="C620" s="8">
        <v>6188.78</v>
      </c>
      <c r="D620" s="8">
        <v>103.74</v>
      </c>
    </row>
    <row r="621" spans="1:4">
      <c r="A621" s="7" t="s">
        <v>2872</v>
      </c>
      <c r="B621" s="8">
        <v>8163.46</v>
      </c>
      <c r="C621" s="8">
        <v>6638.78</v>
      </c>
      <c r="D621" s="8">
        <v>122.97</v>
      </c>
    </row>
    <row r="622" spans="1:4">
      <c r="A622" s="7" t="s">
        <v>2873</v>
      </c>
      <c r="B622" s="8">
        <v>12647.1</v>
      </c>
      <c r="C622" s="8">
        <v>8138.78</v>
      </c>
      <c r="D622" s="8">
        <v>155.38999999999999</v>
      </c>
    </row>
    <row r="623" spans="1:4">
      <c r="A623" s="7" t="s">
        <v>2874</v>
      </c>
      <c r="B623" s="8">
        <v>8924.0300000000007</v>
      </c>
      <c r="C623" s="8">
        <v>7088.78</v>
      </c>
      <c r="D623" s="8">
        <v>125.89</v>
      </c>
    </row>
    <row r="624" spans="1:4">
      <c r="A624" s="7" t="s">
        <v>2875</v>
      </c>
      <c r="B624" s="8">
        <v>6882.84</v>
      </c>
      <c r="C624" s="8">
        <v>6638.78</v>
      </c>
      <c r="D624" s="8">
        <v>103.68</v>
      </c>
    </row>
    <row r="625" spans="1:4">
      <c r="A625" s="7" t="s">
        <v>2876</v>
      </c>
      <c r="B625" s="8">
        <v>5841.15</v>
      </c>
      <c r="C625" s="8">
        <v>4688.78</v>
      </c>
      <c r="D625" s="8">
        <v>124.58</v>
      </c>
    </row>
    <row r="626" spans="1:4">
      <c r="A626" s="7" t="s">
        <v>2877</v>
      </c>
      <c r="B626" s="8">
        <v>6698.12</v>
      </c>
      <c r="C626" s="8">
        <v>5588.78</v>
      </c>
      <c r="D626" s="8">
        <v>119.85</v>
      </c>
    </row>
    <row r="627" spans="1:4">
      <c r="A627" s="7" t="s">
        <v>2878</v>
      </c>
      <c r="B627" s="8">
        <v>7025.12</v>
      </c>
      <c r="C627" s="8">
        <v>7638.78</v>
      </c>
      <c r="D627" s="8">
        <v>91.97</v>
      </c>
    </row>
    <row r="628" spans="1:4">
      <c r="A628" s="7" t="s">
        <v>2879</v>
      </c>
      <c r="B628" s="8">
        <v>7641.05</v>
      </c>
      <c r="C628" s="8">
        <v>8288.7800000000007</v>
      </c>
      <c r="D628" s="8">
        <v>92.19</v>
      </c>
    </row>
    <row r="629" spans="1:4">
      <c r="A629" s="7" t="s">
        <v>2880</v>
      </c>
      <c r="B629" s="8">
        <v>20864.88</v>
      </c>
      <c r="C629" s="8">
        <v>8188.78</v>
      </c>
      <c r="D629" s="8">
        <v>254.8</v>
      </c>
    </row>
    <row r="630" spans="1:4">
      <c r="A630" s="7" t="s">
        <v>2881</v>
      </c>
      <c r="B630" s="8">
        <v>8088.95</v>
      </c>
      <c r="C630" s="8">
        <v>8739</v>
      </c>
      <c r="D630" s="8">
        <v>92.56</v>
      </c>
    </row>
    <row r="631" spans="1:4">
      <c r="A631" s="7" t="s">
        <v>2882</v>
      </c>
      <c r="B631" s="8">
        <v>10466.31</v>
      </c>
      <c r="C631" s="8">
        <v>9038.7800000000007</v>
      </c>
      <c r="D631" s="8">
        <v>115.79</v>
      </c>
    </row>
    <row r="632" spans="1:4">
      <c r="A632" s="7" t="s">
        <v>459</v>
      </c>
      <c r="B632" s="8">
        <v>9839.48</v>
      </c>
      <c r="C632" s="8">
        <v>7100.82</v>
      </c>
      <c r="D632" s="8">
        <v>138.57</v>
      </c>
    </row>
    <row r="633" spans="1:4">
      <c r="A633" s="7" t="s">
        <v>460</v>
      </c>
      <c r="B633" s="8">
        <v>8430.34</v>
      </c>
      <c r="C633" s="8">
        <v>7500.6</v>
      </c>
      <c r="D633" s="8">
        <v>112.4</v>
      </c>
    </row>
    <row r="634" spans="1:4">
      <c r="A634" s="7" t="s">
        <v>461</v>
      </c>
      <c r="B634" s="8">
        <v>4929.59</v>
      </c>
      <c r="C634" s="8">
        <v>5150.6000000000004</v>
      </c>
      <c r="D634" s="8">
        <v>95.71</v>
      </c>
    </row>
    <row r="635" spans="1:4">
      <c r="A635" s="7" t="s">
        <v>462</v>
      </c>
      <c r="B635" s="8">
        <v>7077.35</v>
      </c>
      <c r="C635" s="8">
        <v>5883.55</v>
      </c>
      <c r="D635" s="8">
        <v>120.29</v>
      </c>
    </row>
    <row r="636" spans="1:4">
      <c r="A636" s="7" t="s">
        <v>463</v>
      </c>
      <c r="B636" s="8">
        <v>2986.78</v>
      </c>
      <c r="C636" s="8">
        <v>3025</v>
      </c>
      <c r="D636" s="8">
        <v>98.74</v>
      </c>
    </row>
    <row r="637" spans="1:4">
      <c r="A637" s="7" t="s">
        <v>464</v>
      </c>
      <c r="B637" s="8">
        <v>4424.92</v>
      </c>
      <c r="C637" s="8">
        <v>4725</v>
      </c>
      <c r="D637" s="8">
        <v>93.65</v>
      </c>
    </row>
    <row r="638" spans="1:4">
      <c r="A638" s="7" t="s">
        <v>465</v>
      </c>
      <c r="B638" s="8">
        <v>2711.65</v>
      </c>
      <c r="C638" s="8">
        <v>3175</v>
      </c>
      <c r="D638" s="8">
        <v>85.41</v>
      </c>
    </row>
    <row r="639" spans="1:4">
      <c r="A639" s="7" t="s">
        <v>466</v>
      </c>
      <c r="B639" s="8">
        <v>5245.79</v>
      </c>
      <c r="C639" s="8">
        <v>4150.6000000000004</v>
      </c>
      <c r="D639" s="8">
        <v>126.39</v>
      </c>
    </row>
    <row r="640" spans="1:4">
      <c r="A640" s="7" t="s">
        <v>467</v>
      </c>
      <c r="B640" s="8">
        <v>2760.63</v>
      </c>
      <c r="C640" s="8">
        <v>3000.6</v>
      </c>
      <c r="D640" s="8">
        <v>92</v>
      </c>
    </row>
    <row r="641" spans="1:4">
      <c r="A641" s="7" t="s">
        <v>468</v>
      </c>
      <c r="B641" s="8">
        <v>3931.07</v>
      </c>
      <c r="C641" s="8">
        <v>4350.6000000000004</v>
      </c>
      <c r="D641" s="8">
        <v>90.36</v>
      </c>
    </row>
    <row r="642" spans="1:4">
      <c r="A642" s="7" t="s">
        <v>469</v>
      </c>
      <c r="B642" s="8">
        <v>7370.28</v>
      </c>
      <c r="C642" s="8">
        <v>4050.6</v>
      </c>
      <c r="D642" s="8">
        <v>181.96</v>
      </c>
    </row>
    <row r="643" spans="1:4">
      <c r="A643" s="7" t="s">
        <v>470</v>
      </c>
      <c r="B643" s="8">
        <v>3654.3</v>
      </c>
      <c r="C643" s="8">
        <v>3900.6</v>
      </c>
      <c r="D643" s="8">
        <v>93.69</v>
      </c>
    </row>
    <row r="644" spans="1:4">
      <c r="A644" s="7" t="s">
        <v>471</v>
      </c>
      <c r="B644" s="8">
        <v>5705.73</v>
      </c>
      <c r="C644" s="8">
        <v>4350.6000000000004</v>
      </c>
      <c r="D644" s="8">
        <v>131.15</v>
      </c>
    </row>
    <row r="645" spans="1:4">
      <c r="A645" s="7" t="s">
        <v>472</v>
      </c>
      <c r="B645" s="8">
        <v>1669.43</v>
      </c>
      <c r="C645" s="8">
        <v>2100.6</v>
      </c>
      <c r="D645" s="8">
        <v>79.47</v>
      </c>
    </row>
    <row r="646" spans="1:4">
      <c r="A646" s="7" t="s">
        <v>473</v>
      </c>
      <c r="B646" s="8">
        <v>2354.65</v>
      </c>
      <c r="C646" s="8">
        <v>2400.6</v>
      </c>
      <c r="D646" s="8">
        <v>98.09</v>
      </c>
    </row>
    <row r="647" spans="1:4">
      <c r="A647" s="7" t="s">
        <v>474</v>
      </c>
      <c r="B647" s="8">
        <v>3059.65</v>
      </c>
      <c r="C647" s="8">
        <v>3475</v>
      </c>
      <c r="D647" s="8">
        <v>88.05</v>
      </c>
    </row>
    <row r="648" spans="1:4">
      <c r="A648" s="7" t="s">
        <v>475</v>
      </c>
      <c r="B648" s="8">
        <v>3949.16</v>
      </c>
      <c r="C648" s="8">
        <v>4125</v>
      </c>
      <c r="D648" s="8">
        <v>95.74</v>
      </c>
    </row>
    <row r="649" spans="1:4">
      <c r="A649" s="7" t="s">
        <v>476</v>
      </c>
      <c r="B649" s="8">
        <v>3484.91</v>
      </c>
      <c r="C649" s="8">
        <v>4025</v>
      </c>
      <c r="D649" s="8">
        <v>86.58</v>
      </c>
    </row>
    <row r="650" spans="1:4">
      <c r="A650" s="7" t="s">
        <v>477</v>
      </c>
      <c r="B650" s="8">
        <v>4397.45</v>
      </c>
      <c r="C650" s="8">
        <v>4575.22</v>
      </c>
      <c r="D650" s="8">
        <v>96.11</v>
      </c>
    </row>
    <row r="651" spans="1:4">
      <c r="A651" s="7" t="s">
        <v>478</v>
      </c>
      <c r="B651" s="8">
        <v>7136.91</v>
      </c>
      <c r="C651" s="8">
        <v>4875</v>
      </c>
      <c r="D651" s="8">
        <v>146.4</v>
      </c>
    </row>
    <row r="652" spans="1:4">
      <c r="A652" s="7" t="s">
        <v>479</v>
      </c>
      <c r="B652" s="8">
        <v>3518.28</v>
      </c>
      <c r="C652" s="8">
        <v>3825.22</v>
      </c>
      <c r="D652" s="8">
        <v>91.98</v>
      </c>
    </row>
    <row r="653" spans="1:4">
      <c r="A653" s="7" t="s">
        <v>480</v>
      </c>
      <c r="B653" s="8">
        <v>3969.96</v>
      </c>
      <c r="C653" s="8">
        <v>4225</v>
      </c>
      <c r="D653" s="8">
        <v>93.96</v>
      </c>
    </row>
    <row r="654" spans="1:4">
      <c r="A654" s="7" t="s">
        <v>481</v>
      </c>
      <c r="B654" s="8">
        <v>1584.81</v>
      </c>
      <c r="C654" s="8">
        <v>1875</v>
      </c>
      <c r="D654" s="8">
        <v>84.52</v>
      </c>
    </row>
    <row r="655" spans="1:4">
      <c r="A655" s="7" t="s">
        <v>482</v>
      </c>
      <c r="B655" s="8">
        <v>4005.46</v>
      </c>
      <c r="C655" s="8">
        <v>2885.01</v>
      </c>
      <c r="D655" s="8">
        <v>138.84</v>
      </c>
    </row>
    <row r="656" spans="1:4">
      <c r="A656" s="7" t="s">
        <v>483</v>
      </c>
      <c r="B656" s="8">
        <v>6453.89</v>
      </c>
      <c r="C656" s="8">
        <v>6936.82</v>
      </c>
      <c r="D656" s="8">
        <v>93.04</v>
      </c>
    </row>
    <row r="657" spans="1:4">
      <c r="A657" s="7" t="s">
        <v>484</v>
      </c>
      <c r="B657" s="8">
        <v>7797.3</v>
      </c>
      <c r="C657" s="8">
        <v>7636.82</v>
      </c>
      <c r="D657" s="8">
        <v>102.1</v>
      </c>
    </row>
    <row r="658" spans="1:4">
      <c r="A658" s="7" t="s">
        <v>485</v>
      </c>
      <c r="B658" s="8">
        <v>6503.34</v>
      </c>
      <c r="C658" s="8">
        <v>7086.82</v>
      </c>
      <c r="D658" s="8">
        <v>91.77</v>
      </c>
    </row>
    <row r="659" spans="1:4">
      <c r="A659" s="7" t="s">
        <v>486</v>
      </c>
      <c r="B659" s="8">
        <v>6611.54</v>
      </c>
      <c r="C659" s="8">
        <v>6786.82</v>
      </c>
      <c r="D659" s="8">
        <v>97.42</v>
      </c>
    </row>
    <row r="660" spans="1:4">
      <c r="A660" s="7" t="s">
        <v>487</v>
      </c>
      <c r="B660" s="8">
        <v>11006.78</v>
      </c>
      <c r="C660" s="8">
        <v>7936.82</v>
      </c>
      <c r="D660" s="8">
        <v>138.68</v>
      </c>
    </row>
    <row r="661" spans="1:4">
      <c r="A661" s="7" t="s">
        <v>488</v>
      </c>
      <c r="B661" s="8">
        <v>5503.7</v>
      </c>
      <c r="C661" s="8">
        <v>5386.82</v>
      </c>
      <c r="D661" s="8">
        <v>102.17</v>
      </c>
    </row>
    <row r="662" spans="1:4">
      <c r="A662" s="7" t="s">
        <v>489</v>
      </c>
      <c r="B662" s="8">
        <v>9757.2900000000009</v>
      </c>
      <c r="C662" s="8">
        <v>6886.82</v>
      </c>
      <c r="D662" s="8">
        <v>141.68</v>
      </c>
    </row>
    <row r="663" spans="1:4">
      <c r="A663" s="7" t="s">
        <v>490</v>
      </c>
      <c r="B663" s="8">
        <v>6149.06</v>
      </c>
      <c r="C663" s="8">
        <v>5836.82</v>
      </c>
      <c r="D663" s="8">
        <v>105.35</v>
      </c>
    </row>
    <row r="664" spans="1:4">
      <c r="A664" s="7" t="s">
        <v>491</v>
      </c>
      <c r="B664" s="8">
        <v>5729.33</v>
      </c>
      <c r="C664" s="8">
        <v>5594.68</v>
      </c>
      <c r="D664" s="8">
        <v>102.41</v>
      </c>
    </row>
    <row r="665" spans="1:4">
      <c r="A665" s="7" t="s">
        <v>492</v>
      </c>
      <c r="B665" s="8">
        <v>6029.01</v>
      </c>
      <c r="C665" s="8">
        <v>6436.82</v>
      </c>
      <c r="D665" s="8">
        <v>93.66</v>
      </c>
    </row>
    <row r="666" spans="1:4">
      <c r="A666" s="7" t="s">
        <v>493</v>
      </c>
      <c r="B666" s="8">
        <v>6896.82</v>
      </c>
      <c r="C666" s="8">
        <v>7336.82</v>
      </c>
      <c r="D666" s="8">
        <v>94</v>
      </c>
    </row>
    <row r="667" spans="1:4">
      <c r="A667" s="7" t="s">
        <v>494</v>
      </c>
      <c r="B667" s="8">
        <v>7515.85</v>
      </c>
      <c r="C667" s="8">
        <v>7386.82</v>
      </c>
      <c r="D667" s="8">
        <v>101.75</v>
      </c>
    </row>
    <row r="668" spans="1:4">
      <c r="A668" s="7" t="s">
        <v>495</v>
      </c>
      <c r="B668" s="8">
        <v>8340.65</v>
      </c>
      <c r="C668" s="8">
        <v>8144.68</v>
      </c>
      <c r="D668" s="8">
        <v>102.41</v>
      </c>
    </row>
    <row r="669" spans="1:4">
      <c r="A669" s="7" t="s">
        <v>496</v>
      </c>
      <c r="B669" s="8">
        <v>13811.16</v>
      </c>
      <c r="C669" s="8">
        <v>8936.82</v>
      </c>
      <c r="D669" s="8">
        <v>154.54</v>
      </c>
    </row>
    <row r="670" spans="1:4">
      <c r="A670" s="7" t="s">
        <v>497</v>
      </c>
      <c r="B670" s="8">
        <v>9792.06</v>
      </c>
      <c r="C670" s="8">
        <v>8994.4599999999991</v>
      </c>
      <c r="D670" s="8">
        <v>108.87</v>
      </c>
    </row>
    <row r="671" spans="1:4">
      <c r="A671" s="7" t="s">
        <v>498</v>
      </c>
      <c r="B671" s="8">
        <v>12354</v>
      </c>
      <c r="C671" s="8">
        <v>9194.68</v>
      </c>
      <c r="D671" s="8">
        <v>134.36000000000001</v>
      </c>
    </row>
    <row r="672" spans="1:4">
      <c r="A672" s="7" t="s">
        <v>2883</v>
      </c>
      <c r="B672" s="8">
        <v>9142.67</v>
      </c>
      <c r="C672" s="8">
        <v>9144.4599999999991</v>
      </c>
      <c r="D672" s="8">
        <v>99.98</v>
      </c>
    </row>
    <row r="673" spans="1:4">
      <c r="A673" s="7" t="s">
        <v>2884</v>
      </c>
      <c r="B673" s="8">
        <v>13016.66</v>
      </c>
      <c r="C673" s="8">
        <v>9444.68</v>
      </c>
      <c r="D673" s="8">
        <v>137.82</v>
      </c>
    </row>
    <row r="674" spans="1:4">
      <c r="A674" s="7" t="s">
        <v>2885</v>
      </c>
      <c r="B674" s="8">
        <v>8036.47</v>
      </c>
      <c r="C674" s="8">
        <v>7786.82</v>
      </c>
      <c r="D674" s="8">
        <v>103.21</v>
      </c>
    </row>
    <row r="675" spans="1:4">
      <c r="A675" s="7" t="s">
        <v>2886</v>
      </c>
      <c r="B675" s="8">
        <v>8036.9</v>
      </c>
      <c r="C675" s="8">
        <v>8071.73</v>
      </c>
      <c r="D675" s="8">
        <v>99.57</v>
      </c>
    </row>
    <row r="676" spans="1:4">
      <c r="A676" s="7" t="s">
        <v>2887</v>
      </c>
      <c r="B676" s="8">
        <v>15952.53</v>
      </c>
      <c r="C676" s="8">
        <v>12718.7</v>
      </c>
      <c r="D676" s="8">
        <v>125.43</v>
      </c>
    </row>
    <row r="677" spans="1:4">
      <c r="A677" s="7" t="s">
        <v>2888</v>
      </c>
      <c r="B677" s="8">
        <v>14689.24</v>
      </c>
      <c r="C677" s="8">
        <v>14418.7</v>
      </c>
      <c r="D677" s="8">
        <v>101.88</v>
      </c>
    </row>
    <row r="678" spans="1:4">
      <c r="A678" s="7" t="s">
        <v>2889</v>
      </c>
      <c r="B678" s="8">
        <v>12075.74</v>
      </c>
      <c r="C678" s="8">
        <v>12868.7</v>
      </c>
      <c r="D678" s="8">
        <v>93.84</v>
      </c>
    </row>
    <row r="679" spans="1:4">
      <c r="A679" s="7" t="s">
        <v>2890</v>
      </c>
      <c r="B679" s="8">
        <v>12210.78</v>
      </c>
      <c r="C679" s="8">
        <v>12568.7</v>
      </c>
      <c r="D679" s="8">
        <v>97.15</v>
      </c>
    </row>
    <row r="680" spans="1:4">
      <c r="A680" s="7" t="s">
        <v>2891</v>
      </c>
      <c r="B680" s="8">
        <v>12538.05</v>
      </c>
      <c r="C680" s="8">
        <v>11718.7</v>
      </c>
      <c r="D680" s="8">
        <v>106.99</v>
      </c>
    </row>
    <row r="681" spans="1:4">
      <c r="A681" s="7" t="s">
        <v>2892</v>
      </c>
      <c r="B681" s="8">
        <v>18269.3</v>
      </c>
      <c r="C681" s="8">
        <v>12168.7</v>
      </c>
      <c r="D681" s="8">
        <v>150.13</v>
      </c>
    </row>
    <row r="682" spans="1:4">
      <c r="A682" s="7" t="s">
        <v>2893</v>
      </c>
      <c r="B682" s="8">
        <v>13094.51</v>
      </c>
      <c r="C682" s="8">
        <v>13668.7</v>
      </c>
      <c r="D682" s="8">
        <v>95.8</v>
      </c>
    </row>
    <row r="683" spans="1:4">
      <c r="A683" s="7" t="s">
        <v>2894</v>
      </c>
      <c r="B683" s="8">
        <v>11573.69</v>
      </c>
      <c r="C683" s="8">
        <v>12618.7</v>
      </c>
      <c r="D683" s="8">
        <v>91.72</v>
      </c>
    </row>
    <row r="684" spans="1:4">
      <c r="A684" s="7" t="s">
        <v>2895</v>
      </c>
      <c r="B684" s="8">
        <v>11225.64</v>
      </c>
      <c r="C684" s="8">
        <v>12168.7</v>
      </c>
      <c r="D684" s="8">
        <v>92.25</v>
      </c>
    </row>
    <row r="685" spans="1:4">
      <c r="A685" s="7" t="s">
        <v>2896</v>
      </c>
      <c r="B685" s="8">
        <v>9325.17</v>
      </c>
      <c r="C685" s="8">
        <v>10218.700000000001</v>
      </c>
      <c r="D685" s="8">
        <v>91.26</v>
      </c>
    </row>
    <row r="686" spans="1:4">
      <c r="A686" s="7" t="s">
        <v>2897</v>
      </c>
      <c r="B686" s="8">
        <v>10533.93</v>
      </c>
      <c r="C686" s="8">
        <v>11118.7</v>
      </c>
      <c r="D686" s="8">
        <v>94.74</v>
      </c>
    </row>
    <row r="687" spans="1:4">
      <c r="A687" s="7" t="s">
        <v>2898</v>
      </c>
      <c r="B687" s="8">
        <v>16724.89</v>
      </c>
      <c r="C687" s="8">
        <v>13168.7</v>
      </c>
      <c r="D687" s="8">
        <v>127</v>
      </c>
    </row>
    <row r="688" spans="1:4">
      <c r="A688" s="7" t="s">
        <v>2899</v>
      </c>
      <c r="B688" s="8">
        <v>15217.16</v>
      </c>
      <c r="C688" s="8">
        <v>13818.7</v>
      </c>
      <c r="D688" s="8">
        <v>110.12</v>
      </c>
    </row>
    <row r="689" spans="1:4">
      <c r="A689" s="7" t="s">
        <v>2900</v>
      </c>
      <c r="B689" s="8">
        <v>17161.169999999998</v>
      </c>
      <c r="C689" s="8">
        <v>13718.67</v>
      </c>
      <c r="D689" s="8">
        <v>125.09</v>
      </c>
    </row>
    <row r="690" spans="1:4">
      <c r="A690" s="7" t="s">
        <v>2901</v>
      </c>
      <c r="B690" s="8">
        <v>13193.51</v>
      </c>
      <c r="C690" s="8">
        <v>14339.34</v>
      </c>
      <c r="D690" s="8">
        <v>92.01</v>
      </c>
    </row>
    <row r="691" spans="1:4">
      <c r="A691" s="7" t="s">
        <v>2902</v>
      </c>
      <c r="B691" s="8">
        <v>13514.56</v>
      </c>
      <c r="C691" s="8">
        <v>14568.7</v>
      </c>
      <c r="D691" s="8">
        <v>92.76</v>
      </c>
    </row>
    <row r="692" spans="1:4">
      <c r="A692" s="7" t="s">
        <v>2903</v>
      </c>
      <c r="B692" s="8">
        <v>5933.63</v>
      </c>
      <c r="C692" s="8">
        <v>6660.2</v>
      </c>
      <c r="D692" s="8">
        <v>89.09</v>
      </c>
    </row>
    <row r="693" spans="1:4">
      <c r="A693" s="7" t="s">
        <v>2904</v>
      </c>
      <c r="B693" s="8">
        <v>5290</v>
      </c>
      <c r="C693" s="8">
        <v>5960.42</v>
      </c>
      <c r="D693" s="8">
        <v>88.75</v>
      </c>
    </row>
    <row r="694" spans="1:4">
      <c r="A694" s="7" t="s">
        <v>2905</v>
      </c>
      <c r="B694" s="8">
        <v>3192.09</v>
      </c>
      <c r="C694" s="8">
        <v>3910.45</v>
      </c>
      <c r="D694" s="8">
        <v>81.63</v>
      </c>
    </row>
    <row r="695" spans="1:4">
      <c r="A695" s="7" t="s">
        <v>2906</v>
      </c>
      <c r="B695" s="8">
        <v>5198.9799999999996</v>
      </c>
      <c r="C695" s="8">
        <v>6188.93</v>
      </c>
      <c r="D695" s="8">
        <v>84</v>
      </c>
    </row>
    <row r="696" spans="1:4">
      <c r="A696" s="7" t="s">
        <v>2907</v>
      </c>
      <c r="B696" s="8">
        <v>17344.36</v>
      </c>
      <c r="C696" s="8">
        <v>8189.56</v>
      </c>
      <c r="D696" s="8">
        <v>211.79</v>
      </c>
    </row>
    <row r="697" spans="1:4">
      <c r="A697" s="7" t="s">
        <v>2908</v>
      </c>
      <c r="B697" s="8">
        <v>9902.0300000000007</v>
      </c>
      <c r="C697" s="8">
        <v>9889.56</v>
      </c>
      <c r="D697" s="8">
        <v>100.13</v>
      </c>
    </row>
    <row r="698" spans="1:4">
      <c r="A698" s="7" t="s">
        <v>2909</v>
      </c>
      <c r="B698" s="8">
        <v>8528.67</v>
      </c>
      <c r="C698" s="8">
        <v>8639.56</v>
      </c>
      <c r="D698" s="8">
        <v>98.72</v>
      </c>
    </row>
    <row r="699" spans="1:4">
      <c r="A699" s="7" t="s">
        <v>2910</v>
      </c>
      <c r="B699" s="8">
        <v>10911.15</v>
      </c>
      <c r="C699" s="8">
        <v>8339.56</v>
      </c>
      <c r="D699" s="8">
        <v>130.84</v>
      </c>
    </row>
    <row r="700" spans="1:4">
      <c r="A700" s="7" t="s">
        <v>2911</v>
      </c>
      <c r="B700" s="8">
        <v>10701.95</v>
      </c>
      <c r="C700" s="8">
        <v>8686.42</v>
      </c>
      <c r="D700" s="8">
        <v>123.2</v>
      </c>
    </row>
    <row r="701" spans="1:4">
      <c r="A701" s="7" t="s">
        <v>2912</v>
      </c>
      <c r="B701" s="8">
        <v>11994.33</v>
      </c>
      <c r="C701" s="8">
        <v>8539.56</v>
      </c>
      <c r="D701" s="8">
        <v>140.46</v>
      </c>
    </row>
    <row r="702" spans="1:4">
      <c r="A702" s="7" t="s">
        <v>2913</v>
      </c>
      <c r="B702" s="8">
        <v>10201.31</v>
      </c>
      <c r="C702" s="8">
        <v>10039.56</v>
      </c>
      <c r="D702" s="8">
        <v>101.61</v>
      </c>
    </row>
    <row r="703" spans="1:4">
      <c r="A703" s="7" t="s">
        <v>2914</v>
      </c>
      <c r="B703" s="8">
        <v>14969.2</v>
      </c>
      <c r="C703" s="8">
        <v>9289.56</v>
      </c>
      <c r="D703" s="8">
        <v>161.13999999999999</v>
      </c>
    </row>
    <row r="704" spans="1:4">
      <c r="A704" s="7" t="s">
        <v>2915</v>
      </c>
      <c r="B704" s="8">
        <v>8930.66</v>
      </c>
      <c r="C704" s="8">
        <v>9139.56</v>
      </c>
      <c r="D704" s="8">
        <v>97.71</v>
      </c>
    </row>
    <row r="705" spans="1:4">
      <c r="A705" s="7" t="s">
        <v>2916</v>
      </c>
      <c r="B705" s="8">
        <v>8582.89</v>
      </c>
      <c r="C705" s="8">
        <v>7489.56</v>
      </c>
      <c r="D705" s="8">
        <v>114.6</v>
      </c>
    </row>
    <row r="706" spans="1:4">
      <c r="A706" s="7" t="s">
        <v>2917</v>
      </c>
      <c r="B706" s="8">
        <v>9609.5</v>
      </c>
      <c r="C706" s="8">
        <v>8389.56</v>
      </c>
      <c r="D706" s="8">
        <v>114.54</v>
      </c>
    </row>
    <row r="707" spans="1:4">
      <c r="A707" s="7" t="s">
        <v>2918</v>
      </c>
      <c r="B707" s="8">
        <v>10772.89</v>
      </c>
      <c r="C707" s="8">
        <v>10739.56</v>
      </c>
      <c r="D707" s="8">
        <v>100.31</v>
      </c>
    </row>
    <row r="708" spans="1:4">
      <c r="A708" s="7" t="s">
        <v>2919</v>
      </c>
      <c r="B708" s="8">
        <v>11960.88</v>
      </c>
      <c r="C708" s="8">
        <v>11689.56</v>
      </c>
      <c r="D708" s="8">
        <v>102.32</v>
      </c>
    </row>
    <row r="709" spans="1:4">
      <c r="A709" s="7" t="s">
        <v>2920</v>
      </c>
      <c r="B709" s="8">
        <v>11616.07</v>
      </c>
      <c r="C709" s="8">
        <v>11589.56</v>
      </c>
      <c r="D709" s="8">
        <v>100.23</v>
      </c>
    </row>
    <row r="710" spans="1:4">
      <c r="A710" s="7" t="s">
        <v>2921</v>
      </c>
      <c r="B710" s="8">
        <v>13157.34</v>
      </c>
      <c r="C710" s="8">
        <v>12539.34</v>
      </c>
      <c r="D710" s="8">
        <v>104.93</v>
      </c>
    </row>
    <row r="711" spans="1:4">
      <c r="A711" s="7" t="s">
        <v>2922</v>
      </c>
      <c r="B711" s="8">
        <v>15016.26</v>
      </c>
      <c r="C711" s="8">
        <v>12739.56</v>
      </c>
      <c r="D711" s="8">
        <v>117.87</v>
      </c>
    </row>
    <row r="712" spans="1:4">
      <c r="A712" s="7" t="s">
        <v>2923</v>
      </c>
      <c r="B712" s="8">
        <v>18529.96</v>
      </c>
      <c r="C712" s="8">
        <v>11444.46</v>
      </c>
      <c r="D712" s="8">
        <v>161.91</v>
      </c>
    </row>
    <row r="713" spans="1:4">
      <c r="A713" s="7" t="s">
        <v>2924</v>
      </c>
      <c r="B713" s="8">
        <v>27479.65</v>
      </c>
      <c r="C713" s="8">
        <v>11744.68</v>
      </c>
      <c r="D713" s="8">
        <v>233.98</v>
      </c>
    </row>
    <row r="714" spans="1:4">
      <c r="A714" s="7" t="s">
        <v>2925</v>
      </c>
      <c r="B714" s="8">
        <v>13963.8</v>
      </c>
      <c r="C714" s="8">
        <v>9394.68</v>
      </c>
      <c r="D714" s="8">
        <v>148.63999999999999</v>
      </c>
    </row>
    <row r="715" spans="1:4">
      <c r="A715" s="7" t="s">
        <v>2926</v>
      </c>
      <c r="B715" s="8">
        <v>11041.99</v>
      </c>
      <c r="C715" s="8">
        <v>10100.870000000001</v>
      </c>
      <c r="D715" s="8">
        <v>109.32</v>
      </c>
    </row>
    <row r="716" spans="1:4">
      <c r="A716" s="7" t="s">
        <v>499</v>
      </c>
      <c r="B716" s="8">
        <v>13219.19</v>
      </c>
      <c r="C716" s="8">
        <v>10773.82</v>
      </c>
      <c r="D716" s="8">
        <v>122.7</v>
      </c>
    </row>
    <row r="717" spans="1:4">
      <c r="A717" s="7" t="s">
        <v>500</v>
      </c>
      <c r="B717" s="8">
        <v>13069.02</v>
      </c>
      <c r="C717" s="8">
        <v>12473.82</v>
      </c>
      <c r="D717" s="8">
        <v>104.77</v>
      </c>
    </row>
    <row r="718" spans="1:4">
      <c r="A718" s="7" t="s">
        <v>501</v>
      </c>
      <c r="B718" s="8">
        <v>9998.02</v>
      </c>
      <c r="C718" s="8">
        <v>10923.82</v>
      </c>
      <c r="D718" s="8">
        <v>91.52</v>
      </c>
    </row>
    <row r="719" spans="1:4">
      <c r="A719" s="7" t="s">
        <v>502</v>
      </c>
      <c r="B719" s="8">
        <v>11258.83</v>
      </c>
      <c r="C719" s="8">
        <v>10623.82</v>
      </c>
      <c r="D719" s="8">
        <v>105.98</v>
      </c>
    </row>
    <row r="720" spans="1:4">
      <c r="A720" s="7" t="s">
        <v>503</v>
      </c>
      <c r="B720" s="8">
        <v>10558.22</v>
      </c>
      <c r="C720" s="8">
        <v>9773.82</v>
      </c>
      <c r="D720" s="8">
        <v>108.03</v>
      </c>
    </row>
    <row r="721" spans="1:4">
      <c r="A721" s="7" t="s">
        <v>504</v>
      </c>
      <c r="B721" s="8">
        <v>11989.25</v>
      </c>
      <c r="C721" s="8">
        <v>10223.82</v>
      </c>
      <c r="D721" s="8">
        <v>117.27</v>
      </c>
    </row>
    <row r="722" spans="1:4">
      <c r="A722" s="7" t="s">
        <v>505</v>
      </c>
      <c r="B722" s="8">
        <v>12344.45</v>
      </c>
      <c r="C722" s="8">
        <v>11723.82</v>
      </c>
      <c r="D722" s="8">
        <v>105.29</v>
      </c>
    </row>
    <row r="723" spans="1:4">
      <c r="A723" s="7" t="s">
        <v>506</v>
      </c>
      <c r="B723" s="8">
        <v>12232.92</v>
      </c>
      <c r="C723" s="8">
        <v>10673.82</v>
      </c>
      <c r="D723" s="8">
        <v>114.61</v>
      </c>
    </row>
    <row r="724" spans="1:4">
      <c r="A724" s="7" t="s">
        <v>507</v>
      </c>
      <c r="B724" s="8">
        <v>13649.44</v>
      </c>
      <c r="C724" s="8">
        <v>10223.82</v>
      </c>
      <c r="D724" s="8">
        <v>133.51</v>
      </c>
    </row>
    <row r="725" spans="1:4">
      <c r="A725" s="7" t="s">
        <v>508</v>
      </c>
      <c r="B725" s="8">
        <v>11730.64</v>
      </c>
      <c r="C725" s="8">
        <v>8273.82</v>
      </c>
      <c r="D725" s="8">
        <v>141.78</v>
      </c>
    </row>
    <row r="726" spans="1:4">
      <c r="A726" s="7" t="s">
        <v>509</v>
      </c>
      <c r="B726" s="8">
        <v>11641.97</v>
      </c>
      <c r="C726" s="8">
        <v>9173.82</v>
      </c>
      <c r="D726" s="8">
        <v>126.9</v>
      </c>
    </row>
    <row r="727" spans="1:4">
      <c r="A727" s="7" t="s">
        <v>510</v>
      </c>
      <c r="B727" s="8">
        <v>10343.89</v>
      </c>
      <c r="C727" s="8">
        <v>11223.82</v>
      </c>
      <c r="D727" s="8">
        <v>92.16</v>
      </c>
    </row>
    <row r="728" spans="1:4">
      <c r="A728" s="7" t="s">
        <v>511</v>
      </c>
      <c r="B728" s="8">
        <v>11109.98</v>
      </c>
      <c r="C728" s="8">
        <v>11873.82</v>
      </c>
      <c r="D728" s="8">
        <v>93.57</v>
      </c>
    </row>
    <row r="729" spans="1:4">
      <c r="A729" s="7" t="s">
        <v>512</v>
      </c>
      <c r="B729" s="8">
        <v>12682.65</v>
      </c>
      <c r="C729" s="8">
        <v>11773.79</v>
      </c>
      <c r="D729" s="8">
        <v>107.72</v>
      </c>
    </row>
    <row r="730" spans="1:4">
      <c r="A730" s="7" t="s">
        <v>513</v>
      </c>
      <c r="B730" s="8">
        <v>12521.02</v>
      </c>
      <c r="C730" s="8">
        <v>12394.46</v>
      </c>
      <c r="D730" s="8">
        <v>101.02</v>
      </c>
    </row>
    <row r="731" spans="1:4">
      <c r="A731" s="7" t="s">
        <v>514</v>
      </c>
      <c r="B731" s="8">
        <v>13104.43</v>
      </c>
      <c r="C731" s="8">
        <v>12623.82</v>
      </c>
      <c r="D731" s="8">
        <v>103.81</v>
      </c>
    </row>
    <row r="732" spans="1:4">
      <c r="A732" s="7" t="s">
        <v>515</v>
      </c>
      <c r="B732" s="8">
        <v>13592.03</v>
      </c>
      <c r="C732" s="8">
        <v>10756.28</v>
      </c>
      <c r="D732" s="8">
        <v>126.36</v>
      </c>
    </row>
    <row r="733" spans="1:4">
      <c r="A733" s="7" t="s">
        <v>516</v>
      </c>
      <c r="B733" s="8">
        <v>11535.43</v>
      </c>
      <c r="C733" s="8">
        <v>11085.64</v>
      </c>
      <c r="D733" s="8">
        <v>104.06</v>
      </c>
    </row>
    <row r="734" spans="1:4">
      <c r="A734" s="7" t="s">
        <v>517</v>
      </c>
      <c r="B734" s="8">
        <v>12834.61</v>
      </c>
      <c r="C734" s="8">
        <v>8735.64</v>
      </c>
      <c r="D734" s="8">
        <v>146.91999999999999</v>
      </c>
    </row>
    <row r="735" spans="1:4">
      <c r="A735" s="7" t="s">
        <v>518</v>
      </c>
      <c r="B735" s="8">
        <v>9580.08</v>
      </c>
      <c r="C735" s="8">
        <v>9412.69</v>
      </c>
      <c r="D735" s="8">
        <v>101.78</v>
      </c>
    </row>
    <row r="736" spans="1:4">
      <c r="A736" s="7" t="s">
        <v>519</v>
      </c>
      <c r="B736" s="8">
        <v>12442.64</v>
      </c>
      <c r="C736" s="8">
        <v>11780.9</v>
      </c>
      <c r="D736" s="8">
        <v>105.62</v>
      </c>
    </row>
    <row r="737" spans="1:4">
      <c r="A737" s="7" t="s">
        <v>520</v>
      </c>
      <c r="B737" s="8">
        <v>14406.41</v>
      </c>
      <c r="C737" s="8">
        <v>12480.9</v>
      </c>
      <c r="D737" s="8">
        <v>115.43</v>
      </c>
    </row>
    <row r="738" spans="1:4">
      <c r="A738" s="7" t="s">
        <v>521</v>
      </c>
      <c r="B738" s="8">
        <v>13119.78</v>
      </c>
      <c r="C738" s="8">
        <v>11930.9</v>
      </c>
      <c r="D738" s="8">
        <v>109.96</v>
      </c>
    </row>
    <row r="739" spans="1:4">
      <c r="A739" s="7" t="s">
        <v>522</v>
      </c>
      <c r="B739" s="8">
        <v>11266.74</v>
      </c>
      <c r="C739" s="8">
        <v>11630.9</v>
      </c>
      <c r="D739" s="8">
        <v>96.87</v>
      </c>
    </row>
    <row r="740" spans="1:4">
      <c r="A740" s="7" t="s">
        <v>523</v>
      </c>
      <c r="B740" s="8">
        <v>14364.06</v>
      </c>
      <c r="C740" s="8">
        <v>12780.9</v>
      </c>
      <c r="D740" s="8">
        <v>112.39</v>
      </c>
    </row>
    <row r="741" spans="1:4">
      <c r="A741" s="7" t="s">
        <v>524</v>
      </c>
      <c r="B741" s="8">
        <v>9190.07</v>
      </c>
      <c r="C741" s="8">
        <v>10230.9</v>
      </c>
      <c r="D741" s="8">
        <v>89.83</v>
      </c>
    </row>
    <row r="742" spans="1:4">
      <c r="A742" s="7" t="s">
        <v>525</v>
      </c>
      <c r="B742" s="8">
        <v>12705.11</v>
      </c>
      <c r="C742" s="8">
        <v>11730.9</v>
      </c>
      <c r="D742" s="8">
        <v>108.3</v>
      </c>
    </row>
    <row r="743" spans="1:4">
      <c r="A743" s="7" t="s">
        <v>526</v>
      </c>
      <c r="B743" s="8">
        <v>9404.5300000000007</v>
      </c>
      <c r="C743" s="8">
        <v>10680.9</v>
      </c>
      <c r="D743" s="8">
        <v>88.05</v>
      </c>
    </row>
    <row r="744" spans="1:4">
      <c r="A744" s="7" t="s">
        <v>527</v>
      </c>
      <c r="B744" s="8">
        <v>10784.17</v>
      </c>
      <c r="C744" s="8">
        <v>10230.9</v>
      </c>
      <c r="D744" s="8">
        <v>105.41</v>
      </c>
    </row>
    <row r="745" spans="1:4">
      <c r="A745" s="7" t="s">
        <v>528</v>
      </c>
      <c r="B745" s="8">
        <v>10313.709999999999</v>
      </c>
      <c r="C745" s="8">
        <v>11280.9</v>
      </c>
      <c r="D745" s="8">
        <v>91.43</v>
      </c>
    </row>
    <row r="746" spans="1:4">
      <c r="A746" s="7" t="s">
        <v>529</v>
      </c>
      <c r="B746" s="8">
        <v>12666.32</v>
      </c>
      <c r="C746" s="8">
        <v>12180.9</v>
      </c>
      <c r="D746" s="8">
        <v>103.99</v>
      </c>
    </row>
    <row r="747" spans="1:4">
      <c r="A747" s="7" t="s">
        <v>530</v>
      </c>
      <c r="B747" s="8">
        <v>14220.74</v>
      </c>
      <c r="C747" s="8">
        <v>12230.9</v>
      </c>
      <c r="D747" s="8">
        <v>116.27</v>
      </c>
    </row>
    <row r="748" spans="1:4">
      <c r="A748" s="7" t="s">
        <v>531</v>
      </c>
      <c r="B748" s="8">
        <v>15389.32</v>
      </c>
      <c r="C748" s="8">
        <v>11880.9</v>
      </c>
      <c r="D748" s="8">
        <v>129.53</v>
      </c>
    </row>
    <row r="749" spans="1:4">
      <c r="A749" s="7" t="s">
        <v>532</v>
      </c>
      <c r="B749" s="8">
        <v>14345.32</v>
      </c>
      <c r="C749" s="8">
        <v>13780.9</v>
      </c>
      <c r="D749" s="8">
        <v>104.1</v>
      </c>
    </row>
    <row r="750" spans="1:4">
      <c r="A750" s="7" t="s">
        <v>533</v>
      </c>
      <c r="B750" s="8">
        <v>15991.47</v>
      </c>
      <c r="C750" s="8">
        <v>11501.54</v>
      </c>
      <c r="D750" s="8">
        <v>139.04</v>
      </c>
    </row>
    <row r="751" spans="1:4">
      <c r="A751" s="7" t="s">
        <v>534</v>
      </c>
      <c r="B751" s="8">
        <v>22683.29</v>
      </c>
      <c r="C751" s="8">
        <v>12630.9</v>
      </c>
      <c r="D751" s="8">
        <v>179.59</v>
      </c>
    </row>
    <row r="752" spans="1:4">
      <c r="A752" s="7" t="s">
        <v>535</v>
      </c>
      <c r="B752" s="8">
        <v>14781.15</v>
      </c>
      <c r="C752" s="8">
        <v>10751.54</v>
      </c>
      <c r="D752" s="8">
        <v>137.47999999999999</v>
      </c>
    </row>
    <row r="753" spans="1:4">
      <c r="A753" s="7" t="s">
        <v>536</v>
      </c>
      <c r="B753" s="8">
        <v>19880.09</v>
      </c>
      <c r="C753" s="8">
        <v>12980.9</v>
      </c>
      <c r="D753" s="8">
        <v>153.15</v>
      </c>
    </row>
    <row r="754" spans="1:4">
      <c r="A754" s="7" t="s">
        <v>537</v>
      </c>
      <c r="B754" s="8">
        <v>12400.81</v>
      </c>
      <c r="C754" s="8">
        <v>12630.9</v>
      </c>
      <c r="D754" s="8">
        <v>98.18</v>
      </c>
    </row>
    <row r="755" spans="1:4">
      <c r="A755" s="7" t="s">
        <v>538</v>
      </c>
      <c r="B755" s="8">
        <v>11139.85</v>
      </c>
      <c r="C755" s="8">
        <v>12896.49</v>
      </c>
      <c r="D755" s="8">
        <v>86.38</v>
      </c>
    </row>
    <row r="756" spans="1:4">
      <c r="A756" s="7" t="s">
        <v>135</v>
      </c>
      <c r="B756" s="8">
        <v>13239.03</v>
      </c>
      <c r="C756" s="8">
        <v>13674.67</v>
      </c>
      <c r="D756" s="8">
        <v>96.81</v>
      </c>
    </row>
    <row r="757" spans="1:4">
      <c r="A757" s="7" t="s">
        <v>136</v>
      </c>
      <c r="B757" s="8">
        <v>150</v>
      </c>
      <c r="C757" s="8">
        <v>150</v>
      </c>
      <c r="D757" s="8">
        <v>100</v>
      </c>
    </row>
    <row r="758" spans="1:4">
      <c r="A758" s="7" t="s">
        <v>137</v>
      </c>
      <c r="B758" s="8">
        <v>10959.52</v>
      </c>
      <c r="C758" s="8">
        <v>11762.47</v>
      </c>
      <c r="D758" s="8">
        <v>93.17</v>
      </c>
    </row>
    <row r="759" spans="1:4">
      <c r="A759" s="7" t="s">
        <v>138</v>
      </c>
      <c r="B759" s="8">
        <v>150</v>
      </c>
      <c r="C759" s="8">
        <v>150</v>
      </c>
      <c r="D759" s="8">
        <v>100</v>
      </c>
    </row>
    <row r="760" spans="1:4">
      <c r="A760" s="7" t="s">
        <v>139</v>
      </c>
      <c r="B760" s="8">
        <v>27111.22</v>
      </c>
      <c r="C760" s="8">
        <v>20768.54</v>
      </c>
      <c r="D760" s="8">
        <v>130.54</v>
      </c>
    </row>
    <row r="761" spans="1:4">
      <c r="A761" s="7" t="s">
        <v>140</v>
      </c>
      <c r="B761" s="8">
        <v>150</v>
      </c>
      <c r="C761" s="8">
        <v>150</v>
      </c>
      <c r="D761" s="8">
        <v>100</v>
      </c>
    </row>
    <row r="762" spans="1:4">
      <c r="A762" s="7" t="s">
        <v>141</v>
      </c>
      <c r="B762" s="8">
        <v>11671.12</v>
      </c>
      <c r="C762" s="8">
        <v>12246.82</v>
      </c>
      <c r="D762" s="8">
        <v>95.3</v>
      </c>
    </row>
    <row r="763" spans="1:4">
      <c r="A763" s="7" t="s">
        <v>142</v>
      </c>
      <c r="B763" s="8">
        <v>150</v>
      </c>
      <c r="C763" s="8">
        <v>150</v>
      </c>
      <c r="D763" s="8">
        <v>100</v>
      </c>
    </row>
    <row r="764" spans="1:4">
      <c r="A764" s="7" t="s">
        <v>143</v>
      </c>
      <c r="B764" s="8">
        <v>33253.96</v>
      </c>
      <c r="C764" s="8">
        <v>22080.75</v>
      </c>
      <c r="D764" s="8">
        <v>150.6</v>
      </c>
    </row>
    <row r="765" spans="1:4">
      <c r="A765" s="7" t="s">
        <v>144</v>
      </c>
      <c r="B765" s="8">
        <v>150</v>
      </c>
      <c r="C765" s="8">
        <v>150</v>
      </c>
      <c r="D765" s="8">
        <v>100</v>
      </c>
    </row>
    <row r="766" spans="1:4">
      <c r="A766" s="7" t="s">
        <v>145</v>
      </c>
      <c r="B766" s="8">
        <v>15893.5</v>
      </c>
      <c r="C766" s="8">
        <v>15509.03</v>
      </c>
      <c r="D766" s="8">
        <v>102.48</v>
      </c>
    </row>
    <row r="767" spans="1:4">
      <c r="A767" s="7" t="s">
        <v>146</v>
      </c>
      <c r="B767" s="8">
        <v>150</v>
      </c>
      <c r="C767" s="8">
        <v>150</v>
      </c>
      <c r="D767" s="8">
        <v>100</v>
      </c>
    </row>
    <row r="768" spans="1:4">
      <c r="A768" s="7" t="s">
        <v>147</v>
      </c>
      <c r="B768" s="8">
        <v>22089.15</v>
      </c>
      <c r="C768" s="8">
        <v>22765.1</v>
      </c>
      <c r="D768" s="8">
        <v>97.03</v>
      </c>
    </row>
    <row r="769" spans="1:4">
      <c r="A769" s="7" t="s">
        <v>148</v>
      </c>
      <c r="B769" s="8">
        <v>150</v>
      </c>
      <c r="C769" s="8">
        <v>150</v>
      </c>
      <c r="D769" s="8">
        <v>100</v>
      </c>
    </row>
    <row r="770" spans="1:4">
      <c r="A770" s="7" t="s">
        <v>149</v>
      </c>
      <c r="B770" s="8">
        <v>21976.31</v>
      </c>
      <c r="C770" s="8">
        <v>20852.89</v>
      </c>
      <c r="D770" s="8">
        <v>105.39</v>
      </c>
    </row>
    <row r="771" spans="1:4">
      <c r="A771" s="7" t="s">
        <v>150</v>
      </c>
      <c r="B771" s="8">
        <v>150</v>
      </c>
      <c r="C771" s="8">
        <v>150</v>
      </c>
      <c r="D771" s="8">
        <v>100</v>
      </c>
    </row>
    <row r="772" spans="1:4">
      <c r="A772" s="7" t="s">
        <v>151</v>
      </c>
      <c r="B772" s="8">
        <v>150</v>
      </c>
      <c r="C772" s="8">
        <v>150</v>
      </c>
      <c r="D772" s="8">
        <v>100</v>
      </c>
    </row>
    <row r="773" spans="1:4">
      <c r="A773" s="7" t="s">
        <v>152</v>
      </c>
      <c r="B773" s="8">
        <v>150</v>
      </c>
      <c r="C773" s="8">
        <v>150</v>
      </c>
      <c r="D773" s="8">
        <v>100</v>
      </c>
    </row>
    <row r="774" spans="1:4">
      <c r="A774" s="7" t="s">
        <v>153</v>
      </c>
      <c r="B774" s="8">
        <v>150</v>
      </c>
      <c r="C774" s="8">
        <v>150</v>
      </c>
      <c r="D774" s="8">
        <v>100</v>
      </c>
    </row>
    <row r="775" spans="1:4">
      <c r="A775" s="7" t="s">
        <v>154</v>
      </c>
      <c r="B775" s="8">
        <v>150</v>
      </c>
      <c r="C775" s="8">
        <v>150</v>
      </c>
      <c r="D775" s="8">
        <v>100</v>
      </c>
    </row>
    <row r="776" spans="1:4">
      <c r="A776" s="7" t="s">
        <v>155</v>
      </c>
      <c r="B776" s="8">
        <v>150</v>
      </c>
      <c r="C776" s="8">
        <v>150</v>
      </c>
      <c r="D776" s="8">
        <v>100</v>
      </c>
    </row>
    <row r="777" spans="1:4">
      <c r="A777" s="7" t="s">
        <v>156</v>
      </c>
      <c r="B777" s="8">
        <v>150</v>
      </c>
      <c r="C777" s="8">
        <v>150</v>
      </c>
      <c r="D777" s="8">
        <v>100</v>
      </c>
    </row>
    <row r="778" spans="1:4">
      <c r="A778" s="7" t="s">
        <v>157</v>
      </c>
      <c r="B778" s="8">
        <v>150</v>
      </c>
      <c r="C778" s="8">
        <v>150</v>
      </c>
      <c r="D778" s="8">
        <v>100</v>
      </c>
    </row>
    <row r="779" spans="1:4">
      <c r="A779" s="7" t="s">
        <v>158</v>
      </c>
      <c r="B779" s="8">
        <v>150</v>
      </c>
      <c r="C779" s="8">
        <v>150</v>
      </c>
      <c r="D779" s="8">
        <v>100</v>
      </c>
    </row>
    <row r="780" spans="1:4">
      <c r="A780" s="7" t="s">
        <v>159</v>
      </c>
      <c r="B780" s="8">
        <v>150</v>
      </c>
      <c r="C780" s="8">
        <v>150</v>
      </c>
      <c r="D780" s="8">
        <v>100</v>
      </c>
    </row>
    <row r="781" spans="1:4">
      <c r="A781" s="7" t="s">
        <v>160</v>
      </c>
      <c r="B781" s="8">
        <v>150</v>
      </c>
      <c r="C781" s="8">
        <v>150</v>
      </c>
      <c r="D781" s="8">
        <v>100</v>
      </c>
    </row>
    <row r="782" spans="1:4">
      <c r="A782" s="7" t="s">
        <v>161</v>
      </c>
      <c r="B782" s="8">
        <v>150</v>
      </c>
      <c r="C782" s="8">
        <v>150</v>
      </c>
      <c r="D782" s="8">
        <v>100</v>
      </c>
    </row>
    <row r="783" spans="1:4">
      <c r="A783" s="7" t="s">
        <v>162</v>
      </c>
      <c r="B783" s="8">
        <v>150</v>
      </c>
      <c r="C783" s="8">
        <v>150</v>
      </c>
      <c r="D783" s="8">
        <v>100</v>
      </c>
    </row>
    <row r="784" spans="1:4">
      <c r="A784" s="7" t="s">
        <v>163</v>
      </c>
      <c r="B784" s="8">
        <v>150</v>
      </c>
      <c r="C784" s="8">
        <v>150</v>
      </c>
      <c r="D784" s="8">
        <v>100</v>
      </c>
    </row>
    <row r="785" spans="1:4">
      <c r="A785" s="7" t="s">
        <v>164</v>
      </c>
      <c r="B785" s="8">
        <v>150</v>
      </c>
      <c r="C785" s="8">
        <v>150</v>
      </c>
      <c r="D785" s="8">
        <v>100</v>
      </c>
    </row>
    <row r="786" spans="1:4">
      <c r="A786" s="7" t="s">
        <v>165</v>
      </c>
      <c r="B786" s="8">
        <v>150</v>
      </c>
      <c r="C786" s="8">
        <v>150</v>
      </c>
      <c r="D786" s="8">
        <v>100</v>
      </c>
    </row>
    <row r="787" spans="1:4">
      <c r="A787" s="7" t="s">
        <v>166</v>
      </c>
      <c r="B787" s="8">
        <v>150</v>
      </c>
      <c r="C787" s="8">
        <v>150</v>
      </c>
      <c r="D787" s="8">
        <v>100</v>
      </c>
    </row>
    <row r="788" spans="1:4">
      <c r="A788" s="7" t="s">
        <v>167</v>
      </c>
      <c r="B788" s="8">
        <v>3364.7</v>
      </c>
      <c r="C788" s="8">
        <v>3525.55</v>
      </c>
      <c r="D788" s="8">
        <v>95.44</v>
      </c>
    </row>
    <row r="789" spans="1:4">
      <c r="A789" s="7" t="s">
        <v>168</v>
      </c>
      <c r="B789" s="8">
        <v>2546.27</v>
      </c>
      <c r="C789" s="8">
        <v>2575.71</v>
      </c>
      <c r="D789" s="8">
        <v>98.86</v>
      </c>
    </row>
    <row r="790" spans="1:4">
      <c r="A790" s="7" t="s">
        <v>169</v>
      </c>
      <c r="B790" s="8">
        <v>3443.34</v>
      </c>
      <c r="C790" s="8">
        <v>2856.51</v>
      </c>
      <c r="D790" s="8">
        <v>120.54</v>
      </c>
    </row>
    <row r="791" spans="1:4">
      <c r="A791" s="7" t="s">
        <v>170</v>
      </c>
      <c r="B791" s="8">
        <v>2812.8</v>
      </c>
      <c r="C791" s="8">
        <v>2606.35</v>
      </c>
      <c r="D791" s="8">
        <v>107.92</v>
      </c>
    </row>
    <row r="792" spans="1:4">
      <c r="A792" s="7" t="s">
        <v>171</v>
      </c>
      <c r="B792" s="8">
        <v>2387.34</v>
      </c>
      <c r="C792" s="8">
        <v>2875.23</v>
      </c>
      <c r="D792" s="8">
        <v>83.03</v>
      </c>
    </row>
    <row r="793" spans="1:4">
      <c r="A793" s="7" t="s">
        <v>172</v>
      </c>
      <c r="B793" s="8">
        <v>3626</v>
      </c>
      <c r="C793" s="8">
        <v>3875.39</v>
      </c>
      <c r="D793" s="8">
        <v>93.56</v>
      </c>
    </row>
    <row r="794" spans="1:4">
      <c r="A794" s="7" t="s">
        <v>173</v>
      </c>
      <c r="B794" s="8">
        <v>2786.66</v>
      </c>
      <c r="C794" s="8">
        <v>2507.5100000000002</v>
      </c>
      <c r="D794" s="8">
        <v>111.13</v>
      </c>
    </row>
    <row r="795" spans="1:4">
      <c r="A795" s="7" t="s">
        <v>174</v>
      </c>
      <c r="B795" s="8">
        <v>1685.21</v>
      </c>
      <c r="C795" s="8">
        <v>1656.99</v>
      </c>
      <c r="D795" s="8">
        <v>101.7</v>
      </c>
    </row>
    <row r="796" spans="1:4">
      <c r="A796" s="7" t="s">
        <v>175</v>
      </c>
      <c r="B796" s="8">
        <v>9390.61</v>
      </c>
      <c r="C796" s="8">
        <v>4174.91</v>
      </c>
      <c r="D796" s="8">
        <v>224.93</v>
      </c>
    </row>
    <row r="797" spans="1:4">
      <c r="A797" s="7" t="s">
        <v>176</v>
      </c>
      <c r="B797" s="8">
        <v>2957.56</v>
      </c>
      <c r="C797" s="8">
        <v>3225.07</v>
      </c>
      <c r="D797" s="8">
        <v>91.71</v>
      </c>
    </row>
    <row r="798" spans="1:4">
      <c r="A798" s="7" t="s">
        <v>177</v>
      </c>
      <c r="B798" s="8">
        <v>2502.73</v>
      </c>
      <c r="C798" s="8">
        <v>3074.59</v>
      </c>
      <c r="D798" s="8">
        <v>81.400000000000006</v>
      </c>
    </row>
    <row r="799" spans="1:4">
      <c r="A799" s="7" t="s">
        <v>178</v>
      </c>
      <c r="B799" s="8">
        <v>7968.5</v>
      </c>
      <c r="C799" s="8">
        <v>4074.75</v>
      </c>
      <c r="D799" s="8">
        <v>195.56</v>
      </c>
    </row>
    <row r="800" spans="1:4">
      <c r="A800" s="7" t="s">
        <v>179</v>
      </c>
      <c r="B800" s="8">
        <v>3338.55</v>
      </c>
      <c r="C800" s="8">
        <v>3924.27</v>
      </c>
      <c r="D800" s="8">
        <v>85.07</v>
      </c>
    </row>
    <row r="801" spans="1:4">
      <c r="A801" s="7" t="s">
        <v>180</v>
      </c>
      <c r="B801" s="8">
        <v>2630.2</v>
      </c>
      <c r="C801" s="8">
        <v>2974.43</v>
      </c>
      <c r="D801" s="8">
        <v>88.43</v>
      </c>
    </row>
    <row r="802" spans="1:4">
      <c r="A802" s="7" t="s">
        <v>181</v>
      </c>
      <c r="B802" s="8">
        <v>4284.51</v>
      </c>
      <c r="C802" s="8">
        <v>4773.95</v>
      </c>
      <c r="D802" s="8">
        <v>89.75</v>
      </c>
    </row>
    <row r="803" spans="1:4">
      <c r="A803" s="7" t="s">
        <v>182</v>
      </c>
      <c r="B803" s="8">
        <v>3416.67</v>
      </c>
      <c r="C803" s="8">
        <v>3824.11</v>
      </c>
      <c r="D803" s="8">
        <v>89.35</v>
      </c>
    </row>
    <row r="804" spans="1:4">
      <c r="A804" s="7" t="s">
        <v>183</v>
      </c>
      <c r="B804" s="8">
        <v>150</v>
      </c>
      <c r="C804" s="8">
        <v>150</v>
      </c>
      <c r="D804" s="8">
        <v>100</v>
      </c>
    </row>
    <row r="805" spans="1:4">
      <c r="A805" s="7" t="s">
        <v>184</v>
      </c>
      <c r="B805" s="8">
        <v>150</v>
      </c>
      <c r="C805" s="8">
        <v>150</v>
      </c>
      <c r="D805" s="8">
        <v>100</v>
      </c>
    </row>
    <row r="806" spans="1:4">
      <c r="A806" s="7" t="s">
        <v>185</v>
      </c>
      <c r="B806" s="8">
        <v>150</v>
      </c>
      <c r="C806" s="8">
        <v>150</v>
      </c>
      <c r="D806" s="8">
        <v>100</v>
      </c>
    </row>
    <row r="807" spans="1:4">
      <c r="A807" s="7" t="s">
        <v>186</v>
      </c>
      <c r="B807" s="8">
        <v>150</v>
      </c>
      <c r="C807" s="8">
        <v>150</v>
      </c>
      <c r="D807" s="8">
        <v>100</v>
      </c>
    </row>
    <row r="808" spans="1:4">
      <c r="A808" s="7" t="s">
        <v>187</v>
      </c>
      <c r="B808" s="8">
        <v>150</v>
      </c>
      <c r="C808" s="8">
        <v>150</v>
      </c>
      <c r="D808" s="8">
        <v>100</v>
      </c>
    </row>
    <row r="809" spans="1:4">
      <c r="A809" s="7" t="s">
        <v>188</v>
      </c>
      <c r="B809" s="8">
        <v>150</v>
      </c>
      <c r="C809" s="8">
        <v>150</v>
      </c>
      <c r="D809" s="8">
        <v>100</v>
      </c>
    </row>
    <row r="810" spans="1:4">
      <c r="A810" s="7" t="s">
        <v>189</v>
      </c>
      <c r="B810" s="8">
        <v>150</v>
      </c>
      <c r="C810" s="8">
        <v>150</v>
      </c>
      <c r="D810" s="8">
        <v>100</v>
      </c>
    </row>
    <row r="811" spans="1:4">
      <c r="A811" s="7" t="s">
        <v>190</v>
      </c>
      <c r="B811" s="8">
        <v>150</v>
      </c>
      <c r="C811" s="8">
        <v>150</v>
      </c>
      <c r="D811" s="8">
        <v>100</v>
      </c>
    </row>
    <row r="812" spans="1:4">
      <c r="A812" s="7" t="s">
        <v>191</v>
      </c>
      <c r="B812" s="8">
        <v>150</v>
      </c>
      <c r="C812" s="8">
        <v>150</v>
      </c>
      <c r="D812" s="8">
        <v>100</v>
      </c>
    </row>
    <row r="813" spans="1:4">
      <c r="A813" s="7" t="s">
        <v>192</v>
      </c>
      <c r="B813" s="8">
        <v>150</v>
      </c>
      <c r="C813" s="8">
        <v>150</v>
      </c>
      <c r="D813" s="8">
        <v>100</v>
      </c>
    </row>
    <row r="814" spans="1:4">
      <c r="A814" s="7" t="s">
        <v>193</v>
      </c>
      <c r="B814" s="8">
        <v>150</v>
      </c>
      <c r="C814" s="8">
        <v>150</v>
      </c>
      <c r="D814" s="8">
        <v>100</v>
      </c>
    </row>
    <row r="815" spans="1:4">
      <c r="A815" s="7" t="s">
        <v>194</v>
      </c>
      <c r="B815" s="8">
        <v>150</v>
      </c>
      <c r="C815" s="8">
        <v>150</v>
      </c>
      <c r="D815" s="8">
        <v>100</v>
      </c>
    </row>
    <row r="816" spans="1:4">
      <c r="A816" s="7" t="s">
        <v>195</v>
      </c>
      <c r="B816" s="8">
        <v>150</v>
      </c>
      <c r="C816" s="8">
        <v>150</v>
      </c>
      <c r="D816" s="8">
        <v>100</v>
      </c>
    </row>
    <row r="817" spans="1:4">
      <c r="A817" s="7" t="s">
        <v>196</v>
      </c>
      <c r="B817" s="8">
        <v>150</v>
      </c>
      <c r="C817" s="8">
        <v>150</v>
      </c>
      <c r="D817" s="8">
        <v>100</v>
      </c>
    </row>
    <row r="818" spans="1:4">
      <c r="A818" s="7" t="s">
        <v>197</v>
      </c>
      <c r="B818" s="8">
        <v>150</v>
      </c>
      <c r="C818" s="8">
        <v>150</v>
      </c>
      <c r="D818" s="8">
        <v>100</v>
      </c>
    </row>
    <row r="819" spans="1:4">
      <c r="A819" s="7" t="s">
        <v>198</v>
      </c>
      <c r="B819" s="8">
        <v>150</v>
      </c>
      <c r="C819" s="8">
        <v>150</v>
      </c>
      <c r="D819" s="8">
        <v>100</v>
      </c>
    </row>
    <row r="820" spans="1:4">
      <c r="A820" s="7" t="s">
        <v>2927</v>
      </c>
      <c r="B820" s="8">
        <v>12897.36</v>
      </c>
      <c r="C820" s="8">
        <v>13274.67</v>
      </c>
      <c r="D820" s="8">
        <v>97.16</v>
      </c>
    </row>
    <row r="821" spans="1:4">
      <c r="A821" s="7" t="s">
        <v>2928</v>
      </c>
      <c r="B821" s="8">
        <v>10631.45</v>
      </c>
      <c r="C821" s="8">
        <v>11362.47</v>
      </c>
      <c r="D821" s="8">
        <v>93.57</v>
      </c>
    </row>
    <row r="822" spans="1:4">
      <c r="A822" s="7" t="s">
        <v>2929</v>
      </c>
      <c r="B822" s="8">
        <v>27875.69</v>
      </c>
      <c r="C822" s="8">
        <v>20568.54</v>
      </c>
      <c r="D822" s="8">
        <v>135.53</v>
      </c>
    </row>
    <row r="823" spans="1:4">
      <c r="A823" s="7" t="s">
        <v>2930</v>
      </c>
      <c r="B823" s="8">
        <v>11802.94</v>
      </c>
      <c r="C823" s="8">
        <v>12046.82</v>
      </c>
      <c r="D823" s="8">
        <v>97.98</v>
      </c>
    </row>
    <row r="824" spans="1:4">
      <c r="A824" s="7" t="s">
        <v>2931</v>
      </c>
      <c r="B824" s="8">
        <v>33257.919999999998</v>
      </c>
      <c r="C824" s="8">
        <v>21880.75</v>
      </c>
      <c r="D824" s="8">
        <v>152</v>
      </c>
    </row>
    <row r="825" spans="1:4">
      <c r="A825" s="7" t="s">
        <v>2932</v>
      </c>
      <c r="B825" s="8">
        <v>16405.79</v>
      </c>
      <c r="C825" s="8">
        <v>15309.03</v>
      </c>
      <c r="D825" s="8">
        <v>107.16</v>
      </c>
    </row>
    <row r="826" spans="1:4">
      <c r="A826" s="7" t="s">
        <v>2933</v>
      </c>
      <c r="B826" s="8">
        <v>21383.73</v>
      </c>
      <c r="C826" s="8">
        <v>22365.1</v>
      </c>
      <c r="D826" s="8">
        <v>95.61</v>
      </c>
    </row>
    <row r="827" spans="1:4">
      <c r="A827" s="7" t="s">
        <v>2934</v>
      </c>
      <c r="B827" s="8">
        <v>22509.8</v>
      </c>
      <c r="C827" s="8">
        <v>20452.89</v>
      </c>
      <c r="D827" s="8">
        <v>110.06</v>
      </c>
    </row>
    <row r="828" spans="1:4">
      <c r="A828" s="7" t="s">
        <v>2935</v>
      </c>
      <c r="B828" s="8">
        <v>3015.33</v>
      </c>
      <c r="C828" s="8">
        <v>3325.47</v>
      </c>
      <c r="D828" s="8">
        <v>90.67</v>
      </c>
    </row>
    <row r="829" spans="1:4">
      <c r="A829" s="7" t="s">
        <v>2936</v>
      </c>
      <c r="B829" s="8">
        <v>2219.7399999999998</v>
      </c>
      <c r="C829" s="8">
        <v>2375.63</v>
      </c>
      <c r="D829" s="8">
        <v>93.44</v>
      </c>
    </row>
    <row r="830" spans="1:4">
      <c r="A830" s="7" t="s">
        <v>2937</v>
      </c>
      <c r="B830" s="8">
        <v>3168.35</v>
      </c>
      <c r="C830" s="8">
        <v>2558.0700000000002</v>
      </c>
      <c r="D830" s="8">
        <v>123.86</v>
      </c>
    </row>
    <row r="831" spans="1:4">
      <c r="A831" s="7" t="s">
        <v>2938</v>
      </c>
      <c r="B831" s="8">
        <v>2474.2399999999998</v>
      </c>
      <c r="C831" s="8">
        <v>2206.4299999999998</v>
      </c>
      <c r="D831" s="8">
        <v>112.14</v>
      </c>
    </row>
    <row r="832" spans="1:4">
      <c r="A832" s="7" t="s">
        <v>2939</v>
      </c>
      <c r="B832" s="8">
        <v>2398.2600000000002</v>
      </c>
      <c r="C832" s="8">
        <v>2675.15</v>
      </c>
      <c r="D832" s="8">
        <v>89.65</v>
      </c>
    </row>
    <row r="833" spans="1:4">
      <c r="A833" s="7" t="s">
        <v>2940</v>
      </c>
      <c r="B833" s="8">
        <v>3348.31</v>
      </c>
      <c r="C833" s="8">
        <v>3675.31</v>
      </c>
      <c r="D833" s="8">
        <v>91.1</v>
      </c>
    </row>
    <row r="834" spans="1:4">
      <c r="A834" s="7" t="s">
        <v>2941</v>
      </c>
      <c r="B834" s="8">
        <v>2325.88</v>
      </c>
      <c r="C834" s="8">
        <v>2307.4299999999998</v>
      </c>
      <c r="D834" s="8">
        <v>100.8</v>
      </c>
    </row>
    <row r="835" spans="1:4">
      <c r="A835" s="7" t="s">
        <v>2942</v>
      </c>
      <c r="B835" s="8">
        <v>1328.15</v>
      </c>
      <c r="C835" s="8">
        <v>1357.59</v>
      </c>
      <c r="D835" s="8">
        <v>97.83</v>
      </c>
    </row>
    <row r="836" spans="1:4">
      <c r="A836" s="7" t="s">
        <v>2943</v>
      </c>
      <c r="B836" s="8">
        <v>9245.86</v>
      </c>
      <c r="C836" s="8">
        <v>3974.83</v>
      </c>
      <c r="D836" s="8">
        <v>232.61</v>
      </c>
    </row>
    <row r="837" spans="1:4">
      <c r="A837" s="7" t="s">
        <v>2944</v>
      </c>
      <c r="B837" s="8">
        <v>2772.47</v>
      </c>
      <c r="C837" s="8">
        <v>3024.99</v>
      </c>
      <c r="D837" s="8">
        <v>91.65</v>
      </c>
    </row>
    <row r="838" spans="1:4">
      <c r="A838" s="7" t="s">
        <v>2945</v>
      </c>
      <c r="B838" s="8">
        <v>2191.21</v>
      </c>
      <c r="C838" s="8">
        <v>2874.51</v>
      </c>
      <c r="D838" s="8">
        <v>76.23</v>
      </c>
    </row>
    <row r="839" spans="1:4">
      <c r="A839" s="7" t="s">
        <v>2946</v>
      </c>
      <c r="B839" s="8">
        <v>7571.14</v>
      </c>
      <c r="C839" s="8">
        <v>3874.67</v>
      </c>
      <c r="D839" s="8">
        <v>195.4</v>
      </c>
    </row>
    <row r="840" spans="1:4">
      <c r="A840" s="7" t="s">
        <v>2947</v>
      </c>
      <c r="B840" s="8">
        <v>3413.16</v>
      </c>
      <c r="C840" s="8">
        <v>3724.19</v>
      </c>
      <c r="D840" s="8">
        <v>91.65</v>
      </c>
    </row>
    <row r="841" spans="1:4">
      <c r="A841" s="7" t="s">
        <v>2948</v>
      </c>
      <c r="B841" s="8">
        <v>2450.16</v>
      </c>
      <c r="C841" s="8">
        <v>2774.35</v>
      </c>
      <c r="D841" s="8">
        <v>88.31</v>
      </c>
    </row>
    <row r="842" spans="1:4">
      <c r="A842" s="7" t="s">
        <v>2949</v>
      </c>
      <c r="B842" s="8">
        <v>4351.41</v>
      </c>
      <c r="C842" s="8">
        <v>4573.87</v>
      </c>
      <c r="D842" s="8">
        <v>95.14</v>
      </c>
    </row>
    <row r="843" spans="1:4">
      <c r="A843" s="7" t="s">
        <v>2950</v>
      </c>
      <c r="B843" s="8">
        <v>3264.56</v>
      </c>
      <c r="C843" s="8">
        <v>3624.03</v>
      </c>
      <c r="D843" s="8">
        <v>90.08</v>
      </c>
    </row>
    <row r="844" spans="1:4">
      <c r="A844" s="7" t="s">
        <v>199</v>
      </c>
      <c r="B844" s="8">
        <v>9589.5400000000009</v>
      </c>
      <c r="C844" s="8">
        <v>7545.01</v>
      </c>
      <c r="D844" s="8">
        <v>127.1</v>
      </c>
    </row>
    <row r="845" spans="1:4">
      <c r="A845" s="7" t="s">
        <v>200</v>
      </c>
      <c r="B845" s="8">
        <v>8666.4599999999991</v>
      </c>
      <c r="C845" s="8">
        <v>8045.09</v>
      </c>
      <c r="D845" s="8">
        <v>107.72</v>
      </c>
    </row>
    <row r="846" spans="1:4">
      <c r="A846" s="7" t="s">
        <v>205</v>
      </c>
      <c r="B846" s="8">
        <v>4847.72</v>
      </c>
      <c r="C846" s="8">
        <v>5447.17</v>
      </c>
      <c r="D846" s="8">
        <v>89</v>
      </c>
    </row>
    <row r="847" spans="1:4">
      <c r="A847" s="7" t="s">
        <v>206</v>
      </c>
      <c r="B847" s="8">
        <v>5368.27</v>
      </c>
      <c r="C847" s="8">
        <v>5947.25</v>
      </c>
      <c r="D847" s="8">
        <v>90.26</v>
      </c>
    </row>
    <row r="848" spans="1:4">
      <c r="A848" s="7" t="s">
        <v>207</v>
      </c>
      <c r="B848" s="8">
        <v>9170.69</v>
      </c>
      <c r="C848" s="8">
        <v>5597.65</v>
      </c>
      <c r="D848" s="8">
        <v>163.83000000000001</v>
      </c>
    </row>
    <row r="849" spans="1:4">
      <c r="A849" s="7" t="s">
        <v>208</v>
      </c>
      <c r="B849" s="8">
        <v>9197.2199999999993</v>
      </c>
      <c r="C849" s="8">
        <v>4447.7299999999996</v>
      </c>
      <c r="D849" s="8">
        <v>206.78</v>
      </c>
    </row>
    <row r="850" spans="1:4">
      <c r="A850" s="7" t="s">
        <v>209</v>
      </c>
      <c r="B850" s="8">
        <v>5481.67</v>
      </c>
      <c r="C850" s="8">
        <v>6247.49</v>
      </c>
      <c r="D850" s="8">
        <v>87.74</v>
      </c>
    </row>
    <row r="851" spans="1:4">
      <c r="A851" s="7" t="s">
        <v>210</v>
      </c>
      <c r="B851" s="8">
        <v>4816.88</v>
      </c>
      <c r="C851" s="8">
        <v>5397.57</v>
      </c>
      <c r="D851" s="8">
        <v>89.24</v>
      </c>
    </row>
    <row r="852" spans="1:4">
      <c r="A852" s="7" t="s">
        <v>211</v>
      </c>
      <c r="B852" s="8">
        <v>4417.08</v>
      </c>
      <c r="C852" s="8">
        <v>5047.97</v>
      </c>
      <c r="D852" s="8">
        <v>87.5</v>
      </c>
    </row>
    <row r="853" spans="1:4">
      <c r="A853" s="7" t="s">
        <v>212</v>
      </c>
      <c r="B853" s="8">
        <v>5014.08</v>
      </c>
      <c r="C853" s="8">
        <v>5548.05</v>
      </c>
      <c r="D853" s="8">
        <v>90.38</v>
      </c>
    </row>
    <row r="854" spans="1:4">
      <c r="A854" s="7" t="s">
        <v>213</v>
      </c>
      <c r="B854" s="8">
        <v>5794.09</v>
      </c>
      <c r="C854" s="8">
        <v>5997.81</v>
      </c>
      <c r="D854" s="8">
        <v>96.6</v>
      </c>
    </row>
    <row r="855" spans="1:4">
      <c r="A855" s="7" t="s">
        <v>214</v>
      </c>
      <c r="B855" s="8">
        <v>4540.8</v>
      </c>
      <c r="C855" s="8">
        <v>4847.8900000000003</v>
      </c>
      <c r="D855" s="8">
        <v>93.67</v>
      </c>
    </row>
    <row r="856" spans="1:4">
      <c r="A856" s="7" t="s">
        <v>2951</v>
      </c>
      <c r="B856" s="8">
        <v>4549.28</v>
      </c>
      <c r="C856" s="8">
        <v>5139.63</v>
      </c>
      <c r="D856" s="8">
        <v>88.51</v>
      </c>
    </row>
    <row r="857" spans="1:4">
      <c r="A857" s="7" t="s">
        <v>2952</v>
      </c>
      <c r="B857" s="8">
        <v>4959.7</v>
      </c>
      <c r="C857" s="8">
        <v>5839.55</v>
      </c>
      <c r="D857" s="8">
        <v>84.93</v>
      </c>
    </row>
    <row r="858" spans="1:4">
      <c r="A858" s="7" t="s">
        <v>2953</v>
      </c>
      <c r="B858" s="8">
        <v>5153.26</v>
      </c>
      <c r="C858" s="8">
        <v>5689.79</v>
      </c>
      <c r="D858" s="8">
        <v>90.57</v>
      </c>
    </row>
    <row r="859" spans="1:4">
      <c r="A859" s="7" t="s">
        <v>2954</v>
      </c>
      <c r="B859" s="8">
        <v>4145.93</v>
      </c>
      <c r="C859" s="8">
        <v>4739.71</v>
      </c>
      <c r="D859" s="8">
        <v>87.47</v>
      </c>
    </row>
    <row r="860" spans="1:4">
      <c r="A860" s="7" t="s">
        <v>2955</v>
      </c>
      <c r="B860" s="8">
        <v>12044.28</v>
      </c>
      <c r="C860" s="8">
        <v>5939.95</v>
      </c>
      <c r="D860" s="8">
        <v>202.77</v>
      </c>
    </row>
    <row r="861" spans="1:4">
      <c r="A861" s="7" t="s">
        <v>2956</v>
      </c>
      <c r="B861" s="8">
        <v>10668.93</v>
      </c>
      <c r="C861" s="8">
        <v>5289.87</v>
      </c>
      <c r="D861" s="8">
        <v>201.69</v>
      </c>
    </row>
    <row r="862" spans="1:4">
      <c r="A862" s="7" t="s">
        <v>2957</v>
      </c>
      <c r="B862" s="8">
        <v>13062.51</v>
      </c>
      <c r="C862" s="8">
        <v>5140.1099999999997</v>
      </c>
      <c r="D862" s="8">
        <v>254.13</v>
      </c>
    </row>
    <row r="863" spans="1:4">
      <c r="A863" s="7" t="s">
        <v>2958</v>
      </c>
      <c r="B863" s="8">
        <v>11331.23</v>
      </c>
      <c r="C863" s="8">
        <v>5840.03</v>
      </c>
      <c r="D863" s="8">
        <v>194.03</v>
      </c>
    </row>
    <row r="864" spans="1:4">
      <c r="A864" s="7" t="s">
        <v>2959</v>
      </c>
      <c r="B864" s="8">
        <v>5076.7700000000004</v>
      </c>
      <c r="C864" s="8">
        <v>5505.07</v>
      </c>
      <c r="D864" s="8">
        <v>92.22</v>
      </c>
    </row>
    <row r="865" spans="1:4">
      <c r="A865" s="7" t="s">
        <v>2960</v>
      </c>
      <c r="B865" s="8">
        <v>4003.36</v>
      </c>
      <c r="C865" s="8">
        <v>4554.99</v>
      </c>
      <c r="D865" s="8">
        <v>87.89</v>
      </c>
    </row>
    <row r="866" spans="1:4">
      <c r="A866" s="7" t="s">
        <v>201</v>
      </c>
      <c r="B866" s="8">
        <v>10392.42</v>
      </c>
      <c r="C866" s="8">
        <v>8494.85</v>
      </c>
      <c r="D866" s="8">
        <v>122.34</v>
      </c>
    </row>
    <row r="867" spans="1:4">
      <c r="A867" s="7" t="s">
        <v>202</v>
      </c>
      <c r="B867" s="8">
        <v>11474.16</v>
      </c>
      <c r="C867" s="8">
        <v>7344.93</v>
      </c>
      <c r="D867" s="8">
        <v>156.22</v>
      </c>
    </row>
    <row r="868" spans="1:4">
      <c r="A868" s="7" t="s">
        <v>2961</v>
      </c>
      <c r="B868" s="8">
        <v>5248.86</v>
      </c>
      <c r="C868" s="8">
        <v>5755.23</v>
      </c>
      <c r="D868" s="8">
        <v>91.2</v>
      </c>
    </row>
    <row r="869" spans="1:4">
      <c r="A869" s="7" t="s">
        <v>2962</v>
      </c>
      <c r="B869" s="8">
        <v>4536.3</v>
      </c>
      <c r="C869" s="8">
        <v>5105.1499999999996</v>
      </c>
      <c r="D869" s="8">
        <v>88.86</v>
      </c>
    </row>
    <row r="870" spans="1:4">
      <c r="A870" s="7" t="s">
        <v>2963</v>
      </c>
      <c r="B870" s="8">
        <v>4582.09</v>
      </c>
      <c r="C870" s="8">
        <v>4955.3900000000003</v>
      </c>
      <c r="D870" s="8">
        <v>92.47</v>
      </c>
    </row>
    <row r="871" spans="1:4">
      <c r="A871" s="7" t="s">
        <v>2964</v>
      </c>
      <c r="B871" s="8">
        <v>5174.67</v>
      </c>
      <c r="C871" s="8">
        <v>5655.31</v>
      </c>
      <c r="D871" s="8">
        <v>91.5</v>
      </c>
    </row>
    <row r="872" spans="1:4">
      <c r="A872" s="7" t="s">
        <v>2965</v>
      </c>
      <c r="B872" s="8">
        <v>5585</v>
      </c>
      <c r="C872" s="8">
        <v>5505.55</v>
      </c>
      <c r="D872" s="8">
        <v>101.44</v>
      </c>
    </row>
    <row r="873" spans="1:4">
      <c r="A873" s="7" t="s">
        <v>2966</v>
      </c>
      <c r="B873" s="8">
        <v>4158.54</v>
      </c>
      <c r="C873" s="8">
        <v>4555.47</v>
      </c>
      <c r="D873" s="8">
        <v>91.29</v>
      </c>
    </row>
    <row r="874" spans="1:4">
      <c r="A874" s="7" t="s">
        <v>203</v>
      </c>
      <c r="B874" s="8">
        <v>21107.91</v>
      </c>
      <c r="C874" s="8">
        <v>5847.33</v>
      </c>
      <c r="D874" s="8">
        <v>360.98</v>
      </c>
    </row>
    <row r="875" spans="1:4">
      <c r="A875" s="7" t="s">
        <v>204</v>
      </c>
      <c r="B875" s="8">
        <v>20780.080000000002</v>
      </c>
      <c r="C875" s="8">
        <v>4997.41</v>
      </c>
      <c r="D875" s="8">
        <v>415.82</v>
      </c>
    </row>
    <row r="876" spans="1:4">
      <c r="A876" s="7" t="s">
        <v>215</v>
      </c>
      <c r="B876" s="8">
        <v>8646.1200000000008</v>
      </c>
      <c r="C876" s="8">
        <v>9730.9</v>
      </c>
      <c r="D876" s="8">
        <v>88.85</v>
      </c>
    </row>
    <row r="877" spans="1:4">
      <c r="A877" s="7" t="s">
        <v>216</v>
      </c>
      <c r="B877" s="8">
        <v>11052.91</v>
      </c>
      <c r="C877" s="8">
        <v>12430.9</v>
      </c>
      <c r="D877" s="8">
        <v>88.91</v>
      </c>
    </row>
    <row r="878" spans="1:4">
      <c r="A878" s="7" t="s">
        <v>217</v>
      </c>
      <c r="B878" s="8">
        <v>11540.61</v>
      </c>
      <c r="C878" s="8">
        <v>10630.9</v>
      </c>
      <c r="D878" s="8">
        <v>108.56</v>
      </c>
    </row>
    <row r="879" spans="1:4">
      <c r="A879" s="7" t="s">
        <v>218</v>
      </c>
      <c r="B879" s="8">
        <v>8253.93</v>
      </c>
      <c r="C879" s="8">
        <v>10080.9</v>
      </c>
      <c r="D879" s="8">
        <v>81.88</v>
      </c>
    </row>
    <row r="880" spans="1:4">
      <c r="A880" s="7" t="s">
        <v>219</v>
      </c>
      <c r="B880" s="8">
        <v>11454.31</v>
      </c>
      <c r="C880" s="8">
        <v>10780.9</v>
      </c>
      <c r="D880" s="8">
        <v>106.25</v>
      </c>
    </row>
    <row r="881" spans="1:4">
      <c r="A881" s="7" t="s">
        <v>220</v>
      </c>
      <c r="B881" s="8">
        <v>10443.719999999999</v>
      </c>
      <c r="C881" s="8">
        <v>10480.9</v>
      </c>
      <c r="D881" s="8">
        <v>99.65</v>
      </c>
    </row>
    <row r="882" spans="1:4">
      <c r="A882" s="7" t="s">
        <v>221</v>
      </c>
      <c r="B882" s="8">
        <v>12001.26</v>
      </c>
      <c r="C882" s="8">
        <v>13330.9</v>
      </c>
      <c r="D882" s="8">
        <v>90.03</v>
      </c>
    </row>
    <row r="883" spans="1:4">
      <c r="A883" s="7" t="s">
        <v>222</v>
      </c>
      <c r="B883" s="8">
        <v>150</v>
      </c>
      <c r="C883" s="8">
        <v>150</v>
      </c>
      <c r="D883" s="8">
        <v>100</v>
      </c>
    </row>
    <row r="884" spans="1:4">
      <c r="A884" s="7" t="s">
        <v>223</v>
      </c>
      <c r="B884" s="8">
        <v>5008.01</v>
      </c>
      <c r="C884" s="8">
        <v>5250.6</v>
      </c>
      <c r="D884" s="8">
        <v>95.38</v>
      </c>
    </row>
    <row r="885" spans="1:4">
      <c r="A885" s="7" t="s">
        <v>224</v>
      </c>
      <c r="B885" s="8">
        <v>1824.92</v>
      </c>
      <c r="C885" s="8">
        <v>1800.6</v>
      </c>
      <c r="D885" s="8">
        <v>101.35</v>
      </c>
    </row>
    <row r="886" spans="1:4">
      <c r="A886" s="7" t="s">
        <v>225</v>
      </c>
      <c r="B886" s="8">
        <v>5173.7700000000004</v>
      </c>
      <c r="C886" s="8">
        <v>4800.6000000000004</v>
      </c>
      <c r="D886" s="8">
        <v>107.77</v>
      </c>
    </row>
    <row r="887" spans="1:4">
      <c r="A887" s="7" t="s">
        <v>226</v>
      </c>
      <c r="B887" s="8">
        <v>4447.88</v>
      </c>
      <c r="C887" s="8">
        <v>4900.6000000000004</v>
      </c>
      <c r="D887" s="8">
        <v>90.76</v>
      </c>
    </row>
    <row r="888" spans="1:4">
      <c r="A888" s="7" t="s">
        <v>227</v>
      </c>
      <c r="B888" s="8">
        <v>3454.11</v>
      </c>
      <c r="C888" s="8">
        <v>3450.6</v>
      </c>
      <c r="D888" s="8">
        <v>100.1</v>
      </c>
    </row>
    <row r="889" spans="1:4">
      <c r="A889" s="7" t="s">
        <v>228</v>
      </c>
      <c r="B889" s="8">
        <v>4379.97</v>
      </c>
      <c r="C889" s="8">
        <v>4950.6000000000004</v>
      </c>
      <c r="D889" s="8">
        <v>88.47</v>
      </c>
    </row>
    <row r="890" spans="1:4">
      <c r="A890" s="7" t="s">
        <v>229</v>
      </c>
      <c r="B890" s="8">
        <v>6929.83</v>
      </c>
      <c r="C890" s="8">
        <v>4275</v>
      </c>
      <c r="D890" s="8">
        <v>162.1</v>
      </c>
    </row>
    <row r="891" spans="1:4">
      <c r="A891" s="7" t="s">
        <v>230</v>
      </c>
      <c r="B891" s="8">
        <v>150</v>
      </c>
      <c r="C891" s="8">
        <v>150</v>
      </c>
      <c r="D891" s="8">
        <v>100</v>
      </c>
    </row>
    <row r="892" spans="1:4">
      <c r="A892" s="7" t="s">
        <v>231</v>
      </c>
      <c r="B892" s="8">
        <v>7725.31</v>
      </c>
      <c r="C892" s="8">
        <v>8000.6</v>
      </c>
      <c r="D892" s="8">
        <v>96.56</v>
      </c>
    </row>
    <row r="893" spans="1:4">
      <c r="A893" s="7" t="s">
        <v>232</v>
      </c>
      <c r="B893" s="8">
        <v>8505.76</v>
      </c>
      <c r="C893" s="8">
        <v>6500.6</v>
      </c>
      <c r="D893" s="8">
        <v>130.85</v>
      </c>
    </row>
    <row r="894" spans="1:4">
      <c r="A894" s="7" t="s">
        <v>233</v>
      </c>
      <c r="B894" s="8">
        <v>7659.09</v>
      </c>
      <c r="C894" s="8">
        <v>7550.6</v>
      </c>
      <c r="D894" s="8">
        <v>101.44</v>
      </c>
    </row>
    <row r="895" spans="1:4">
      <c r="A895" s="7" t="s">
        <v>234</v>
      </c>
      <c r="B895" s="8">
        <v>7059.39</v>
      </c>
      <c r="C895" s="8">
        <v>7650.6</v>
      </c>
      <c r="D895" s="8">
        <v>92.27</v>
      </c>
    </row>
    <row r="896" spans="1:4">
      <c r="A896" s="7" t="s">
        <v>235</v>
      </c>
      <c r="B896" s="8">
        <v>7902.38</v>
      </c>
      <c r="C896" s="8">
        <v>8150.6</v>
      </c>
      <c r="D896" s="8">
        <v>96.95</v>
      </c>
    </row>
    <row r="897" spans="1:4">
      <c r="A897" s="7" t="s">
        <v>236</v>
      </c>
      <c r="B897" s="8">
        <v>7036.64</v>
      </c>
      <c r="C897" s="8">
        <v>7700.6</v>
      </c>
      <c r="D897" s="8">
        <v>91.38</v>
      </c>
    </row>
    <row r="898" spans="1:4">
      <c r="A898" s="7" t="s">
        <v>237</v>
      </c>
      <c r="B898" s="8">
        <v>4328.3999999999996</v>
      </c>
      <c r="C898" s="8">
        <v>4400.6000000000004</v>
      </c>
      <c r="D898" s="8">
        <v>98.36</v>
      </c>
    </row>
    <row r="899" spans="1:4">
      <c r="A899" s="7" t="s">
        <v>238</v>
      </c>
      <c r="B899" s="8">
        <v>150</v>
      </c>
      <c r="C899" s="8">
        <v>150</v>
      </c>
      <c r="D899" s="8">
        <v>100</v>
      </c>
    </row>
    <row r="900" spans="1:4">
      <c r="A900" s="7" t="s">
        <v>239</v>
      </c>
      <c r="B900" s="8">
        <v>12470.79</v>
      </c>
      <c r="C900" s="8">
        <v>14150.6</v>
      </c>
      <c r="D900" s="8">
        <v>88.13</v>
      </c>
    </row>
    <row r="901" spans="1:4">
      <c r="A901" s="7" t="s">
        <v>240</v>
      </c>
      <c r="B901" s="8">
        <v>13538.99</v>
      </c>
      <c r="C901" s="8">
        <v>15650.6</v>
      </c>
      <c r="D901" s="8">
        <v>86.51</v>
      </c>
    </row>
    <row r="902" spans="1:4">
      <c r="A902" s="7" t="s">
        <v>241</v>
      </c>
      <c r="B902" s="8">
        <v>16537.91</v>
      </c>
      <c r="C902" s="8">
        <v>15650.6</v>
      </c>
      <c r="D902" s="8">
        <v>105.67</v>
      </c>
    </row>
    <row r="903" spans="1:4">
      <c r="A903" s="7" t="s">
        <v>242</v>
      </c>
      <c r="B903" s="8">
        <v>13664.1</v>
      </c>
      <c r="C903" s="8">
        <v>14800.6</v>
      </c>
      <c r="D903" s="8">
        <v>92.32</v>
      </c>
    </row>
    <row r="904" spans="1:4">
      <c r="A904" s="7" t="s">
        <v>243</v>
      </c>
      <c r="B904" s="8">
        <v>13499.66</v>
      </c>
      <c r="C904" s="8">
        <v>14300.6</v>
      </c>
      <c r="D904" s="8">
        <v>94.4</v>
      </c>
    </row>
    <row r="905" spans="1:4">
      <c r="A905" s="7" t="s">
        <v>244</v>
      </c>
      <c r="B905" s="8">
        <v>17984.650000000001</v>
      </c>
      <c r="C905" s="8">
        <v>15800.6</v>
      </c>
      <c r="D905" s="8">
        <v>113.82</v>
      </c>
    </row>
    <row r="906" spans="1:4">
      <c r="A906" s="7" t="s">
        <v>245</v>
      </c>
      <c r="B906" s="8">
        <v>12141.97</v>
      </c>
      <c r="C906" s="8">
        <v>13550.6</v>
      </c>
      <c r="D906" s="8">
        <v>89.6</v>
      </c>
    </row>
    <row r="907" spans="1:4">
      <c r="A907" s="7" t="s">
        <v>246</v>
      </c>
      <c r="B907" s="8">
        <v>150</v>
      </c>
      <c r="C907" s="8">
        <v>150</v>
      </c>
      <c r="D907" s="8">
        <v>100</v>
      </c>
    </row>
    <row r="908" spans="1:4">
      <c r="A908" s="7" t="s">
        <v>2967</v>
      </c>
      <c r="B908" s="8">
        <v>9039.9500000000007</v>
      </c>
      <c r="C908" s="8">
        <v>10345.86</v>
      </c>
      <c r="D908" s="8">
        <v>87.38</v>
      </c>
    </row>
    <row r="909" spans="1:4">
      <c r="A909" s="7" t="s">
        <v>2968</v>
      </c>
      <c r="B909" s="8">
        <v>15584.89</v>
      </c>
      <c r="C909" s="8">
        <v>13045.86</v>
      </c>
      <c r="D909" s="8">
        <v>119.46</v>
      </c>
    </row>
    <row r="910" spans="1:4">
      <c r="A910" s="7" t="s">
        <v>2969</v>
      </c>
      <c r="B910" s="8">
        <v>14279.28</v>
      </c>
      <c r="C910" s="8">
        <v>11245.86</v>
      </c>
      <c r="D910" s="8">
        <v>126.97</v>
      </c>
    </row>
    <row r="911" spans="1:4">
      <c r="A911" s="7" t="s">
        <v>2970</v>
      </c>
      <c r="B911" s="8">
        <v>10228.26</v>
      </c>
      <c r="C911" s="8">
        <v>10695.86</v>
      </c>
      <c r="D911" s="8">
        <v>95.63</v>
      </c>
    </row>
    <row r="912" spans="1:4">
      <c r="A912" s="7" t="s">
        <v>2971</v>
      </c>
      <c r="B912" s="8">
        <v>10582.09</v>
      </c>
      <c r="C912" s="8">
        <v>11395.86</v>
      </c>
      <c r="D912" s="8">
        <v>92.86</v>
      </c>
    </row>
    <row r="913" spans="1:4">
      <c r="A913" s="7" t="s">
        <v>2972</v>
      </c>
      <c r="B913" s="8">
        <v>22399.87</v>
      </c>
      <c r="C913" s="8">
        <v>11095.86</v>
      </c>
      <c r="D913" s="8">
        <v>201.88</v>
      </c>
    </row>
    <row r="914" spans="1:4">
      <c r="A914" s="7" t="s">
        <v>2973</v>
      </c>
      <c r="B914" s="8">
        <v>12529.12</v>
      </c>
      <c r="C914" s="8">
        <v>13945.86</v>
      </c>
      <c r="D914" s="8">
        <v>89.84</v>
      </c>
    </row>
    <row r="915" spans="1:4">
      <c r="A915" s="7" t="s">
        <v>2974</v>
      </c>
      <c r="B915" s="8">
        <v>150</v>
      </c>
      <c r="C915" s="8">
        <v>150</v>
      </c>
      <c r="D915" s="8">
        <v>100</v>
      </c>
    </row>
    <row r="916" spans="1:4">
      <c r="A916" s="7" t="s">
        <v>2975</v>
      </c>
      <c r="B916" s="8">
        <v>4612.63</v>
      </c>
      <c r="C916" s="8">
        <v>4806.5</v>
      </c>
      <c r="D916" s="8">
        <v>95.97</v>
      </c>
    </row>
    <row r="917" spans="1:4">
      <c r="A917" s="7" t="s">
        <v>2976</v>
      </c>
      <c r="B917" s="8">
        <v>1917.31</v>
      </c>
      <c r="C917" s="8">
        <v>2080.9</v>
      </c>
      <c r="D917" s="8">
        <v>92.14</v>
      </c>
    </row>
    <row r="918" spans="1:4">
      <c r="A918" s="7" t="s">
        <v>2977</v>
      </c>
      <c r="B918" s="8">
        <v>5180.46</v>
      </c>
      <c r="C918" s="8">
        <v>4356.5</v>
      </c>
      <c r="D918" s="8">
        <v>118.91</v>
      </c>
    </row>
    <row r="919" spans="1:4">
      <c r="A919" s="7" t="s">
        <v>2978</v>
      </c>
      <c r="B919" s="8">
        <v>7351.4</v>
      </c>
      <c r="C919" s="8">
        <v>4456.5</v>
      </c>
      <c r="D919" s="8">
        <v>164.96</v>
      </c>
    </row>
    <row r="920" spans="1:4">
      <c r="A920" s="7" t="s">
        <v>2979</v>
      </c>
      <c r="B920" s="8">
        <v>3867.2</v>
      </c>
      <c r="C920" s="8">
        <v>3430.9</v>
      </c>
      <c r="D920" s="8">
        <v>112.72</v>
      </c>
    </row>
    <row r="921" spans="1:4">
      <c r="A921" s="7" t="s">
        <v>2980</v>
      </c>
      <c r="B921" s="8">
        <v>4103.6000000000004</v>
      </c>
      <c r="C921" s="8">
        <v>4506.5</v>
      </c>
      <c r="D921" s="8">
        <v>91.06</v>
      </c>
    </row>
    <row r="922" spans="1:4">
      <c r="A922" s="7" t="s">
        <v>2981</v>
      </c>
      <c r="B922" s="8">
        <v>5549.28</v>
      </c>
      <c r="C922" s="8">
        <v>4630.8999999999996</v>
      </c>
      <c r="D922" s="8">
        <v>119.83</v>
      </c>
    </row>
    <row r="923" spans="1:4">
      <c r="A923" s="7" t="s">
        <v>2982</v>
      </c>
      <c r="B923" s="8">
        <v>150</v>
      </c>
      <c r="C923" s="8">
        <v>150</v>
      </c>
      <c r="D923" s="8">
        <v>100</v>
      </c>
    </row>
    <row r="924" spans="1:4">
      <c r="A924" s="7" t="s">
        <v>2983</v>
      </c>
      <c r="B924" s="8">
        <v>7058.1</v>
      </c>
      <c r="C924" s="8">
        <v>7578.5</v>
      </c>
      <c r="D924" s="8">
        <v>93.13</v>
      </c>
    </row>
    <row r="925" spans="1:4">
      <c r="A925" s="7" t="s">
        <v>2984</v>
      </c>
      <c r="B925" s="8">
        <v>4854.4799999999996</v>
      </c>
      <c r="C925" s="8">
        <v>6085.64</v>
      </c>
      <c r="D925" s="8">
        <v>79.77</v>
      </c>
    </row>
    <row r="926" spans="1:4">
      <c r="A926" s="7" t="s">
        <v>2985</v>
      </c>
      <c r="B926" s="8">
        <v>7255.2</v>
      </c>
      <c r="C926" s="8">
        <v>7135.64</v>
      </c>
      <c r="D926" s="8">
        <v>101.68</v>
      </c>
    </row>
    <row r="927" spans="1:4">
      <c r="A927" s="7" t="s">
        <v>2986</v>
      </c>
      <c r="B927" s="8">
        <v>7211.94</v>
      </c>
      <c r="C927" s="8">
        <v>7235.64</v>
      </c>
      <c r="D927" s="8">
        <v>99.67</v>
      </c>
    </row>
    <row r="928" spans="1:4">
      <c r="A928" s="7" t="s">
        <v>2987</v>
      </c>
      <c r="B928" s="8">
        <v>9722.6299999999992</v>
      </c>
      <c r="C928" s="8">
        <v>7735.64</v>
      </c>
      <c r="D928" s="8">
        <v>125.69</v>
      </c>
    </row>
    <row r="929" spans="1:4">
      <c r="A929" s="7" t="s">
        <v>2988</v>
      </c>
      <c r="B929" s="8">
        <v>6929.67</v>
      </c>
      <c r="C929" s="8">
        <v>7278.47</v>
      </c>
      <c r="D929" s="8">
        <v>95.21</v>
      </c>
    </row>
    <row r="930" spans="1:4">
      <c r="A930" s="7" t="s">
        <v>2989</v>
      </c>
      <c r="B930" s="8">
        <v>3342.6</v>
      </c>
      <c r="C930" s="8">
        <v>3985.64</v>
      </c>
      <c r="D930" s="8">
        <v>83.87</v>
      </c>
    </row>
    <row r="931" spans="1:4">
      <c r="A931" s="7" t="s">
        <v>2990</v>
      </c>
      <c r="B931" s="8">
        <v>150</v>
      </c>
      <c r="C931" s="8">
        <v>150</v>
      </c>
      <c r="D931" s="8">
        <v>100</v>
      </c>
    </row>
    <row r="932" spans="1:4">
      <c r="A932" s="7" t="s">
        <v>2991</v>
      </c>
      <c r="B932" s="8">
        <v>13232.39</v>
      </c>
      <c r="C932" s="8">
        <v>14706.5</v>
      </c>
      <c r="D932" s="8">
        <v>89.98</v>
      </c>
    </row>
    <row r="933" spans="1:4">
      <c r="A933" s="7" t="s">
        <v>2992</v>
      </c>
      <c r="B933" s="8">
        <v>15144.84</v>
      </c>
      <c r="C933" s="8">
        <v>16206.5</v>
      </c>
      <c r="D933" s="8">
        <v>93.45</v>
      </c>
    </row>
    <row r="934" spans="1:4">
      <c r="A934" s="7" t="s">
        <v>2993</v>
      </c>
      <c r="B934" s="8">
        <v>20119.07</v>
      </c>
      <c r="C934" s="8">
        <v>16206.5</v>
      </c>
      <c r="D934" s="8">
        <v>124.14</v>
      </c>
    </row>
    <row r="935" spans="1:4">
      <c r="A935" s="7" t="s">
        <v>2994</v>
      </c>
      <c r="B935" s="8">
        <v>18281.439999999999</v>
      </c>
      <c r="C935" s="8">
        <v>15356.5</v>
      </c>
      <c r="D935" s="8">
        <v>119.05</v>
      </c>
    </row>
    <row r="936" spans="1:4">
      <c r="A936" s="7" t="s">
        <v>2995</v>
      </c>
      <c r="B936" s="8">
        <v>17178.61</v>
      </c>
      <c r="C936" s="8">
        <v>14856.5</v>
      </c>
      <c r="D936" s="8">
        <v>115.63</v>
      </c>
    </row>
    <row r="937" spans="1:4">
      <c r="A937" s="7" t="s">
        <v>2996</v>
      </c>
      <c r="B937" s="8">
        <v>24167.42</v>
      </c>
      <c r="C937" s="8">
        <v>16356.5</v>
      </c>
      <c r="D937" s="8">
        <v>147.75</v>
      </c>
    </row>
    <row r="938" spans="1:4">
      <c r="A938" s="7" t="s">
        <v>2997</v>
      </c>
      <c r="B938" s="8">
        <v>11890.94</v>
      </c>
      <c r="C938" s="8">
        <v>14106.5</v>
      </c>
      <c r="D938" s="8">
        <v>84.29</v>
      </c>
    </row>
    <row r="939" spans="1:4">
      <c r="A939" s="7" t="s">
        <v>2998</v>
      </c>
      <c r="B939" s="8">
        <v>150</v>
      </c>
      <c r="C939" s="8">
        <v>150</v>
      </c>
      <c r="D939" s="8">
        <v>100</v>
      </c>
    </row>
    <row r="940" spans="1:4">
      <c r="A940" s="7" t="s">
        <v>2999</v>
      </c>
      <c r="B940" s="8">
        <v>8424.61</v>
      </c>
      <c r="C940" s="8">
        <v>9530.9</v>
      </c>
      <c r="D940" s="8">
        <v>88.39</v>
      </c>
    </row>
    <row r="941" spans="1:4">
      <c r="A941" s="7" t="s">
        <v>3000</v>
      </c>
      <c r="B941" s="8">
        <v>10903.15</v>
      </c>
      <c r="C941" s="8">
        <v>12230.9</v>
      </c>
      <c r="D941" s="8">
        <v>89.14</v>
      </c>
    </row>
    <row r="942" spans="1:4">
      <c r="A942" s="7" t="s">
        <v>3001</v>
      </c>
      <c r="B942" s="8">
        <v>12181.49</v>
      </c>
      <c r="C942" s="8">
        <v>10430.9</v>
      </c>
      <c r="D942" s="8">
        <v>116.78</v>
      </c>
    </row>
    <row r="943" spans="1:4">
      <c r="A943" s="7" t="s">
        <v>3002</v>
      </c>
      <c r="B943" s="8">
        <v>8148.83</v>
      </c>
      <c r="C943" s="8">
        <v>9880.9</v>
      </c>
      <c r="D943" s="8">
        <v>82.47</v>
      </c>
    </row>
    <row r="944" spans="1:4">
      <c r="A944" s="7" t="s">
        <v>3003</v>
      </c>
      <c r="B944" s="8">
        <v>11335.61</v>
      </c>
      <c r="C944" s="8">
        <v>10580.9</v>
      </c>
      <c r="D944" s="8">
        <v>107.13</v>
      </c>
    </row>
    <row r="945" spans="1:4">
      <c r="A945" s="7" t="s">
        <v>3004</v>
      </c>
      <c r="B945" s="8">
        <v>10951.08</v>
      </c>
      <c r="C945" s="8">
        <v>10280.9</v>
      </c>
      <c r="D945" s="8">
        <v>106.52</v>
      </c>
    </row>
    <row r="946" spans="1:4">
      <c r="A946" s="7" t="s">
        <v>3005</v>
      </c>
      <c r="B946" s="8">
        <v>11786.79</v>
      </c>
      <c r="C946" s="8">
        <v>13130.9</v>
      </c>
      <c r="D946" s="8">
        <v>89.76</v>
      </c>
    </row>
    <row r="947" spans="1:4">
      <c r="A947" s="7" t="s">
        <v>3006</v>
      </c>
      <c r="B947" s="8">
        <v>4508.13</v>
      </c>
      <c r="C947" s="8">
        <v>4850.6000000000004</v>
      </c>
      <c r="D947" s="8">
        <v>92.94</v>
      </c>
    </row>
    <row r="948" spans="1:4">
      <c r="A948" s="7" t="s">
        <v>3007</v>
      </c>
      <c r="B948" s="8">
        <v>1519.48</v>
      </c>
      <c r="C948" s="8">
        <v>1525</v>
      </c>
      <c r="D948" s="8">
        <v>99.64</v>
      </c>
    </row>
    <row r="949" spans="1:4">
      <c r="A949" s="7" t="s">
        <v>3008</v>
      </c>
      <c r="B949" s="8">
        <v>4658.2299999999996</v>
      </c>
      <c r="C949" s="8">
        <v>4400.6000000000004</v>
      </c>
      <c r="D949" s="8">
        <v>105.85</v>
      </c>
    </row>
    <row r="950" spans="1:4">
      <c r="A950" s="7" t="s">
        <v>3009</v>
      </c>
      <c r="B950" s="8">
        <v>4054.33</v>
      </c>
      <c r="C950" s="8">
        <v>4500.6000000000004</v>
      </c>
      <c r="D950" s="8">
        <v>90.08</v>
      </c>
    </row>
    <row r="951" spans="1:4">
      <c r="A951" s="7" t="s">
        <v>3010</v>
      </c>
      <c r="B951" s="8">
        <v>3500.02</v>
      </c>
      <c r="C951" s="8">
        <v>3050.6</v>
      </c>
      <c r="D951" s="8">
        <v>114.73</v>
      </c>
    </row>
    <row r="952" spans="1:4">
      <c r="A952" s="7" t="s">
        <v>3011</v>
      </c>
      <c r="B952" s="8">
        <v>4014.67</v>
      </c>
      <c r="C952" s="8">
        <v>4550.6000000000004</v>
      </c>
      <c r="D952" s="8">
        <v>88.22</v>
      </c>
    </row>
    <row r="953" spans="1:4">
      <c r="A953" s="7" t="s">
        <v>3012</v>
      </c>
      <c r="B953" s="8">
        <v>7273.11</v>
      </c>
      <c r="C953" s="8">
        <v>4075</v>
      </c>
      <c r="D953" s="8">
        <v>178.48</v>
      </c>
    </row>
    <row r="954" spans="1:4">
      <c r="A954" s="7" t="s">
        <v>3013</v>
      </c>
      <c r="B954" s="8">
        <v>7462.86</v>
      </c>
      <c r="C954" s="8">
        <v>7600.6</v>
      </c>
      <c r="D954" s="8">
        <v>98.19</v>
      </c>
    </row>
    <row r="955" spans="1:4">
      <c r="A955" s="7" t="s">
        <v>3014</v>
      </c>
      <c r="B955" s="8">
        <v>8569.11</v>
      </c>
      <c r="C955" s="8">
        <v>6100.6</v>
      </c>
      <c r="D955" s="8">
        <v>140.46</v>
      </c>
    </row>
    <row r="956" spans="1:4">
      <c r="A956" s="7" t="s">
        <v>3015</v>
      </c>
      <c r="B956" s="8">
        <v>7110.76</v>
      </c>
      <c r="C956" s="8">
        <v>7150.6</v>
      </c>
      <c r="D956" s="8">
        <v>99.44</v>
      </c>
    </row>
    <row r="957" spans="1:4">
      <c r="A957" s="7" t="s">
        <v>3016</v>
      </c>
      <c r="B957" s="8">
        <v>6798.96</v>
      </c>
      <c r="C957" s="8">
        <v>7250.6</v>
      </c>
      <c r="D957" s="8">
        <v>93.77</v>
      </c>
    </row>
    <row r="958" spans="1:4">
      <c r="A958" s="7" t="s">
        <v>3017</v>
      </c>
      <c r="B958" s="8">
        <v>8011.13</v>
      </c>
      <c r="C958" s="8">
        <v>7750.6</v>
      </c>
      <c r="D958" s="8">
        <v>103.36</v>
      </c>
    </row>
    <row r="959" spans="1:4">
      <c r="A959" s="7" t="s">
        <v>3018</v>
      </c>
      <c r="B959" s="8">
        <v>6672.26</v>
      </c>
      <c r="C959" s="8">
        <v>7300.6</v>
      </c>
      <c r="D959" s="8">
        <v>91.39</v>
      </c>
    </row>
    <row r="960" spans="1:4">
      <c r="A960" s="7" t="s">
        <v>3019</v>
      </c>
      <c r="B960" s="8">
        <v>4276.67</v>
      </c>
      <c r="C960" s="8">
        <v>4000.6</v>
      </c>
      <c r="D960" s="8">
        <v>106.9</v>
      </c>
    </row>
    <row r="961" spans="1:4">
      <c r="A961" s="7" t="s">
        <v>3020</v>
      </c>
      <c r="B961" s="8">
        <v>12273.35</v>
      </c>
      <c r="C961" s="8">
        <v>13950.6</v>
      </c>
      <c r="D961" s="8">
        <v>87.98</v>
      </c>
    </row>
    <row r="962" spans="1:4">
      <c r="A962" s="7" t="s">
        <v>3021</v>
      </c>
      <c r="B962" s="8">
        <v>13328.19</v>
      </c>
      <c r="C962" s="8">
        <v>15450.6</v>
      </c>
      <c r="D962" s="8">
        <v>86.26</v>
      </c>
    </row>
    <row r="963" spans="1:4">
      <c r="A963" s="7" t="s">
        <v>3022</v>
      </c>
      <c r="B963" s="8">
        <v>16645.599999999999</v>
      </c>
      <c r="C963" s="8">
        <v>15450.6</v>
      </c>
      <c r="D963" s="8">
        <v>107.73</v>
      </c>
    </row>
    <row r="964" spans="1:4">
      <c r="A964" s="7" t="s">
        <v>3023</v>
      </c>
      <c r="B964" s="8">
        <v>13537.15</v>
      </c>
      <c r="C964" s="8">
        <v>14600.6</v>
      </c>
      <c r="D964" s="8">
        <v>92.72</v>
      </c>
    </row>
    <row r="965" spans="1:4">
      <c r="A965" s="7" t="s">
        <v>3024</v>
      </c>
      <c r="B965" s="8">
        <v>13242.65</v>
      </c>
      <c r="C965" s="8">
        <v>14100.6</v>
      </c>
      <c r="D965" s="8">
        <v>93.92</v>
      </c>
    </row>
    <row r="966" spans="1:4">
      <c r="A966" s="7" t="s">
        <v>3025</v>
      </c>
      <c r="B966" s="8">
        <v>17760.13</v>
      </c>
      <c r="C966" s="8">
        <v>15600.6</v>
      </c>
      <c r="D966" s="8">
        <v>113.84</v>
      </c>
    </row>
    <row r="967" spans="1:4">
      <c r="A967" s="7" t="s">
        <v>3026</v>
      </c>
      <c r="B967" s="8">
        <v>12174.54</v>
      </c>
      <c r="C967" s="8">
        <v>13350.6</v>
      </c>
      <c r="D967" s="8">
        <v>91.19</v>
      </c>
    </row>
    <row r="968" spans="1:4">
      <c r="A968" s="7" t="s">
        <v>3027</v>
      </c>
      <c r="B968" s="8">
        <v>8319.89</v>
      </c>
      <c r="C968" s="8">
        <v>9945.86</v>
      </c>
      <c r="D968" s="8">
        <v>83.65</v>
      </c>
    </row>
    <row r="969" spans="1:4">
      <c r="A969" s="7" t="s">
        <v>3028</v>
      </c>
      <c r="B969" s="8">
        <v>15107.02</v>
      </c>
      <c r="C969" s="8">
        <v>12645.86</v>
      </c>
      <c r="D969" s="8">
        <v>119.46</v>
      </c>
    </row>
    <row r="970" spans="1:4">
      <c r="A970" s="7" t="s">
        <v>3029</v>
      </c>
      <c r="B970" s="8">
        <v>14035.93</v>
      </c>
      <c r="C970" s="8">
        <v>10845.86</v>
      </c>
      <c r="D970" s="8">
        <v>129.41</v>
      </c>
    </row>
    <row r="971" spans="1:4">
      <c r="A971" s="7" t="s">
        <v>3030</v>
      </c>
      <c r="B971" s="8">
        <v>9654.98</v>
      </c>
      <c r="C971" s="8">
        <v>10295.86</v>
      </c>
      <c r="D971" s="8">
        <v>93.78</v>
      </c>
    </row>
    <row r="972" spans="1:4">
      <c r="A972" s="7" t="s">
        <v>3031</v>
      </c>
      <c r="B972" s="8">
        <v>9935.08</v>
      </c>
      <c r="C972" s="8">
        <v>10995.86</v>
      </c>
      <c r="D972" s="8">
        <v>90.35</v>
      </c>
    </row>
    <row r="973" spans="1:4">
      <c r="A973" s="7" t="s">
        <v>3032</v>
      </c>
      <c r="B973" s="8">
        <v>22324.46</v>
      </c>
      <c r="C973" s="8">
        <v>10695.86</v>
      </c>
      <c r="D973" s="8">
        <v>208.72</v>
      </c>
    </row>
    <row r="974" spans="1:4">
      <c r="A974" s="7" t="s">
        <v>3033</v>
      </c>
      <c r="B974" s="8">
        <v>11719.08</v>
      </c>
      <c r="C974" s="8">
        <v>13545.86</v>
      </c>
      <c r="D974" s="8">
        <v>86.51</v>
      </c>
    </row>
    <row r="975" spans="1:4">
      <c r="A975" s="7" t="s">
        <v>3034</v>
      </c>
      <c r="B975" s="8">
        <v>4514.8500000000004</v>
      </c>
      <c r="C975" s="8">
        <v>4606.5</v>
      </c>
      <c r="D975" s="8">
        <v>98.01</v>
      </c>
    </row>
    <row r="976" spans="1:4">
      <c r="A976" s="7" t="s">
        <v>3035</v>
      </c>
      <c r="B976" s="8">
        <v>1571.07</v>
      </c>
      <c r="C976" s="8">
        <v>1680.9</v>
      </c>
      <c r="D976" s="8">
        <v>93.47</v>
      </c>
    </row>
    <row r="977" spans="1:4">
      <c r="A977" s="7" t="s">
        <v>3036</v>
      </c>
      <c r="B977" s="8">
        <v>5079.25</v>
      </c>
      <c r="C977" s="8">
        <v>4156.5</v>
      </c>
      <c r="D977" s="8">
        <v>122.2</v>
      </c>
    </row>
    <row r="978" spans="1:4">
      <c r="A978" s="7" t="s">
        <v>3037</v>
      </c>
      <c r="B978" s="8">
        <v>6428.16</v>
      </c>
      <c r="C978" s="8">
        <v>4256.5</v>
      </c>
      <c r="D978" s="8">
        <v>151.02000000000001</v>
      </c>
    </row>
    <row r="979" spans="1:4">
      <c r="A979" s="7" t="s">
        <v>3038</v>
      </c>
      <c r="B979" s="8">
        <v>3308.87</v>
      </c>
      <c r="C979" s="8">
        <v>3030.9</v>
      </c>
      <c r="D979" s="8">
        <v>109.17</v>
      </c>
    </row>
    <row r="980" spans="1:4">
      <c r="A980" s="7" t="s">
        <v>3039</v>
      </c>
      <c r="B980" s="8">
        <v>3987.08</v>
      </c>
      <c r="C980" s="8">
        <v>4306.5</v>
      </c>
      <c r="D980" s="8">
        <v>92.58</v>
      </c>
    </row>
    <row r="981" spans="1:4">
      <c r="A981" s="7" t="s">
        <v>3040</v>
      </c>
      <c r="B981" s="8">
        <v>5581.56</v>
      </c>
      <c r="C981" s="8">
        <v>4230.8999999999996</v>
      </c>
      <c r="D981" s="8">
        <v>131.91999999999999</v>
      </c>
    </row>
    <row r="982" spans="1:4">
      <c r="A982" s="7" t="s">
        <v>3041</v>
      </c>
      <c r="B982" s="8">
        <v>6993.8</v>
      </c>
      <c r="C982" s="8">
        <v>7378.5</v>
      </c>
      <c r="D982" s="8">
        <v>94.79</v>
      </c>
    </row>
    <row r="983" spans="1:4">
      <c r="A983" s="7" t="s">
        <v>3042</v>
      </c>
      <c r="B983" s="8">
        <v>4809.67</v>
      </c>
      <c r="C983" s="8">
        <v>5885.64</v>
      </c>
      <c r="D983" s="8">
        <v>81.72</v>
      </c>
    </row>
    <row r="984" spans="1:4">
      <c r="A984" s="7" t="s">
        <v>3043</v>
      </c>
      <c r="B984" s="8">
        <v>6951.15</v>
      </c>
      <c r="C984" s="8">
        <v>6935.64</v>
      </c>
      <c r="D984" s="8">
        <v>100.22</v>
      </c>
    </row>
    <row r="985" spans="1:4">
      <c r="A985" s="7" t="s">
        <v>3044</v>
      </c>
      <c r="B985" s="8">
        <v>7109.19</v>
      </c>
      <c r="C985" s="8">
        <v>7035.64</v>
      </c>
      <c r="D985" s="8">
        <v>101.05</v>
      </c>
    </row>
    <row r="986" spans="1:4">
      <c r="A986" s="7" t="s">
        <v>3045</v>
      </c>
      <c r="B986" s="8">
        <v>9013.07</v>
      </c>
      <c r="C986" s="8">
        <v>7535.64</v>
      </c>
      <c r="D986" s="8">
        <v>119.61</v>
      </c>
    </row>
    <row r="987" spans="1:4">
      <c r="A987" s="7" t="s">
        <v>3046</v>
      </c>
      <c r="B987" s="8">
        <v>6605.93</v>
      </c>
      <c r="C987" s="8">
        <v>7078.47</v>
      </c>
      <c r="D987" s="8">
        <v>93.32</v>
      </c>
    </row>
    <row r="988" spans="1:4">
      <c r="A988" s="7" t="s">
        <v>3047</v>
      </c>
      <c r="B988" s="8">
        <v>3114.22</v>
      </c>
      <c r="C988" s="8">
        <v>3785.64</v>
      </c>
      <c r="D988" s="8">
        <v>82.26</v>
      </c>
    </row>
    <row r="989" spans="1:4">
      <c r="A989" s="7" t="s">
        <v>3048</v>
      </c>
      <c r="B989" s="8">
        <v>12668.76</v>
      </c>
      <c r="C989" s="8">
        <v>14306.5</v>
      </c>
      <c r="D989" s="8">
        <v>88.55</v>
      </c>
    </row>
    <row r="990" spans="1:4">
      <c r="A990" s="7" t="s">
        <v>3049</v>
      </c>
      <c r="B990" s="8">
        <v>14612.16</v>
      </c>
      <c r="C990" s="8">
        <v>15806.5</v>
      </c>
      <c r="D990" s="8">
        <v>92.44</v>
      </c>
    </row>
    <row r="991" spans="1:4">
      <c r="A991" s="7" t="s">
        <v>3050</v>
      </c>
      <c r="B991" s="8">
        <v>19638.79</v>
      </c>
      <c r="C991" s="8">
        <v>15806.5</v>
      </c>
      <c r="D991" s="8">
        <v>124.25</v>
      </c>
    </row>
    <row r="992" spans="1:4">
      <c r="A992" s="7" t="s">
        <v>3051</v>
      </c>
      <c r="B992" s="8">
        <v>18411.88</v>
      </c>
      <c r="C992" s="8">
        <v>14956.5</v>
      </c>
      <c r="D992" s="8">
        <v>123.1</v>
      </c>
    </row>
    <row r="993" spans="1:4">
      <c r="A993" s="7" t="s">
        <v>3052</v>
      </c>
      <c r="B993" s="8">
        <v>16797.75</v>
      </c>
      <c r="C993" s="8">
        <v>14456.5</v>
      </c>
      <c r="D993" s="8">
        <v>116.2</v>
      </c>
    </row>
    <row r="994" spans="1:4">
      <c r="A994" s="7" t="s">
        <v>3053</v>
      </c>
      <c r="B994" s="8">
        <v>24011.5</v>
      </c>
      <c r="C994" s="8">
        <v>15956.5</v>
      </c>
      <c r="D994" s="8">
        <v>150.47999999999999</v>
      </c>
    </row>
    <row r="995" spans="1:4">
      <c r="A995" s="7" t="s">
        <v>3054</v>
      </c>
      <c r="B995" s="8">
        <v>11398.06</v>
      </c>
      <c r="C995" s="8">
        <v>13706.5</v>
      </c>
      <c r="D995" s="8">
        <v>83.16</v>
      </c>
    </row>
    <row r="996" spans="1:4">
      <c r="A996" s="7" t="s">
        <v>3055</v>
      </c>
      <c r="B996" s="8">
        <v>2878962.14</v>
      </c>
      <c r="C996" s="8">
        <v>358371.88</v>
      </c>
      <c r="D996" s="8">
        <v>803.34</v>
      </c>
    </row>
    <row r="997" spans="1:4">
      <c r="A997" s="7" t="s">
        <v>539</v>
      </c>
      <c r="B997" s="8">
        <v>47458.97</v>
      </c>
      <c r="C997" s="8">
        <v>22086.16</v>
      </c>
      <c r="D997" s="8">
        <v>214.88</v>
      </c>
    </row>
    <row r="998" spans="1:4">
      <c r="A998" s="7" t="s">
        <v>540</v>
      </c>
      <c r="B998" s="8">
        <v>20995.439999999999</v>
      </c>
      <c r="C998" s="8">
        <v>19474.95</v>
      </c>
      <c r="D998" s="8">
        <v>107.81</v>
      </c>
    </row>
    <row r="999" spans="1:4">
      <c r="A999" s="7" t="s">
        <v>541</v>
      </c>
      <c r="B999" s="8">
        <v>26563</v>
      </c>
      <c r="C999" s="8">
        <v>19958.5</v>
      </c>
      <c r="D999" s="8">
        <v>133.09</v>
      </c>
    </row>
    <row r="1000" spans="1:4">
      <c r="A1000" s="7" t="s">
        <v>557</v>
      </c>
      <c r="B1000" s="8">
        <v>1215.5999999999999</v>
      </c>
      <c r="C1000" s="8">
        <v>1600</v>
      </c>
      <c r="D1000" s="8">
        <v>75.97</v>
      </c>
    </row>
    <row r="1001" spans="1:4">
      <c r="A1001" s="7" t="s">
        <v>558</v>
      </c>
      <c r="B1001" s="8">
        <v>1215.5999999999999</v>
      </c>
      <c r="C1001" s="8">
        <v>1500</v>
      </c>
      <c r="D1001" s="8">
        <v>81.040000000000006</v>
      </c>
    </row>
    <row r="1002" spans="1:4">
      <c r="A1002" s="7" t="s">
        <v>559</v>
      </c>
      <c r="B1002" s="8">
        <v>1134.56</v>
      </c>
      <c r="C1002" s="8">
        <v>1600</v>
      </c>
      <c r="D1002" s="8">
        <v>70.91</v>
      </c>
    </row>
    <row r="1003" spans="1:4">
      <c r="A1003" s="7" t="s">
        <v>560</v>
      </c>
      <c r="B1003" s="8">
        <v>1337.16</v>
      </c>
      <c r="C1003" s="8">
        <v>1500</v>
      </c>
      <c r="D1003" s="8">
        <v>89.14</v>
      </c>
    </row>
    <row r="1004" spans="1:4">
      <c r="A1004" s="7" t="s">
        <v>561</v>
      </c>
      <c r="B1004" s="8">
        <v>1377.68</v>
      </c>
      <c r="C1004" s="8">
        <v>1500</v>
      </c>
      <c r="D1004" s="8">
        <v>91.85</v>
      </c>
    </row>
    <row r="1005" spans="1:4">
      <c r="A1005" s="7" t="s">
        <v>562</v>
      </c>
      <c r="B1005" s="8">
        <v>1296.6400000000001</v>
      </c>
      <c r="C1005" s="8">
        <v>1600</v>
      </c>
      <c r="D1005" s="8">
        <v>81.040000000000006</v>
      </c>
    </row>
    <row r="1006" spans="1:4">
      <c r="A1006" s="7" t="s">
        <v>542</v>
      </c>
      <c r="B1006" s="8">
        <v>37324.86</v>
      </c>
      <c r="C1006" s="8">
        <v>17542.16</v>
      </c>
      <c r="D1006" s="8">
        <v>212.77</v>
      </c>
    </row>
    <row r="1007" spans="1:4">
      <c r="A1007" s="7" t="s">
        <v>543</v>
      </c>
      <c r="B1007" s="8">
        <v>18849.169999999998</v>
      </c>
      <c r="C1007" s="8">
        <v>16535.79</v>
      </c>
      <c r="D1007" s="8">
        <v>113.99</v>
      </c>
    </row>
    <row r="1008" spans="1:4">
      <c r="A1008" s="7" t="s">
        <v>544</v>
      </c>
      <c r="B1008" s="8">
        <v>20206.04</v>
      </c>
      <c r="C1008" s="8">
        <v>17592.580000000002</v>
      </c>
      <c r="D1008" s="8">
        <v>114.86</v>
      </c>
    </row>
    <row r="1009" spans="1:4">
      <c r="A1009" s="7" t="s">
        <v>545</v>
      </c>
      <c r="B1009" s="8">
        <v>5361.78</v>
      </c>
      <c r="C1009" s="8">
        <v>5371.3</v>
      </c>
      <c r="D1009" s="8">
        <v>99.82</v>
      </c>
    </row>
    <row r="1010" spans="1:4">
      <c r="A1010" s="7" t="s">
        <v>546</v>
      </c>
      <c r="B1010" s="8">
        <v>8556.7000000000007</v>
      </c>
      <c r="C1010" s="8">
        <v>8487.16</v>
      </c>
      <c r="D1010" s="8">
        <v>100.82</v>
      </c>
    </row>
    <row r="1011" spans="1:4">
      <c r="A1011" s="7" t="s">
        <v>547</v>
      </c>
      <c r="B1011" s="8">
        <v>40593.67</v>
      </c>
      <c r="C1011" s="8">
        <v>10073.780000000001</v>
      </c>
      <c r="D1011" s="8">
        <v>402.96</v>
      </c>
    </row>
    <row r="1012" spans="1:4">
      <c r="A1012" s="7" t="s">
        <v>548</v>
      </c>
      <c r="B1012" s="8">
        <v>21029.360000000001</v>
      </c>
      <c r="C1012" s="8">
        <v>16705.86</v>
      </c>
      <c r="D1012" s="8">
        <v>125.88</v>
      </c>
    </row>
    <row r="1013" spans="1:4">
      <c r="A1013" s="7" t="s">
        <v>549</v>
      </c>
      <c r="B1013" s="8">
        <v>25614.19</v>
      </c>
      <c r="C1013" s="8">
        <v>13600.62</v>
      </c>
      <c r="D1013" s="8">
        <v>188.33</v>
      </c>
    </row>
    <row r="1014" spans="1:4">
      <c r="A1014" s="7" t="s">
        <v>550</v>
      </c>
      <c r="B1014" s="8">
        <v>30379.66</v>
      </c>
      <c r="C1014" s="8">
        <v>14084.17</v>
      </c>
      <c r="D1014" s="8">
        <v>215.7</v>
      </c>
    </row>
    <row r="1015" spans="1:4">
      <c r="A1015" s="7" t="s">
        <v>3056</v>
      </c>
      <c r="B1015" s="8">
        <v>30612.75</v>
      </c>
      <c r="C1015" s="8">
        <v>21964.16</v>
      </c>
      <c r="D1015" s="8">
        <v>139.38</v>
      </c>
    </row>
    <row r="1016" spans="1:4">
      <c r="A1016" s="7" t="s">
        <v>3057</v>
      </c>
      <c r="B1016" s="8">
        <v>20419.330000000002</v>
      </c>
      <c r="C1016" s="8">
        <v>18398</v>
      </c>
      <c r="D1016" s="8">
        <v>110.99</v>
      </c>
    </row>
    <row r="1017" spans="1:4">
      <c r="A1017" s="7" t="s">
        <v>551</v>
      </c>
      <c r="B1017" s="8">
        <v>22808.27</v>
      </c>
      <c r="C1017" s="8">
        <v>19954.79</v>
      </c>
      <c r="D1017" s="8">
        <v>114.3</v>
      </c>
    </row>
    <row r="1018" spans="1:4">
      <c r="A1018" s="7" t="s">
        <v>3058</v>
      </c>
      <c r="B1018" s="8">
        <v>9272.07</v>
      </c>
      <c r="C1018" s="8">
        <v>8671.2999999999993</v>
      </c>
      <c r="D1018" s="8">
        <v>106.93</v>
      </c>
    </row>
    <row r="1019" spans="1:4">
      <c r="A1019" s="7" t="s">
        <v>3059</v>
      </c>
      <c r="B1019" s="8">
        <v>11590.7</v>
      </c>
      <c r="C1019" s="8">
        <v>11449.36</v>
      </c>
      <c r="D1019" s="8">
        <v>101.23</v>
      </c>
    </row>
    <row r="1020" spans="1:4">
      <c r="A1020" s="7" t="s">
        <v>552</v>
      </c>
      <c r="B1020" s="8">
        <v>42744.37</v>
      </c>
      <c r="C1020" s="8">
        <v>12135.98</v>
      </c>
      <c r="D1020" s="8">
        <v>352.21</v>
      </c>
    </row>
    <row r="1021" spans="1:4">
      <c r="A1021" s="7" t="s">
        <v>3060</v>
      </c>
      <c r="B1021" s="8">
        <v>17230.669999999998</v>
      </c>
      <c r="C1021" s="8">
        <v>12605.86</v>
      </c>
      <c r="D1021" s="8">
        <v>136.69</v>
      </c>
    </row>
    <row r="1022" spans="1:4">
      <c r="A1022" s="7" t="s">
        <v>3061</v>
      </c>
      <c r="B1022" s="8">
        <v>11176.05</v>
      </c>
      <c r="C1022" s="8">
        <v>10938.41</v>
      </c>
      <c r="D1022" s="8">
        <v>102.17</v>
      </c>
    </row>
    <row r="1023" spans="1:4">
      <c r="A1023" s="7" t="s">
        <v>553</v>
      </c>
      <c r="B1023" s="8">
        <v>28850.34</v>
      </c>
      <c r="C1023" s="8">
        <v>11821.96</v>
      </c>
      <c r="D1023" s="8">
        <v>244.04</v>
      </c>
    </row>
    <row r="1024" spans="1:4">
      <c r="A1024" s="7" t="s">
        <v>3062</v>
      </c>
      <c r="B1024" s="8">
        <v>31133.46</v>
      </c>
      <c r="C1024" s="8">
        <v>19557.02</v>
      </c>
      <c r="D1024" s="8">
        <v>159.19</v>
      </c>
    </row>
    <row r="1025" spans="1:4">
      <c r="A1025" s="7" t="s">
        <v>3063</v>
      </c>
      <c r="B1025" s="8">
        <v>29709.45</v>
      </c>
      <c r="C1025" s="8">
        <v>17312.740000000002</v>
      </c>
      <c r="D1025" s="8">
        <v>171.6</v>
      </c>
    </row>
    <row r="1026" spans="1:4">
      <c r="A1026" s="7" t="s">
        <v>554</v>
      </c>
      <c r="B1026" s="8">
        <v>30028.77</v>
      </c>
      <c r="C1026" s="8">
        <v>18696.29</v>
      </c>
      <c r="D1026" s="8">
        <v>160.61000000000001</v>
      </c>
    </row>
    <row r="1027" spans="1:4">
      <c r="A1027" s="7" t="s">
        <v>555</v>
      </c>
      <c r="B1027" s="8">
        <v>1134.56</v>
      </c>
      <c r="C1027" s="8">
        <v>1500</v>
      </c>
      <c r="D1027" s="8">
        <v>75.64</v>
      </c>
    </row>
    <row r="1028" spans="1:4">
      <c r="A1028" s="7" t="s">
        <v>556</v>
      </c>
      <c r="B1028" s="8">
        <v>1458.72</v>
      </c>
      <c r="C1028" s="8">
        <v>1500</v>
      </c>
      <c r="D1028" s="8">
        <v>97.25</v>
      </c>
    </row>
    <row r="1029" spans="1:4">
      <c r="A1029" s="7" t="s">
        <v>681</v>
      </c>
      <c r="B1029" s="8">
        <v>0</v>
      </c>
      <c r="C1029" s="8">
        <v>0</v>
      </c>
      <c r="D1029" s="7" t="s">
        <v>564</v>
      </c>
    </row>
    <row r="1030" spans="1:4">
      <c r="A1030" s="7" t="s">
        <v>682</v>
      </c>
      <c r="B1030" s="8">
        <v>0</v>
      </c>
      <c r="C1030" s="8">
        <v>0</v>
      </c>
      <c r="D1030" s="7" t="s">
        <v>564</v>
      </c>
    </row>
    <row r="1031" spans="1:4">
      <c r="A1031" s="7" t="s">
        <v>683</v>
      </c>
      <c r="B1031" s="8">
        <v>0</v>
      </c>
      <c r="C1031" s="8">
        <v>0</v>
      </c>
      <c r="D1031" s="7" t="s">
        <v>564</v>
      </c>
    </row>
    <row r="1032" spans="1:4">
      <c r="A1032" s="7" t="s">
        <v>684</v>
      </c>
      <c r="B1032" s="8">
        <v>0</v>
      </c>
      <c r="C1032" s="8">
        <v>0</v>
      </c>
      <c r="D1032" s="7" t="s">
        <v>564</v>
      </c>
    </row>
    <row r="1033" spans="1:4">
      <c r="A1033" s="7" t="s">
        <v>685</v>
      </c>
      <c r="B1033" s="8">
        <v>0</v>
      </c>
      <c r="C1033" s="8">
        <v>0</v>
      </c>
      <c r="D1033" s="7" t="s">
        <v>564</v>
      </c>
    </row>
    <row r="1034" spans="1:4">
      <c r="A1034" s="7" t="s">
        <v>686</v>
      </c>
      <c r="B1034" s="8">
        <v>0</v>
      </c>
      <c r="C1034" s="8">
        <v>0</v>
      </c>
      <c r="D1034" s="7" t="s">
        <v>564</v>
      </c>
    </row>
    <row r="1035" spans="1:4">
      <c r="A1035" s="7" t="s">
        <v>687</v>
      </c>
      <c r="B1035" s="8">
        <v>0</v>
      </c>
      <c r="C1035" s="8">
        <v>0</v>
      </c>
      <c r="D1035" s="7" t="s">
        <v>564</v>
      </c>
    </row>
    <row r="1036" spans="1:4">
      <c r="A1036" s="7" t="s">
        <v>688</v>
      </c>
      <c r="B1036" s="8">
        <v>0</v>
      </c>
      <c r="C1036" s="8">
        <v>0</v>
      </c>
      <c r="D1036" s="7" t="s">
        <v>564</v>
      </c>
    </row>
    <row r="1037" spans="1:4">
      <c r="A1037" s="7" t="s">
        <v>563</v>
      </c>
      <c r="B1037" s="8">
        <v>0</v>
      </c>
      <c r="C1037" s="8">
        <v>34507.03</v>
      </c>
      <c r="D1037" s="8">
        <v>0</v>
      </c>
    </row>
    <row r="1038" spans="1:4">
      <c r="A1038" s="7" t="s">
        <v>3064</v>
      </c>
      <c r="B1038" s="8">
        <v>0</v>
      </c>
      <c r="C1038" s="8">
        <v>45387.51</v>
      </c>
      <c r="D1038" s="8">
        <v>0</v>
      </c>
    </row>
    <row r="1039" spans="1:4">
      <c r="A1039" s="7" t="s">
        <v>565</v>
      </c>
      <c r="B1039" s="8">
        <v>0</v>
      </c>
      <c r="C1039" s="8">
        <v>38528.97</v>
      </c>
      <c r="D1039" s="8">
        <v>0</v>
      </c>
    </row>
    <row r="1040" spans="1:4">
      <c r="A1040" s="7" t="s">
        <v>689</v>
      </c>
      <c r="B1040" s="8">
        <v>69745.679999999993</v>
      </c>
      <c r="C1040" s="8">
        <v>171716.52</v>
      </c>
      <c r="D1040" s="8">
        <v>40.619999999999997</v>
      </c>
    </row>
    <row r="1041" spans="1:4">
      <c r="A1041" s="7" t="s">
        <v>3065</v>
      </c>
      <c r="B1041" s="8">
        <v>1673.44</v>
      </c>
      <c r="C1041" s="8">
        <v>1356.67</v>
      </c>
      <c r="D1041" s="8">
        <v>123.35</v>
      </c>
    </row>
    <row r="1042" spans="1:4">
      <c r="A1042" s="7" t="s">
        <v>3066</v>
      </c>
      <c r="B1042" s="8">
        <v>505.09</v>
      </c>
      <c r="C1042" s="8">
        <v>561.85</v>
      </c>
      <c r="D1042" s="8">
        <v>89.9</v>
      </c>
    </row>
    <row r="1043" spans="1:4">
      <c r="A1043" s="7" t="s">
        <v>3067</v>
      </c>
      <c r="B1043" s="8">
        <v>772.88</v>
      </c>
      <c r="C1043" s="8">
        <v>638.19000000000005</v>
      </c>
      <c r="D1043" s="8">
        <v>121.11</v>
      </c>
    </row>
    <row r="1044" spans="1:4">
      <c r="A1044" s="7" t="s">
        <v>3068</v>
      </c>
      <c r="B1044" s="8">
        <v>642.78</v>
      </c>
      <c r="C1044" s="8">
        <v>731.11</v>
      </c>
      <c r="D1044" s="8">
        <v>87.92</v>
      </c>
    </row>
    <row r="1045" spans="1:4">
      <c r="A1045" s="7" t="s">
        <v>3069</v>
      </c>
      <c r="B1045" s="8">
        <v>84.76</v>
      </c>
      <c r="C1045" s="8">
        <v>84.76</v>
      </c>
      <c r="D1045" s="8">
        <v>100</v>
      </c>
    </row>
    <row r="1046" spans="1:4">
      <c r="A1046" s="7" t="s">
        <v>3070</v>
      </c>
      <c r="B1046" s="8">
        <v>9078.85</v>
      </c>
      <c r="C1046" s="8">
        <v>7026.98</v>
      </c>
      <c r="D1046" s="8">
        <v>129.19999999999999</v>
      </c>
    </row>
    <row r="1047" spans="1:4">
      <c r="A1047" s="7" t="s">
        <v>3071</v>
      </c>
      <c r="B1047" s="8">
        <v>681.46</v>
      </c>
      <c r="C1047" s="8">
        <v>776.85</v>
      </c>
      <c r="D1047" s="8">
        <v>87.72</v>
      </c>
    </row>
    <row r="1048" spans="1:4">
      <c r="A1048" s="7" t="s">
        <v>3072</v>
      </c>
      <c r="B1048" s="8">
        <v>10586.29</v>
      </c>
      <c r="C1048" s="8">
        <v>7271.38</v>
      </c>
      <c r="D1048" s="8">
        <v>145.59</v>
      </c>
    </row>
    <row r="1049" spans="1:4">
      <c r="A1049" s="7" t="s">
        <v>3073</v>
      </c>
      <c r="B1049" s="8">
        <v>637.1</v>
      </c>
      <c r="C1049" s="8">
        <v>781.42</v>
      </c>
      <c r="D1049" s="8">
        <v>81.53</v>
      </c>
    </row>
    <row r="1050" spans="1:4">
      <c r="A1050" s="7" t="s">
        <v>3074</v>
      </c>
      <c r="B1050" s="8">
        <v>6226.22</v>
      </c>
      <c r="C1050" s="8">
        <v>5566.42</v>
      </c>
      <c r="D1050" s="8">
        <v>111.85</v>
      </c>
    </row>
    <row r="1051" spans="1:4">
      <c r="A1051" s="7" t="s">
        <v>3075</v>
      </c>
      <c r="B1051" s="8">
        <v>421.38</v>
      </c>
      <c r="C1051" s="8">
        <v>415.91</v>
      </c>
      <c r="D1051" s="8">
        <v>101.32</v>
      </c>
    </row>
    <row r="1052" spans="1:4">
      <c r="A1052" s="7" t="s">
        <v>3076</v>
      </c>
      <c r="B1052" s="8">
        <v>11986.25</v>
      </c>
      <c r="C1052" s="8">
        <v>8690.4500000000007</v>
      </c>
      <c r="D1052" s="8">
        <v>137.91999999999999</v>
      </c>
    </row>
    <row r="1053" spans="1:4">
      <c r="A1053" s="7" t="s">
        <v>3077</v>
      </c>
      <c r="B1053" s="8">
        <v>592.80999999999995</v>
      </c>
      <c r="C1053" s="8">
        <v>610.48</v>
      </c>
      <c r="D1053" s="8">
        <v>97.11</v>
      </c>
    </row>
    <row r="1054" spans="1:4">
      <c r="A1054" s="7" t="s">
        <v>3078</v>
      </c>
      <c r="B1054" s="8">
        <v>13074.58</v>
      </c>
      <c r="C1054" s="8">
        <v>5226.42</v>
      </c>
      <c r="D1054" s="8">
        <v>250.16</v>
      </c>
    </row>
    <row r="1055" spans="1:4">
      <c r="A1055" s="7" t="s">
        <v>3079</v>
      </c>
      <c r="B1055" s="8">
        <v>676.22</v>
      </c>
      <c r="C1055" s="8">
        <v>776.85</v>
      </c>
      <c r="D1055" s="8">
        <v>87.05</v>
      </c>
    </row>
    <row r="1056" spans="1:4">
      <c r="A1056" s="7" t="s">
        <v>2571</v>
      </c>
      <c r="B1056" s="8">
        <v>10681.29</v>
      </c>
      <c r="C1056" s="8">
        <v>8132.84</v>
      </c>
      <c r="D1056" s="8">
        <v>131.34</v>
      </c>
    </row>
    <row r="1057" spans="1:4">
      <c r="A1057" s="7" t="s">
        <v>2582</v>
      </c>
      <c r="B1057" s="8">
        <v>637.22</v>
      </c>
      <c r="C1057" s="8">
        <v>781.42</v>
      </c>
      <c r="D1057" s="8">
        <v>81.55</v>
      </c>
    </row>
    <row r="1058" spans="1:4">
      <c r="A1058" s="7" t="s">
        <v>3080</v>
      </c>
      <c r="B1058" s="8">
        <v>8546.0300000000007</v>
      </c>
      <c r="C1058" s="8">
        <v>6809.18</v>
      </c>
      <c r="D1058" s="8">
        <v>125.51</v>
      </c>
    </row>
    <row r="1059" spans="1:4">
      <c r="A1059" s="7" t="s">
        <v>3081</v>
      </c>
      <c r="B1059" s="8">
        <v>419.7</v>
      </c>
      <c r="C1059" s="8">
        <v>415.91</v>
      </c>
      <c r="D1059" s="8">
        <v>100.91</v>
      </c>
    </row>
    <row r="1060" spans="1:4">
      <c r="A1060" s="7" t="s">
        <v>2573</v>
      </c>
      <c r="B1060" s="8">
        <v>14284.8</v>
      </c>
      <c r="C1060" s="8">
        <v>9086.84</v>
      </c>
      <c r="D1060" s="8">
        <v>157.19999999999999</v>
      </c>
    </row>
    <row r="1061" spans="1:4">
      <c r="A1061" s="7" t="s">
        <v>2584</v>
      </c>
      <c r="B1061" s="8">
        <v>592.80999999999995</v>
      </c>
      <c r="C1061" s="8">
        <v>610.48</v>
      </c>
      <c r="D1061" s="8">
        <v>97.11</v>
      </c>
    </row>
    <row r="1062" spans="1:4">
      <c r="A1062" s="7" t="s">
        <v>2434</v>
      </c>
      <c r="B1062" s="8">
        <v>7422.76</v>
      </c>
      <c r="C1062" s="8">
        <v>2298.5</v>
      </c>
      <c r="D1062" s="8">
        <v>322.94</v>
      </c>
    </row>
    <row r="1063" spans="1:4">
      <c r="A1063" s="7" t="s">
        <v>2433</v>
      </c>
      <c r="B1063" s="8">
        <v>686.82</v>
      </c>
      <c r="C1063" s="8">
        <v>776.85</v>
      </c>
      <c r="D1063" s="8">
        <v>88.41</v>
      </c>
    </row>
    <row r="1064" spans="1:4">
      <c r="A1064" s="7" t="s">
        <v>3082</v>
      </c>
      <c r="B1064" s="8">
        <v>5318.23</v>
      </c>
      <c r="C1064" s="8">
        <v>4027.35</v>
      </c>
      <c r="D1064" s="8">
        <v>132.05000000000001</v>
      </c>
    </row>
    <row r="1065" spans="1:4">
      <c r="A1065" s="7" t="s">
        <v>3083</v>
      </c>
      <c r="B1065" s="8">
        <v>642.72</v>
      </c>
      <c r="C1065" s="8">
        <v>781.42</v>
      </c>
      <c r="D1065" s="8">
        <v>82.25</v>
      </c>
    </row>
    <row r="1066" spans="1:4">
      <c r="A1066" s="7" t="s">
        <v>3084</v>
      </c>
      <c r="B1066" s="8">
        <v>6670.94</v>
      </c>
      <c r="C1066" s="8">
        <v>6366.98</v>
      </c>
      <c r="D1066" s="8">
        <v>104.77</v>
      </c>
    </row>
    <row r="1067" spans="1:4">
      <c r="A1067" s="7" t="s">
        <v>3085</v>
      </c>
      <c r="B1067" s="8">
        <v>453.76</v>
      </c>
      <c r="C1067" s="8">
        <v>476.22</v>
      </c>
      <c r="D1067" s="8">
        <v>95.28</v>
      </c>
    </row>
    <row r="1068" spans="1:4">
      <c r="A1068" s="7" t="s">
        <v>3086</v>
      </c>
      <c r="B1068" s="8">
        <v>5690.8</v>
      </c>
      <c r="C1068" s="8">
        <v>5906.98</v>
      </c>
      <c r="D1068" s="8">
        <v>96.34</v>
      </c>
    </row>
    <row r="1069" spans="1:4">
      <c r="A1069" s="7" t="s">
        <v>3087</v>
      </c>
      <c r="B1069" s="8">
        <v>617.79</v>
      </c>
      <c r="C1069" s="8">
        <v>670.79</v>
      </c>
      <c r="D1069" s="8">
        <v>92.1</v>
      </c>
    </row>
    <row r="1070" spans="1:4">
      <c r="A1070" s="7" t="s">
        <v>3088</v>
      </c>
      <c r="B1070" s="8">
        <v>171.76</v>
      </c>
      <c r="C1070" s="8">
        <v>12317.77</v>
      </c>
      <c r="D1070" s="8">
        <v>1.39</v>
      </c>
    </row>
    <row r="1071" spans="1:4">
      <c r="A1071" s="7" t="s">
        <v>3089</v>
      </c>
      <c r="B1071" s="8">
        <v>16528.78</v>
      </c>
      <c r="C1071" s="8">
        <v>15214.86</v>
      </c>
      <c r="D1071" s="8">
        <v>108.64</v>
      </c>
    </row>
    <row r="1072" spans="1:4">
      <c r="A1072" s="7" t="s">
        <v>3090</v>
      </c>
      <c r="B1072" s="8">
        <v>144.43</v>
      </c>
      <c r="C1072" s="8">
        <v>11784.24</v>
      </c>
      <c r="D1072" s="8">
        <v>1.23</v>
      </c>
    </row>
    <row r="1073" spans="1:4">
      <c r="A1073" s="7" t="s">
        <v>3091</v>
      </c>
      <c r="B1073" s="8">
        <v>3983.97</v>
      </c>
      <c r="C1073" s="8">
        <v>2900</v>
      </c>
      <c r="D1073" s="8">
        <v>137.38</v>
      </c>
    </row>
    <row r="1074" spans="1:4">
      <c r="A1074" s="7" t="s">
        <v>3092</v>
      </c>
      <c r="B1074" s="8">
        <v>6476.91</v>
      </c>
      <c r="C1074" s="8">
        <v>6011.67</v>
      </c>
      <c r="D1074" s="8">
        <v>107.74</v>
      </c>
    </row>
    <row r="1075" spans="1:4">
      <c r="A1075" s="7" t="s">
        <v>3093</v>
      </c>
      <c r="B1075" s="8">
        <v>185.43</v>
      </c>
      <c r="C1075" s="8">
        <v>185.43</v>
      </c>
      <c r="D1075" s="8">
        <v>100</v>
      </c>
    </row>
    <row r="1076" spans="1:4">
      <c r="A1076" s="7" t="s">
        <v>3094</v>
      </c>
      <c r="B1076" s="8">
        <v>185.43</v>
      </c>
      <c r="C1076" s="8">
        <v>185.43</v>
      </c>
      <c r="D1076" s="8">
        <v>100</v>
      </c>
    </row>
    <row r="1077" spans="1:4">
      <c r="A1077" s="7" t="s">
        <v>3095</v>
      </c>
      <c r="B1077" s="8">
        <v>185.43</v>
      </c>
      <c r="C1077" s="8">
        <v>185.43</v>
      </c>
      <c r="D1077" s="8">
        <v>100</v>
      </c>
    </row>
    <row r="1078" spans="1:4">
      <c r="A1078" s="7" t="s">
        <v>3096</v>
      </c>
      <c r="B1078" s="8">
        <v>100.18</v>
      </c>
      <c r="C1078" s="8">
        <v>100.18</v>
      </c>
      <c r="D1078" s="8">
        <v>100</v>
      </c>
    </row>
    <row r="1079" spans="1:4">
      <c r="A1079" s="7" t="s">
        <v>3097</v>
      </c>
      <c r="B1079" s="8">
        <v>185.43</v>
      </c>
      <c r="C1079" s="8">
        <v>185.43</v>
      </c>
      <c r="D1079" s="8">
        <v>100</v>
      </c>
    </row>
    <row r="1080" spans="1:4">
      <c r="A1080" s="7" t="s">
        <v>3098</v>
      </c>
      <c r="B1080" s="8">
        <v>185.43</v>
      </c>
      <c r="C1080" s="8">
        <v>185.43</v>
      </c>
      <c r="D1080" s="8">
        <v>100</v>
      </c>
    </row>
    <row r="1081" spans="1:4">
      <c r="A1081" s="7" t="s">
        <v>3099</v>
      </c>
      <c r="B1081" s="8">
        <v>185.43</v>
      </c>
      <c r="C1081" s="8">
        <v>185.43</v>
      </c>
      <c r="D1081" s="8">
        <v>100</v>
      </c>
    </row>
    <row r="1082" spans="1:4">
      <c r="A1082" s="7" t="s">
        <v>3100</v>
      </c>
      <c r="B1082" s="8">
        <v>185.43</v>
      </c>
      <c r="C1082" s="8">
        <v>185.43</v>
      </c>
      <c r="D1082" s="8">
        <v>100</v>
      </c>
    </row>
    <row r="1083" spans="1:4">
      <c r="A1083" s="7" t="s">
        <v>3101</v>
      </c>
      <c r="B1083" s="8">
        <v>185.43</v>
      </c>
      <c r="C1083" s="8">
        <v>185.43</v>
      </c>
      <c r="D1083" s="8">
        <v>100</v>
      </c>
    </row>
    <row r="1084" spans="1:4">
      <c r="A1084" s="7" t="s">
        <v>3102</v>
      </c>
      <c r="B1084" s="8">
        <v>185.43</v>
      </c>
      <c r="C1084" s="8">
        <v>185.43</v>
      </c>
      <c r="D1084" s="8">
        <v>100</v>
      </c>
    </row>
    <row r="1085" spans="1:4">
      <c r="A1085" s="7" t="s">
        <v>3103</v>
      </c>
      <c r="B1085" s="8">
        <v>185.43</v>
      </c>
      <c r="C1085" s="8">
        <v>185.43</v>
      </c>
      <c r="D1085" s="8">
        <v>100</v>
      </c>
    </row>
    <row r="1086" spans="1:4">
      <c r="A1086" s="7" t="s">
        <v>3104</v>
      </c>
      <c r="B1086" s="8">
        <v>185.43</v>
      </c>
      <c r="C1086" s="8">
        <v>185.43</v>
      </c>
      <c r="D1086" s="8">
        <v>100</v>
      </c>
    </row>
    <row r="1087" spans="1:4">
      <c r="A1087" s="7" t="s">
        <v>3105</v>
      </c>
      <c r="B1087" s="8">
        <v>185.43</v>
      </c>
      <c r="C1087" s="8">
        <v>185.43</v>
      </c>
      <c r="D1087" s="8">
        <v>100</v>
      </c>
    </row>
    <row r="1088" spans="1:4">
      <c r="A1088" s="7" t="s">
        <v>3106</v>
      </c>
      <c r="B1088" s="8">
        <v>100</v>
      </c>
      <c r="C1088" s="8">
        <v>100</v>
      </c>
      <c r="D1088" s="8">
        <v>100</v>
      </c>
    </row>
    <row r="1089" spans="1:4">
      <c r="A1089" s="7" t="s">
        <v>3107</v>
      </c>
      <c r="B1089" s="8">
        <v>185.43</v>
      </c>
      <c r="C1089" s="8">
        <v>185.43</v>
      </c>
      <c r="D1089" s="8">
        <v>100</v>
      </c>
    </row>
    <row r="1090" spans="1:4">
      <c r="A1090" s="7" t="s">
        <v>3108</v>
      </c>
      <c r="B1090" s="8">
        <v>185.43</v>
      </c>
      <c r="C1090" s="8">
        <v>185.43</v>
      </c>
      <c r="D1090" s="8">
        <v>100</v>
      </c>
    </row>
    <row r="1091" spans="1:4">
      <c r="A1091" s="7" t="s">
        <v>3109</v>
      </c>
      <c r="B1091" s="8">
        <v>482.57</v>
      </c>
      <c r="C1091" s="8">
        <v>549.16</v>
      </c>
      <c r="D1091" s="8">
        <v>87.87</v>
      </c>
    </row>
    <row r="1092" spans="1:4">
      <c r="A1092" s="7" t="s">
        <v>692</v>
      </c>
      <c r="B1092" s="8">
        <v>100</v>
      </c>
      <c r="C1092" s="8">
        <v>100</v>
      </c>
      <c r="D1092" s="8">
        <v>100</v>
      </c>
    </row>
    <row r="1093" spans="1:4">
      <c r="A1093" s="7" t="s">
        <v>3110</v>
      </c>
      <c r="B1093" s="8">
        <v>100</v>
      </c>
      <c r="C1093" s="8">
        <v>100</v>
      </c>
      <c r="D1093" s="8">
        <v>100</v>
      </c>
    </row>
    <row r="1094" spans="1:4">
      <c r="A1094" s="7" t="s">
        <v>3111</v>
      </c>
      <c r="B1094" s="8">
        <v>2924.79</v>
      </c>
      <c r="C1094" s="8">
        <v>2626.04</v>
      </c>
      <c r="D1094" s="8">
        <v>111.38</v>
      </c>
    </row>
    <row r="1095" spans="1:4">
      <c r="A1095" s="7" t="s">
        <v>690</v>
      </c>
      <c r="B1095" s="8">
        <v>107.14</v>
      </c>
      <c r="C1095" s="8">
        <v>107.14</v>
      </c>
      <c r="D1095" s="8">
        <v>100</v>
      </c>
    </row>
    <row r="1096" spans="1:4">
      <c r="A1096" s="7" t="s">
        <v>3112</v>
      </c>
      <c r="B1096" s="8">
        <v>1767.5</v>
      </c>
      <c r="C1096" s="8">
        <v>2026.04</v>
      </c>
      <c r="D1096" s="8">
        <v>87.24</v>
      </c>
    </row>
    <row r="1097" spans="1:4">
      <c r="A1097" s="7" t="s">
        <v>2488</v>
      </c>
      <c r="B1097" s="8">
        <v>972.3</v>
      </c>
      <c r="C1097" s="8">
        <v>1226.8399999999999</v>
      </c>
      <c r="D1097" s="8">
        <v>79.25</v>
      </c>
    </row>
    <row r="1098" spans="1:4">
      <c r="A1098" s="7" t="s">
        <v>2485</v>
      </c>
      <c r="B1098" s="8">
        <v>806.02</v>
      </c>
      <c r="C1098" s="8">
        <v>1088.18</v>
      </c>
      <c r="D1098" s="8">
        <v>74.069999999999993</v>
      </c>
    </row>
    <row r="1099" spans="1:4">
      <c r="A1099" s="7" t="s">
        <v>2494</v>
      </c>
      <c r="B1099" s="8">
        <v>830.81</v>
      </c>
      <c r="C1099" s="8">
        <v>955.24</v>
      </c>
      <c r="D1099" s="8">
        <v>86.97</v>
      </c>
    </row>
    <row r="1100" spans="1:4">
      <c r="A1100" s="7" t="s">
        <v>2491</v>
      </c>
      <c r="B1100" s="8">
        <v>620.39</v>
      </c>
      <c r="C1100" s="8">
        <v>816.58</v>
      </c>
      <c r="D1100" s="8">
        <v>75.97</v>
      </c>
    </row>
    <row r="1101" spans="1:4">
      <c r="A1101" s="7" t="s">
        <v>3113</v>
      </c>
      <c r="B1101" s="8">
        <v>6254.05</v>
      </c>
      <c r="C1101" s="8">
        <v>4425.45</v>
      </c>
      <c r="D1101" s="8">
        <v>141.32</v>
      </c>
    </row>
    <row r="1102" spans="1:4">
      <c r="A1102" s="7" t="s">
        <v>3114</v>
      </c>
      <c r="B1102" s="8">
        <v>6008.6</v>
      </c>
      <c r="C1102" s="8">
        <v>4116.79</v>
      </c>
      <c r="D1102" s="8">
        <v>145.94999999999999</v>
      </c>
    </row>
    <row r="1103" spans="1:4">
      <c r="A1103" s="7" t="s">
        <v>3115</v>
      </c>
      <c r="B1103" s="8">
        <v>5897.24</v>
      </c>
      <c r="C1103" s="8">
        <v>4775.45</v>
      </c>
      <c r="D1103" s="8">
        <v>123.49</v>
      </c>
    </row>
    <row r="1104" spans="1:4">
      <c r="A1104" s="7" t="s">
        <v>3116</v>
      </c>
      <c r="B1104" s="8">
        <v>5909.51</v>
      </c>
      <c r="C1104" s="8">
        <v>4466.79</v>
      </c>
      <c r="D1104" s="8">
        <v>132.30000000000001</v>
      </c>
    </row>
    <row r="1105" spans="1:4">
      <c r="A1105" s="7" t="s">
        <v>3117</v>
      </c>
      <c r="B1105" s="8">
        <v>3916.05</v>
      </c>
      <c r="C1105" s="8">
        <v>4125.45</v>
      </c>
      <c r="D1105" s="8">
        <v>94.92</v>
      </c>
    </row>
    <row r="1106" spans="1:4">
      <c r="A1106" s="7" t="s">
        <v>3118</v>
      </c>
      <c r="B1106" s="8">
        <v>3950.58</v>
      </c>
      <c r="C1106" s="8">
        <v>3816.79</v>
      </c>
      <c r="D1106" s="8">
        <v>103.51</v>
      </c>
    </row>
    <row r="1107" spans="1:4">
      <c r="A1107" s="7" t="s">
        <v>693</v>
      </c>
      <c r="B1107" s="8">
        <v>4693.8999999999996</v>
      </c>
      <c r="C1107" s="8">
        <v>4875.3599999999997</v>
      </c>
      <c r="D1107" s="8">
        <v>96.28</v>
      </c>
    </row>
    <row r="1108" spans="1:4">
      <c r="A1108" s="7" t="s">
        <v>3119</v>
      </c>
      <c r="B1108" s="8">
        <v>4512.82</v>
      </c>
      <c r="C1108" s="8">
        <v>4566.7</v>
      </c>
      <c r="D1108" s="8">
        <v>98.82</v>
      </c>
    </row>
    <row r="1109" spans="1:4">
      <c r="A1109" s="7" t="s">
        <v>3120</v>
      </c>
      <c r="B1109" s="8">
        <v>185.43</v>
      </c>
      <c r="C1109" s="8">
        <v>185.43</v>
      </c>
      <c r="D1109" s="8">
        <v>100</v>
      </c>
    </row>
    <row r="1110" spans="1:4">
      <c r="A1110" s="7" t="s">
        <v>3121</v>
      </c>
      <c r="B1110" s="8">
        <v>185.43</v>
      </c>
      <c r="C1110" s="8">
        <v>185.43</v>
      </c>
      <c r="D1110" s="8">
        <v>100</v>
      </c>
    </row>
    <row r="1111" spans="1:4">
      <c r="A1111" s="7" t="s">
        <v>3122</v>
      </c>
      <c r="B1111" s="8">
        <v>3248.66</v>
      </c>
      <c r="C1111" s="8">
        <v>3425.36</v>
      </c>
      <c r="D1111" s="8">
        <v>94.84</v>
      </c>
    </row>
    <row r="1112" spans="1:4">
      <c r="A1112" s="7" t="s">
        <v>3123</v>
      </c>
      <c r="B1112" s="8">
        <v>3125.01</v>
      </c>
      <c r="C1112" s="8">
        <v>3116.7</v>
      </c>
      <c r="D1112" s="8">
        <v>100.27</v>
      </c>
    </row>
    <row r="1113" spans="1:4">
      <c r="A1113" s="7" t="s">
        <v>694</v>
      </c>
      <c r="B1113" s="8">
        <v>139.75</v>
      </c>
      <c r="C1113" s="8">
        <v>139.75</v>
      </c>
      <c r="D1113" s="8">
        <v>100</v>
      </c>
    </row>
    <row r="1114" spans="1:4">
      <c r="A1114" s="7" t="s">
        <v>695</v>
      </c>
      <c r="B1114" s="8">
        <v>90</v>
      </c>
      <c r="C1114" s="8">
        <v>90</v>
      </c>
      <c r="D1114" s="8">
        <v>100</v>
      </c>
    </row>
    <row r="1115" spans="1:4">
      <c r="A1115" s="7" t="s">
        <v>3124</v>
      </c>
      <c r="B1115" s="8">
        <v>90</v>
      </c>
      <c r="C1115" s="8">
        <v>90</v>
      </c>
      <c r="D1115" s="8">
        <v>100</v>
      </c>
    </row>
    <row r="1116" spans="1:4">
      <c r="A1116" s="7" t="s">
        <v>3125</v>
      </c>
      <c r="B1116" s="8">
        <v>90</v>
      </c>
      <c r="C1116" s="8">
        <v>90</v>
      </c>
      <c r="D1116" s="8">
        <v>100</v>
      </c>
    </row>
    <row r="1117" spans="1:4">
      <c r="A1117" s="7" t="s">
        <v>3126</v>
      </c>
      <c r="B1117" s="8">
        <v>90</v>
      </c>
      <c r="C1117" s="8">
        <v>90</v>
      </c>
      <c r="D1117" s="8">
        <v>100</v>
      </c>
    </row>
    <row r="1118" spans="1:4">
      <c r="A1118" s="7" t="s">
        <v>696</v>
      </c>
      <c r="B1118" s="8">
        <v>90</v>
      </c>
      <c r="C1118" s="8">
        <v>90</v>
      </c>
      <c r="D1118" s="8">
        <v>100</v>
      </c>
    </row>
    <row r="1119" spans="1:4">
      <c r="A1119" s="7" t="s">
        <v>3127</v>
      </c>
      <c r="B1119" s="8">
        <v>90</v>
      </c>
      <c r="C1119" s="8">
        <v>90</v>
      </c>
      <c r="D1119" s="8">
        <v>100</v>
      </c>
    </row>
    <row r="1120" spans="1:4">
      <c r="A1120" s="7" t="s">
        <v>3128</v>
      </c>
      <c r="B1120" s="8">
        <v>90</v>
      </c>
      <c r="C1120" s="8">
        <v>90</v>
      </c>
      <c r="D1120" s="8">
        <v>100</v>
      </c>
    </row>
    <row r="1121" spans="1:4">
      <c r="A1121" s="7" t="s">
        <v>3129</v>
      </c>
      <c r="B1121" s="8">
        <v>90</v>
      </c>
      <c r="C1121" s="8">
        <v>90</v>
      </c>
      <c r="D1121" s="8">
        <v>100</v>
      </c>
    </row>
    <row r="1122" spans="1:4">
      <c r="A1122" s="7" t="s">
        <v>3130</v>
      </c>
      <c r="B1122" s="8">
        <v>90</v>
      </c>
      <c r="C1122" s="8">
        <v>90</v>
      </c>
      <c r="D1122" s="8">
        <v>100</v>
      </c>
    </row>
    <row r="1123" spans="1:4">
      <c r="A1123" s="7" t="s">
        <v>3131</v>
      </c>
      <c r="B1123" s="8">
        <v>90</v>
      </c>
      <c r="C1123" s="8">
        <v>90</v>
      </c>
      <c r="D1123" s="8">
        <v>100</v>
      </c>
    </row>
    <row r="1124" spans="1:4">
      <c r="A1124" s="7" t="s">
        <v>3132</v>
      </c>
      <c r="B1124" s="8">
        <v>90</v>
      </c>
      <c r="C1124" s="8">
        <v>90</v>
      </c>
      <c r="D1124" s="8">
        <v>100</v>
      </c>
    </row>
    <row r="1125" spans="1:4">
      <c r="A1125" s="7" t="s">
        <v>3133</v>
      </c>
      <c r="B1125" s="8">
        <v>90</v>
      </c>
      <c r="C1125" s="8">
        <v>90</v>
      </c>
      <c r="D1125" s="8">
        <v>100</v>
      </c>
    </row>
    <row r="1126" spans="1:4">
      <c r="A1126" s="7" t="s">
        <v>697</v>
      </c>
      <c r="B1126" s="8">
        <v>90</v>
      </c>
      <c r="C1126" s="8">
        <v>90</v>
      </c>
      <c r="D1126" s="8">
        <v>100</v>
      </c>
    </row>
    <row r="1127" spans="1:4">
      <c r="A1127" s="7" t="s">
        <v>698</v>
      </c>
      <c r="B1127" s="8">
        <v>90</v>
      </c>
      <c r="C1127" s="8">
        <v>90</v>
      </c>
      <c r="D1127" s="8">
        <v>100</v>
      </c>
    </row>
    <row r="1128" spans="1:4">
      <c r="A1128" s="7" t="s">
        <v>3134</v>
      </c>
      <c r="B1128" s="8">
        <v>90</v>
      </c>
      <c r="C1128" s="8">
        <v>90</v>
      </c>
      <c r="D1128" s="8">
        <v>100</v>
      </c>
    </row>
    <row r="1129" spans="1:4">
      <c r="A1129" s="7" t="s">
        <v>3135</v>
      </c>
      <c r="B1129" s="8">
        <v>90</v>
      </c>
      <c r="C1129" s="8">
        <v>90</v>
      </c>
      <c r="D1129" s="8">
        <v>100</v>
      </c>
    </row>
    <row r="1130" spans="1:4">
      <c r="A1130" s="7" t="s">
        <v>699</v>
      </c>
      <c r="B1130" s="8">
        <v>90</v>
      </c>
      <c r="C1130" s="8">
        <v>90</v>
      </c>
      <c r="D1130" s="8">
        <v>100</v>
      </c>
    </row>
    <row r="1131" spans="1:4">
      <c r="A1131" s="7" t="s">
        <v>3136</v>
      </c>
      <c r="B1131" s="8">
        <v>90</v>
      </c>
      <c r="C1131" s="8">
        <v>90</v>
      </c>
      <c r="D1131" s="8">
        <v>100</v>
      </c>
    </row>
    <row r="1132" spans="1:4">
      <c r="A1132" s="7" t="s">
        <v>3137</v>
      </c>
      <c r="B1132" s="8">
        <v>90</v>
      </c>
      <c r="C1132" s="8">
        <v>90</v>
      </c>
      <c r="D1132" s="8">
        <v>100</v>
      </c>
    </row>
    <row r="1133" spans="1:4">
      <c r="A1133" s="7" t="s">
        <v>3138</v>
      </c>
      <c r="B1133" s="8">
        <v>90</v>
      </c>
      <c r="C1133" s="8">
        <v>90</v>
      </c>
      <c r="D1133" s="8">
        <v>100</v>
      </c>
    </row>
    <row r="1134" spans="1:4">
      <c r="A1134" s="7" t="s">
        <v>691</v>
      </c>
      <c r="B1134" s="8">
        <v>100.03</v>
      </c>
      <c r="C1134" s="8">
        <v>100.03</v>
      </c>
      <c r="D1134" s="8">
        <v>100</v>
      </c>
    </row>
    <row r="1135" spans="1:4">
      <c r="A1135" s="7" t="s">
        <v>3139</v>
      </c>
      <c r="B1135" s="8">
        <v>6200.52</v>
      </c>
      <c r="C1135" s="8">
        <v>6586.42</v>
      </c>
      <c r="D1135" s="8">
        <v>94.14</v>
      </c>
    </row>
    <row r="1136" spans="1:4">
      <c r="A1136" s="7" t="s">
        <v>3140</v>
      </c>
      <c r="B1136" s="8">
        <v>685.25</v>
      </c>
      <c r="C1136" s="8">
        <v>776.85</v>
      </c>
      <c r="D1136" s="8">
        <v>88.21</v>
      </c>
    </row>
    <row r="1137" spans="1:4">
      <c r="A1137" s="7" t="s">
        <v>2575</v>
      </c>
      <c r="B1137" s="8">
        <v>14954.24</v>
      </c>
      <c r="C1137" s="8">
        <v>10550.82</v>
      </c>
      <c r="D1137" s="8">
        <v>141.74</v>
      </c>
    </row>
    <row r="1138" spans="1:4">
      <c r="A1138" s="7" t="s">
        <v>2586</v>
      </c>
      <c r="B1138" s="8">
        <v>631.70000000000005</v>
      </c>
      <c r="C1138" s="8">
        <v>781.42</v>
      </c>
      <c r="D1138" s="8">
        <v>80.84</v>
      </c>
    </row>
    <row r="1139" spans="1:4">
      <c r="A1139" s="7" t="s">
        <v>3141</v>
      </c>
      <c r="B1139" s="8">
        <v>7859.3</v>
      </c>
      <c r="C1139" s="8">
        <v>8032.41</v>
      </c>
      <c r="D1139" s="8">
        <v>97.84</v>
      </c>
    </row>
    <row r="1140" spans="1:4">
      <c r="A1140" s="7" t="s">
        <v>3142</v>
      </c>
      <c r="B1140" s="8">
        <v>423.74</v>
      </c>
      <c r="C1140" s="8">
        <v>415.91</v>
      </c>
      <c r="D1140" s="8">
        <v>101.88</v>
      </c>
    </row>
    <row r="1141" spans="1:4">
      <c r="A1141" s="7" t="s">
        <v>2567</v>
      </c>
      <c r="B1141" s="8">
        <v>17313.71</v>
      </c>
      <c r="C1141" s="8">
        <v>8523.01</v>
      </c>
      <c r="D1141" s="8">
        <v>203.14</v>
      </c>
    </row>
    <row r="1142" spans="1:4">
      <c r="A1142" s="7" t="s">
        <v>2578</v>
      </c>
      <c r="B1142" s="8">
        <v>592.80999999999995</v>
      </c>
      <c r="C1142" s="8">
        <v>610.48</v>
      </c>
      <c r="D1142" s="8">
        <v>97.11</v>
      </c>
    </row>
    <row r="1143" spans="1:4">
      <c r="A1143" s="7" t="s">
        <v>3143</v>
      </c>
      <c r="B1143" s="8">
        <v>4881.95</v>
      </c>
      <c r="C1143" s="8">
        <v>5377.84</v>
      </c>
      <c r="D1143" s="8">
        <v>90.78</v>
      </c>
    </row>
    <row r="1144" spans="1:4">
      <c r="A1144" s="7" t="s">
        <v>3144</v>
      </c>
      <c r="B1144" s="8">
        <v>445.89</v>
      </c>
      <c r="C1144" s="8">
        <v>476.22</v>
      </c>
      <c r="D1144" s="8">
        <v>93.63</v>
      </c>
    </row>
    <row r="1145" spans="1:4">
      <c r="A1145" s="7" t="s">
        <v>2569</v>
      </c>
      <c r="B1145" s="8">
        <v>14229.34</v>
      </c>
      <c r="C1145" s="8">
        <v>7740.82</v>
      </c>
      <c r="D1145" s="8">
        <v>183.82</v>
      </c>
    </row>
    <row r="1146" spans="1:4">
      <c r="A1146" s="7" t="s">
        <v>2580</v>
      </c>
      <c r="B1146" s="8">
        <v>617.79</v>
      </c>
      <c r="C1146" s="8">
        <v>670.79</v>
      </c>
      <c r="D1146" s="8">
        <v>92.1</v>
      </c>
    </row>
    <row r="1147" spans="1:4">
      <c r="A1147" s="7" t="s">
        <v>3145</v>
      </c>
      <c r="B1147" s="8">
        <v>11266</v>
      </c>
      <c r="C1147" s="8">
        <v>5346.42</v>
      </c>
      <c r="D1147" s="8">
        <v>210.72</v>
      </c>
    </row>
    <row r="1148" spans="1:4">
      <c r="A1148" s="7" t="s">
        <v>3146</v>
      </c>
      <c r="B1148" s="8">
        <v>454.54</v>
      </c>
      <c r="C1148" s="8">
        <v>476.22</v>
      </c>
      <c r="D1148" s="8">
        <v>95.45</v>
      </c>
    </row>
    <row r="1149" spans="1:4">
      <c r="A1149" s="7" t="s">
        <v>3147</v>
      </c>
      <c r="B1149" s="8">
        <v>18077.32</v>
      </c>
      <c r="C1149" s="8">
        <v>9025.24</v>
      </c>
      <c r="D1149" s="8">
        <v>200.3</v>
      </c>
    </row>
    <row r="1150" spans="1:4">
      <c r="A1150" s="7" t="s">
        <v>3148</v>
      </c>
      <c r="B1150" s="8">
        <v>617.79</v>
      </c>
      <c r="C1150" s="8">
        <v>670.79</v>
      </c>
      <c r="D1150" s="8">
        <v>92.1</v>
      </c>
    </row>
    <row r="1151" spans="1:4">
      <c r="A1151" s="7" t="s">
        <v>3149</v>
      </c>
      <c r="B1151" s="8">
        <v>454.3</v>
      </c>
      <c r="C1151" s="8">
        <v>476.22</v>
      </c>
      <c r="D1151" s="8">
        <v>95.4</v>
      </c>
    </row>
    <row r="1152" spans="1:4">
      <c r="A1152" s="7" t="s">
        <v>3150</v>
      </c>
      <c r="B1152" s="8">
        <v>1969.08</v>
      </c>
      <c r="C1152" s="8">
        <v>1582.03</v>
      </c>
      <c r="D1152" s="8">
        <v>124.47</v>
      </c>
    </row>
    <row r="1153" spans="1:4">
      <c r="A1153" s="7" t="s">
        <v>3151</v>
      </c>
      <c r="B1153" s="8">
        <v>617.79</v>
      </c>
      <c r="C1153" s="8">
        <v>670.79</v>
      </c>
      <c r="D1153" s="8">
        <v>92.1</v>
      </c>
    </row>
    <row r="1154" spans="1:4">
      <c r="A1154" s="7" t="s">
        <v>3152</v>
      </c>
      <c r="B1154" s="8">
        <v>468.51</v>
      </c>
      <c r="C1154" s="8">
        <v>536.54</v>
      </c>
      <c r="D1154" s="8">
        <v>87.32</v>
      </c>
    </row>
    <row r="1155" spans="1:4">
      <c r="A1155" s="7" t="s">
        <v>3153</v>
      </c>
      <c r="B1155" s="8">
        <v>2287.79</v>
      </c>
      <c r="C1155" s="8">
        <v>1712.03</v>
      </c>
      <c r="D1155" s="8">
        <v>133.63</v>
      </c>
    </row>
    <row r="1156" spans="1:4">
      <c r="A1156" s="7" t="s">
        <v>3154</v>
      </c>
      <c r="B1156" s="8">
        <v>642.78</v>
      </c>
      <c r="C1156" s="8">
        <v>731.11</v>
      </c>
      <c r="D1156" s="8">
        <v>87.92</v>
      </c>
    </row>
    <row r="1157" spans="1:4">
      <c r="A1157" s="7" t="s">
        <v>3155</v>
      </c>
      <c r="B1157" s="8">
        <v>479.52</v>
      </c>
      <c r="C1157" s="8">
        <v>536.54</v>
      </c>
      <c r="D1157" s="8">
        <v>89.37</v>
      </c>
    </row>
    <row r="1158" spans="1:4">
      <c r="A1158" s="7" t="s">
        <v>3156</v>
      </c>
      <c r="B1158" s="8">
        <v>2520.4699999999998</v>
      </c>
      <c r="C1158" s="8">
        <v>2452.0300000000002</v>
      </c>
      <c r="D1158" s="8">
        <v>102.79</v>
      </c>
    </row>
    <row r="1159" spans="1:4">
      <c r="A1159" s="7" t="s">
        <v>3157</v>
      </c>
      <c r="B1159" s="8">
        <v>642.78</v>
      </c>
      <c r="C1159" s="8">
        <v>731.11</v>
      </c>
      <c r="D1159" s="8">
        <v>87.92</v>
      </c>
    </row>
    <row r="1160" spans="1:4">
      <c r="A1160" s="7" t="s">
        <v>3158</v>
      </c>
      <c r="B1160" s="8">
        <v>421.59</v>
      </c>
      <c r="C1160" s="8">
        <v>415.91</v>
      </c>
      <c r="D1160" s="8">
        <v>101.37</v>
      </c>
    </row>
    <row r="1161" spans="1:4">
      <c r="A1161" s="7" t="s">
        <v>3159</v>
      </c>
      <c r="B1161" s="8">
        <v>1939.22</v>
      </c>
      <c r="C1161" s="8">
        <v>2129.63</v>
      </c>
      <c r="D1161" s="8">
        <v>91.06</v>
      </c>
    </row>
    <row r="1162" spans="1:4">
      <c r="A1162" s="7" t="s">
        <v>3160</v>
      </c>
      <c r="B1162" s="8">
        <v>592.80999999999995</v>
      </c>
      <c r="C1162" s="8">
        <v>610.48</v>
      </c>
      <c r="D1162" s="8">
        <v>97.11</v>
      </c>
    </row>
    <row r="1163" spans="1:4">
      <c r="A1163" s="7" t="s">
        <v>3161</v>
      </c>
      <c r="B1163" s="8">
        <v>4898.1000000000004</v>
      </c>
      <c r="C1163" s="8">
        <v>4366.42</v>
      </c>
      <c r="D1163" s="8">
        <v>112.18</v>
      </c>
    </row>
    <row r="1164" spans="1:4">
      <c r="A1164" s="7" t="s">
        <v>3162</v>
      </c>
      <c r="B1164" s="8">
        <v>419.49</v>
      </c>
      <c r="C1164" s="8">
        <v>415.91</v>
      </c>
      <c r="D1164" s="8">
        <v>100.86</v>
      </c>
    </row>
    <row r="1165" spans="1:4">
      <c r="A1165" s="7" t="s">
        <v>3163</v>
      </c>
      <c r="B1165" s="8">
        <v>8661.52</v>
      </c>
      <c r="C1165" s="8">
        <v>7368.05</v>
      </c>
      <c r="D1165" s="8">
        <v>117.56</v>
      </c>
    </row>
    <row r="1166" spans="1:4">
      <c r="A1166" s="7" t="s">
        <v>2264</v>
      </c>
      <c r="B1166" s="8">
        <v>592.80999999999995</v>
      </c>
      <c r="C1166" s="8">
        <v>610.48</v>
      </c>
      <c r="D1166" s="8">
        <v>97.11</v>
      </c>
    </row>
    <row r="1167" spans="1:4">
      <c r="A1167" s="7" t="s">
        <v>3164</v>
      </c>
      <c r="B1167" s="8">
        <v>5558.49</v>
      </c>
      <c r="C1167" s="8">
        <v>4588.62</v>
      </c>
      <c r="D1167" s="8">
        <v>121.14</v>
      </c>
    </row>
    <row r="1168" spans="1:4">
      <c r="A1168" s="7" t="s">
        <v>3165</v>
      </c>
      <c r="B1168" s="8">
        <v>480.16</v>
      </c>
      <c r="C1168" s="8">
        <v>536.54</v>
      </c>
      <c r="D1168" s="8">
        <v>89.49</v>
      </c>
    </row>
    <row r="1169" spans="1:4">
      <c r="A1169" s="7" t="s">
        <v>3166</v>
      </c>
      <c r="B1169" s="8">
        <v>8585.0300000000007</v>
      </c>
      <c r="C1169" s="8">
        <v>7266.25</v>
      </c>
      <c r="D1169" s="8">
        <v>118.15</v>
      </c>
    </row>
    <row r="1170" spans="1:4">
      <c r="A1170" s="7" t="s">
        <v>2266</v>
      </c>
      <c r="B1170" s="8">
        <v>642.78</v>
      </c>
      <c r="C1170" s="8">
        <v>731.11</v>
      </c>
      <c r="D1170" s="8">
        <v>87.92</v>
      </c>
    </row>
    <row r="1171" spans="1:4">
      <c r="A1171" s="7" t="s">
        <v>3167</v>
      </c>
      <c r="B1171" s="8">
        <v>4979.53</v>
      </c>
      <c r="C1171" s="8">
        <v>4488.62</v>
      </c>
      <c r="D1171" s="8">
        <v>110.94</v>
      </c>
    </row>
    <row r="1172" spans="1:4">
      <c r="A1172" s="7" t="s">
        <v>3168</v>
      </c>
      <c r="B1172" s="8">
        <v>480.25</v>
      </c>
      <c r="C1172" s="8">
        <v>536.54</v>
      </c>
      <c r="D1172" s="8">
        <v>89.51</v>
      </c>
    </row>
    <row r="1173" spans="1:4">
      <c r="A1173" s="7" t="s">
        <v>3169</v>
      </c>
      <c r="B1173" s="8">
        <v>8834.35</v>
      </c>
      <c r="C1173" s="8">
        <v>7002.25</v>
      </c>
      <c r="D1173" s="8">
        <v>126.16</v>
      </c>
    </row>
    <row r="1174" spans="1:4">
      <c r="A1174" s="7" t="s">
        <v>3170</v>
      </c>
      <c r="B1174" s="8">
        <v>642.78</v>
      </c>
      <c r="C1174" s="8">
        <v>731.11</v>
      </c>
      <c r="D1174" s="8">
        <v>87.92</v>
      </c>
    </row>
    <row r="1175" spans="1:4">
      <c r="A1175" s="7" t="s">
        <v>3171</v>
      </c>
      <c r="B1175" s="8">
        <v>5163.3500000000004</v>
      </c>
      <c r="C1175" s="8">
        <v>5506.98</v>
      </c>
      <c r="D1175" s="8">
        <v>93.76</v>
      </c>
    </row>
    <row r="1176" spans="1:4">
      <c r="A1176" s="7" t="s">
        <v>3172</v>
      </c>
      <c r="B1176" s="8">
        <v>685.42</v>
      </c>
      <c r="C1176" s="8">
        <v>776.85</v>
      </c>
      <c r="D1176" s="8">
        <v>88.23</v>
      </c>
    </row>
    <row r="1177" spans="1:4">
      <c r="A1177" s="7" t="s">
        <v>3173</v>
      </c>
      <c r="B1177" s="8">
        <v>12458.98</v>
      </c>
      <c r="C1177" s="8">
        <v>5690.82</v>
      </c>
      <c r="D1177" s="8">
        <v>218.93</v>
      </c>
    </row>
    <row r="1178" spans="1:4">
      <c r="A1178" s="7" t="s">
        <v>3174</v>
      </c>
      <c r="B1178" s="8">
        <v>634.46</v>
      </c>
      <c r="C1178" s="8">
        <v>781.42</v>
      </c>
      <c r="D1178" s="8">
        <v>81.19</v>
      </c>
    </row>
    <row r="1179" spans="1:4">
      <c r="A1179" s="7" t="s">
        <v>3175</v>
      </c>
      <c r="B1179" s="8">
        <v>451.43</v>
      </c>
      <c r="C1179" s="8">
        <v>441.22</v>
      </c>
      <c r="D1179" s="8">
        <v>102.31</v>
      </c>
    </row>
    <row r="1180" spans="1:4">
      <c r="A1180" s="7" t="s">
        <v>3176</v>
      </c>
      <c r="B1180" s="8">
        <v>10370.969999999999</v>
      </c>
      <c r="C1180" s="8">
        <v>7057.24</v>
      </c>
      <c r="D1180" s="8">
        <v>146.96</v>
      </c>
    </row>
    <row r="1181" spans="1:4">
      <c r="A1181" s="7" t="s">
        <v>3177</v>
      </c>
      <c r="B1181" s="8">
        <v>592.80999999999995</v>
      </c>
      <c r="C1181" s="8">
        <v>610.48</v>
      </c>
      <c r="D1181" s="8">
        <v>97.11</v>
      </c>
    </row>
    <row r="1182" spans="1:4">
      <c r="A1182" s="7" t="s">
        <v>3178</v>
      </c>
      <c r="B1182" s="8">
        <v>483.33</v>
      </c>
      <c r="C1182" s="8">
        <v>536.54</v>
      </c>
      <c r="D1182" s="8">
        <v>90.08</v>
      </c>
    </row>
    <row r="1183" spans="1:4">
      <c r="A1183" s="7" t="s">
        <v>3179</v>
      </c>
      <c r="B1183" s="8">
        <v>8923.02</v>
      </c>
      <c r="C1183" s="8">
        <v>7831.02</v>
      </c>
      <c r="D1183" s="8">
        <v>113.94</v>
      </c>
    </row>
    <row r="1184" spans="1:4">
      <c r="A1184" s="7" t="s">
        <v>3180</v>
      </c>
      <c r="B1184" s="8">
        <v>642.78</v>
      </c>
      <c r="C1184" s="8">
        <v>731.11</v>
      </c>
      <c r="D1184" s="8">
        <v>87.92</v>
      </c>
    </row>
    <row r="1185" spans="1:4">
      <c r="A1185" s="7" t="s">
        <v>3181</v>
      </c>
      <c r="B1185" s="8">
        <v>480.34</v>
      </c>
      <c r="C1185" s="8">
        <v>501.53</v>
      </c>
      <c r="D1185" s="8">
        <v>95.77</v>
      </c>
    </row>
    <row r="1186" spans="1:4">
      <c r="A1186" s="7" t="s">
        <v>3182</v>
      </c>
      <c r="B1186" s="8">
        <v>8168.78</v>
      </c>
      <c r="C1186" s="8">
        <v>7390.05</v>
      </c>
      <c r="D1186" s="8">
        <v>110.54</v>
      </c>
    </row>
    <row r="1187" spans="1:4">
      <c r="A1187" s="7" t="s">
        <v>3183</v>
      </c>
      <c r="B1187" s="8">
        <v>617.79</v>
      </c>
      <c r="C1187" s="8">
        <v>670.79</v>
      </c>
      <c r="D1187" s="8">
        <v>92.1</v>
      </c>
    </row>
    <row r="1188" spans="1:4">
      <c r="A1188" s="7" t="s">
        <v>2442</v>
      </c>
      <c r="B1188" s="8">
        <v>7680.93</v>
      </c>
      <c r="C1188" s="8">
        <v>4946.9799999999996</v>
      </c>
      <c r="D1188" s="8">
        <v>155.27000000000001</v>
      </c>
    </row>
    <row r="1189" spans="1:4">
      <c r="A1189" s="7" t="s">
        <v>2441</v>
      </c>
      <c r="B1189" s="8">
        <v>428.28</v>
      </c>
      <c r="C1189" s="8">
        <v>415.91</v>
      </c>
      <c r="D1189" s="8">
        <v>102.97</v>
      </c>
    </row>
    <row r="1190" spans="1:4">
      <c r="A1190" s="7" t="s">
        <v>2273</v>
      </c>
      <c r="B1190" s="8">
        <v>11936.48</v>
      </c>
      <c r="C1190" s="8">
        <v>3663.48</v>
      </c>
      <c r="D1190" s="8">
        <v>325.82</v>
      </c>
    </row>
    <row r="1191" spans="1:4">
      <c r="A1191" s="7" t="s">
        <v>2260</v>
      </c>
      <c r="B1191" s="8">
        <v>592.80999999999995</v>
      </c>
      <c r="C1191" s="8">
        <v>610.48</v>
      </c>
      <c r="D1191" s="8">
        <v>97.11</v>
      </c>
    </row>
    <row r="1192" spans="1:4">
      <c r="A1192" s="7" t="s">
        <v>3184</v>
      </c>
      <c r="B1192" s="8">
        <v>7639.09</v>
      </c>
      <c r="C1192" s="8">
        <v>1588.5</v>
      </c>
      <c r="D1192" s="8">
        <v>480.9</v>
      </c>
    </row>
    <row r="1193" spans="1:4">
      <c r="A1193" s="7" t="s">
        <v>3185</v>
      </c>
      <c r="B1193" s="8">
        <v>470.15</v>
      </c>
      <c r="C1193" s="8">
        <v>536.54</v>
      </c>
      <c r="D1193" s="8">
        <v>87.63</v>
      </c>
    </row>
    <row r="1194" spans="1:4">
      <c r="A1194" s="7" t="s">
        <v>3186</v>
      </c>
      <c r="B1194" s="8">
        <v>3228.74</v>
      </c>
      <c r="C1194" s="8">
        <v>3131.35</v>
      </c>
      <c r="D1194" s="8">
        <v>103.11</v>
      </c>
    </row>
    <row r="1195" spans="1:4">
      <c r="A1195" s="7" t="s">
        <v>2254</v>
      </c>
      <c r="B1195" s="8">
        <v>642.78</v>
      </c>
      <c r="C1195" s="8">
        <v>731.11</v>
      </c>
      <c r="D1195" s="8">
        <v>87.92</v>
      </c>
    </row>
    <row r="1196" spans="1:4">
      <c r="A1196" s="7" t="s">
        <v>3187</v>
      </c>
      <c r="B1196" s="8">
        <v>7663.28</v>
      </c>
      <c r="C1196" s="8">
        <v>5406.98</v>
      </c>
      <c r="D1196" s="8">
        <v>141.72999999999999</v>
      </c>
    </row>
    <row r="1197" spans="1:4">
      <c r="A1197" s="7" t="s">
        <v>3188</v>
      </c>
      <c r="B1197" s="8">
        <v>446.25</v>
      </c>
      <c r="C1197" s="8">
        <v>476.22</v>
      </c>
      <c r="D1197" s="8">
        <v>93.71</v>
      </c>
    </row>
    <row r="1198" spans="1:4">
      <c r="A1198" s="7" t="s">
        <v>3189</v>
      </c>
      <c r="B1198" s="8">
        <v>2576.04</v>
      </c>
      <c r="C1198" s="8">
        <v>2511.77</v>
      </c>
      <c r="D1198" s="8">
        <v>102.56</v>
      </c>
    </row>
    <row r="1199" spans="1:4">
      <c r="A1199" s="7" t="s">
        <v>2256</v>
      </c>
      <c r="B1199" s="8">
        <v>617.79</v>
      </c>
      <c r="C1199" s="8">
        <v>670.79</v>
      </c>
      <c r="D1199" s="8">
        <v>92.1</v>
      </c>
    </row>
    <row r="1200" spans="1:4">
      <c r="A1200" s="7" t="s">
        <v>2489</v>
      </c>
      <c r="B1200" s="8">
        <v>6938.93</v>
      </c>
      <c r="C1200" s="8">
        <v>5122</v>
      </c>
      <c r="D1200" s="8">
        <v>135.47</v>
      </c>
    </row>
    <row r="1201" spans="1:4">
      <c r="A1201" s="7" t="s">
        <v>2495</v>
      </c>
      <c r="B1201" s="8">
        <v>6369.02</v>
      </c>
      <c r="C1201" s="8">
        <v>4326.63</v>
      </c>
      <c r="D1201" s="8">
        <v>147.21</v>
      </c>
    </row>
    <row r="1202" spans="1:4">
      <c r="A1202" s="7" t="s">
        <v>3190</v>
      </c>
      <c r="B1202" s="8">
        <v>162.29</v>
      </c>
      <c r="C1202" s="8">
        <v>162.29</v>
      </c>
      <c r="D1202" s="8">
        <v>100</v>
      </c>
    </row>
    <row r="1203" spans="1:4">
      <c r="A1203" s="7" t="s">
        <v>3191</v>
      </c>
      <c r="B1203" s="8">
        <v>106.92</v>
      </c>
      <c r="C1203" s="8">
        <v>106.92</v>
      </c>
      <c r="D1203" s="8">
        <v>100</v>
      </c>
    </row>
    <row r="1204" spans="1:4">
      <c r="A1204" s="7" t="s">
        <v>3192</v>
      </c>
      <c r="B1204" s="8">
        <v>117.28</v>
      </c>
      <c r="C1204" s="8">
        <v>131.91999999999999</v>
      </c>
      <c r="D1204" s="8">
        <v>88.9</v>
      </c>
    </row>
    <row r="1205" spans="1:4">
      <c r="A1205" s="7" t="s">
        <v>3193</v>
      </c>
      <c r="B1205" s="8">
        <v>274.06</v>
      </c>
      <c r="C1205" s="8">
        <v>263.7</v>
      </c>
      <c r="D1205" s="8">
        <v>103.93</v>
      </c>
    </row>
    <row r="1206" spans="1:4">
      <c r="A1206" s="7" t="s">
        <v>3194</v>
      </c>
      <c r="B1206" s="8">
        <v>179.7</v>
      </c>
      <c r="C1206" s="8">
        <v>179.7</v>
      </c>
      <c r="D1206" s="8">
        <v>100</v>
      </c>
    </row>
    <row r="1207" spans="1:4">
      <c r="A1207" s="7" t="s">
        <v>3195</v>
      </c>
      <c r="B1207" s="8">
        <v>98.21</v>
      </c>
      <c r="C1207" s="8">
        <v>127.5</v>
      </c>
      <c r="D1207" s="8">
        <v>77.03</v>
      </c>
    </row>
    <row r="1208" spans="1:4">
      <c r="A1208" s="7" t="s">
        <v>2487</v>
      </c>
      <c r="B1208" s="8">
        <v>97</v>
      </c>
      <c r="C1208" s="8">
        <v>97</v>
      </c>
      <c r="D1208" s="8">
        <v>100</v>
      </c>
    </row>
    <row r="1209" spans="1:4">
      <c r="A1209" s="7" t="s">
        <v>3196</v>
      </c>
      <c r="B1209" s="8">
        <v>560.39</v>
      </c>
      <c r="C1209" s="8">
        <v>581.54</v>
      </c>
      <c r="D1209" s="8">
        <v>96.36</v>
      </c>
    </row>
    <row r="1210" spans="1:4">
      <c r="A1210" s="7" t="s">
        <v>2486</v>
      </c>
      <c r="B1210" s="8">
        <v>169.07</v>
      </c>
      <c r="C1210" s="8">
        <v>172</v>
      </c>
      <c r="D1210" s="8">
        <v>98.3</v>
      </c>
    </row>
    <row r="1211" spans="1:4">
      <c r="A1211" s="7" t="s">
        <v>3197</v>
      </c>
      <c r="B1211" s="8">
        <v>239.07</v>
      </c>
      <c r="C1211" s="8">
        <v>242</v>
      </c>
      <c r="D1211" s="8">
        <v>98.79</v>
      </c>
    </row>
    <row r="1212" spans="1:4">
      <c r="A1212" s="7" t="s">
        <v>3198</v>
      </c>
      <c r="B1212" s="8">
        <v>98.21</v>
      </c>
      <c r="C1212" s="8">
        <v>127.5</v>
      </c>
      <c r="D1212" s="8">
        <v>77.03</v>
      </c>
    </row>
    <row r="1213" spans="1:4">
      <c r="A1213" s="7" t="s">
        <v>2493</v>
      </c>
      <c r="B1213" s="8">
        <v>97</v>
      </c>
      <c r="C1213" s="8">
        <v>97</v>
      </c>
      <c r="D1213" s="8">
        <v>100</v>
      </c>
    </row>
    <row r="1214" spans="1:4">
      <c r="A1214" s="7" t="s">
        <v>3199</v>
      </c>
      <c r="B1214" s="8">
        <v>560.39</v>
      </c>
      <c r="C1214" s="8">
        <v>581.54</v>
      </c>
      <c r="D1214" s="8">
        <v>96.36</v>
      </c>
    </row>
    <row r="1215" spans="1:4">
      <c r="A1215" s="7" t="s">
        <v>2492</v>
      </c>
      <c r="B1215" s="8">
        <v>169.07</v>
      </c>
      <c r="C1215" s="8">
        <v>172</v>
      </c>
      <c r="D1215" s="8">
        <v>98.3</v>
      </c>
    </row>
    <row r="1216" spans="1:4">
      <c r="A1216" s="7" t="s">
        <v>3200</v>
      </c>
      <c r="B1216" s="8">
        <v>239.07</v>
      </c>
      <c r="C1216" s="8">
        <v>242</v>
      </c>
      <c r="D1216" s="8">
        <v>98.79</v>
      </c>
    </row>
    <row r="1217" spans="1:4">
      <c r="A1217" s="7" t="s">
        <v>3201</v>
      </c>
      <c r="B1217" s="8">
        <v>9527.17</v>
      </c>
      <c r="C1217" s="8">
        <v>5668.62</v>
      </c>
      <c r="D1217" s="8">
        <v>168.07</v>
      </c>
    </row>
    <row r="1218" spans="1:4">
      <c r="A1218" s="7" t="s">
        <v>3202</v>
      </c>
      <c r="B1218" s="8">
        <v>451.46</v>
      </c>
      <c r="C1218" s="8">
        <v>476.22</v>
      </c>
      <c r="D1218" s="8">
        <v>94.8</v>
      </c>
    </row>
    <row r="1219" spans="1:4">
      <c r="A1219" s="7" t="s">
        <v>3203</v>
      </c>
      <c r="B1219" s="8">
        <v>13462.53</v>
      </c>
      <c r="C1219" s="8">
        <v>7554.05</v>
      </c>
      <c r="D1219" s="8">
        <v>178.22</v>
      </c>
    </row>
    <row r="1220" spans="1:4">
      <c r="A1220" s="7" t="s">
        <v>2262</v>
      </c>
      <c r="B1220" s="8">
        <v>617.79</v>
      </c>
      <c r="C1220" s="8">
        <v>670.79</v>
      </c>
      <c r="D1220" s="8">
        <v>92.1</v>
      </c>
    </row>
    <row r="1221" spans="1:4">
      <c r="A1221" s="7" t="s">
        <v>3204</v>
      </c>
      <c r="B1221" s="8">
        <v>14074.46</v>
      </c>
      <c r="C1221" s="8">
        <v>4753.72</v>
      </c>
      <c r="D1221" s="8">
        <v>296.07</v>
      </c>
    </row>
    <row r="1222" spans="1:4">
      <c r="A1222" s="7" t="s">
        <v>3205</v>
      </c>
      <c r="B1222" s="8">
        <v>477.78</v>
      </c>
      <c r="C1222" s="8">
        <v>536.54</v>
      </c>
      <c r="D1222" s="8">
        <v>89.05</v>
      </c>
    </row>
    <row r="1223" spans="1:4">
      <c r="A1223" s="7" t="s">
        <v>3206</v>
      </c>
      <c r="B1223" s="8">
        <v>12637.19</v>
      </c>
      <c r="C1223" s="8">
        <v>5655.01</v>
      </c>
      <c r="D1223" s="8">
        <v>223.47</v>
      </c>
    </row>
    <row r="1224" spans="1:4">
      <c r="A1224" s="7" t="s">
        <v>3207</v>
      </c>
      <c r="B1224" s="8">
        <v>642.78</v>
      </c>
      <c r="C1224" s="8">
        <v>731.11</v>
      </c>
      <c r="D1224" s="8">
        <v>87.92</v>
      </c>
    </row>
    <row r="1225" spans="1:4">
      <c r="A1225" s="7" t="s">
        <v>3208</v>
      </c>
      <c r="B1225" s="8">
        <v>8761.11</v>
      </c>
      <c r="C1225" s="8">
        <v>4146.9799999999996</v>
      </c>
      <c r="D1225" s="8">
        <v>211.26</v>
      </c>
    </row>
    <row r="1226" spans="1:4">
      <c r="A1226" s="7" t="s">
        <v>3209</v>
      </c>
      <c r="B1226" s="8">
        <v>685.81</v>
      </c>
      <c r="C1226" s="8">
        <v>776.85</v>
      </c>
      <c r="D1226" s="8">
        <v>88.28</v>
      </c>
    </row>
    <row r="1227" spans="1:4">
      <c r="A1227" s="7" t="s">
        <v>3210</v>
      </c>
      <c r="B1227" s="8">
        <v>7539.56</v>
      </c>
      <c r="C1227" s="8">
        <v>5347.24</v>
      </c>
      <c r="D1227" s="8">
        <v>141</v>
      </c>
    </row>
    <row r="1228" spans="1:4">
      <c r="A1228" s="7" t="s">
        <v>3211</v>
      </c>
      <c r="B1228" s="8">
        <v>631.24</v>
      </c>
      <c r="C1228" s="8">
        <v>781.42</v>
      </c>
      <c r="D1228" s="8">
        <v>80.78</v>
      </c>
    </row>
    <row r="1229" spans="1:4">
      <c r="A1229" s="7" t="s">
        <v>3212</v>
      </c>
      <c r="B1229" s="8">
        <v>5681.8</v>
      </c>
      <c r="C1229" s="8">
        <v>6006.42</v>
      </c>
      <c r="D1229" s="8">
        <v>94.6</v>
      </c>
    </row>
    <row r="1230" spans="1:4">
      <c r="A1230" s="7" t="s">
        <v>3213</v>
      </c>
      <c r="B1230" s="8">
        <v>457.11</v>
      </c>
      <c r="C1230" s="8">
        <v>476.22</v>
      </c>
      <c r="D1230" s="8">
        <v>95.99</v>
      </c>
    </row>
    <row r="1231" spans="1:4">
      <c r="A1231" s="7" t="s">
        <v>3214</v>
      </c>
      <c r="B1231" s="8">
        <v>8298.9699999999993</v>
      </c>
      <c r="C1231" s="8">
        <v>7258.84</v>
      </c>
      <c r="D1231" s="8">
        <v>114.33</v>
      </c>
    </row>
    <row r="1232" spans="1:4">
      <c r="A1232" s="7" t="s">
        <v>3215</v>
      </c>
      <c r="B1232" s="8">
        <v>617.79</v>
      </c>
      <c r="C1232" s="8">
        <v>670.79</v>
      </c>
      <c r="D1232" s="8">
        <v>92.1</v>
      </c>
    </row>
    <row r="1233" spans="1:4">
      <c r="A1233" s="7" t="s">
        <v>3216</v>
      </c>
      <c r="B1233" s="8">
        <v>7296.61</v>
      </c>
      <c r="C1233" s="8">
        <v>6428.62</v>
      </c>
      <c r="D1233" s="8">
        <v>113.5</v>
      </c>
    </row>
    <row r="1234" spans="1:4">
      <c r="A1234" s="7" t="s">
        <v>3217</v>
      </c>
      <c r="B1234" s="8">
        <v>680.96</v>
      </c>
      <c r="C1234" s="8">
        <v>776.85</v>
      </c>
      <c r="D1234" s="8">
        <v>87.66</v>
      </c>
    </row>
    <row r="1235" spans="1:4">
      <c r="A1235" s="7" t="s">
        <v>3218</v>
      </c>
      <c r="B1235" s="8">
        <v>9773.9699999999993</v>
      </c>
      <c r="C1235" s="8">
        <v>7660.25</v>
      </c>
      <c r="D1235" s="8">
        <v>127.59</v>
      </c>
    </row>
    <row r="1236" spans="1:4">
      <c r="A1236" s="7" t="s">
        <v>3219</v>
      </c>
      <c r="B1236" s="8">
        <v>630.87</v>
      </c>
      <c r="C1236" s="8">
        <v>781.42</v>
      </c>
      <c r="D1236" s="8">
        <v>80.73</v>
      </c>
    </row>
    <row r="1237" spans="1:4">
      <c r="A1237" s="7" t="s">
        <v>3220</v>
      </c>
      <c r="B1237" s="8">
        <v>7523.35</v>
      </c>
      <c r="C1237" s="8">
        <v>6866.42</v>
      </c>
      <c r="D1237" s="8">
        <v>109.57</v>
      </c>
    </row>
    <row r="1238" spans="1:4">
      <c r="A1238" s="7" t="s">
        <v>3221</v>
      </c>
      <c r="B1238" s="8">
        <v>677.94</v>
      </c>
      <c r="C1238" s="8">
        <v>776.85</v>
      </c>
      <c r="D1238" s="8">
        <v>87.27</v>
      </c>
    </row>
    <row r="1239" spans="1:4">
      <c r="A1239" s="7" t="s">
        <v>3222</v>
      </c>
      <c r="B1239" s="8">
        <v>12172.35</v>
      </c>
      <c r="C1239" s="8">
        <v>8448.25</v>
      </c>
      <c r="D1239" s="8">
        <v>144.08000000000001</v>
      </c>
    </row>
    <row r="1240" spans="1:4">
      <c r="A1240" s="7" t="s">
        <v>3223</v>
      </c>
      <c r="B1240" s="8">
        <v>632.91999999999996</v>
      </c>
      <c r="C1240" s="8">
        <v>781.42</v>
      </c>
      <c r="D1240" s="8">
        <v>81</v>
      </c>
    </row>
    <row r="1241" spans="1:4">
      <c r="A1241" s="7" t="s">
        <v>2439</v>
      </c>
      <c r="B1241" s="8">
        <v>7680.63</v>
      </c>
      <c r="C1241" s="8">
        <v>1828.59</v>
      </c>
      <c r="D1241" s="8">
        <v>420.03</v>
      </c>
    </row>
    <row r="1242" spans="1:4">
      <c r="A1242" s="7" t="s">
        <v>2438</v>
      </c>
      <c r="B1242" s="8">
        <v>428.62</v>
      </c>
      <c r="C1242" s="8">
        <v>415.91</v>
      </c>
      <c r="D1242" s="8">
        <v>103.06</v>
      </c>
    </row>
    <row r="1243" spans="1:4">
      <c r="A1243" s="7" t="s">
        <v>3224</v>
      </c>
      <c r="B1243" s="8">
        <v>3992.3</v>
      </c>
      <c r="C1243" s="8">
        <v>2959.44</v>
      </c>
      <c r="D1243" s="8">
        <v>134.9</v>
      </c>
    </row>
    <row r="1244" spans="1:4">
      <c r="A1244" s="7" t="s">
        <v>2258</v>
      </c>
      <c r="B1244" s="8">
        <v>592.80999999999995</v>
      </c>
      <c r="C1244" s="8">
        <v>610.48</v>
      </c>
      <c r="D1244" s="8">
        <v>97.11</v>
      </c>
    </row>
    <row r="1245" spans="1:4">
      <c r="A1245" s="7" t="s">
        <v>3225</v>
      </c>
      <c r="B1245" s="8">
        <v>1649.4</v>
      </c>
      <c r="C1245" s="8">
        <v>1356.67</v>
      </c>
      <c r="D1245" s="8">
        <v>121.58</v>
      </c>
    </row>
    <row r="1246" spans="1:4">
      <c r="A1246" s="7" t="s">
        <v>3226</v>
      </c>
      <c r="B1246" s="8">
        <v>505.09</v>
      </c>
      <c r="C1246" s="8">
        <v>561.85</v>
      </c>
      <c r="D1246" s="8">
        <v>89.9</v>
      </c>
    </row>
    <row r="1247" spans="1:4">
      <c r="A1247" s="7" t="s">
        <v>3227</v>
      </c>
      <c r="B1247" s="8">
        <v>780.23</v>
      </c>
      <c r="C1247" s="8">
        <v>767.79</v>
      </c>
      <c r="D1247" s="8">
        <v>101.62</v>
      </c>
    </row>
    <row r="1248" spans="1:4">
      <c r="A1248" s="7" t="s">
        <v>3228</v>
      </c>
      <c r="B1248" s="8">
        <v>642.78</v>
      </c>
      <c r="C1248" s="8">
        <v>731.11</v>
      </c>
      <c r="D1248" s="8">
        <v>87.92</v>
      </c>
    </row>
    <row r="1249" spans="1:4">
      <c r="A1249" s="7" t="s">
        <v>3229</v>
      </c>
      <c r="B1249" s="8">
        <v>84.76</v>
      </c>
      <c r="C1249" s="8">
        <v>84.76</v>
      </c>
      <c r="D1249" s="8">
        <v>100</v>
      </c>
    </row>
    <row r="1250" spans="1:4">
      <c r="A1250" s="7" t="s">
        <v>3230</v>
      </c>
      <c r="B1250" s="8">
        <v>5808.59</v>
      </c>
      <c r="C1250" s="8">
        <v>6136.58</v>
      </c>
      <c r="D1250" s="8">
        <v>94.66</v>
      </c>
    </row>
    <row r="1251" spans="1:4">
      <c r="A1251" s="7" t="s">
        <v>3231</v>
      </c>
      <c r="B1251" s="8">
        <v>681.46</v>
      </c>
      <c r="C1251" s="8">
        <v>776.85</v>
      </c>
      <c r="D1251" s="8">
        <v>87.72</v>
      </c>
    </row>
    <row r="1252" spans="1:4">
      <c r="A1252" s="7" t="s">
        <v>3232</v>
      </c>
      <c r="B1252" s="8">
        <v>5707.94</v>
      </c>
      <c r="C1252" s="8">
        <v>6226.58</v>
      </c>
      <c r="D1252" s="8">
        <v>91.67</v>
      </c>
    </row>
    <row r="1253" spans="1:4">
      <c r="A1253" s="7" t="s">
        <v>3233</v>
      </c>
      <c r="B1253" s="8">
        <v>637.1</v>
      </c>
      <c r="C1253" s="8">
        <v>781.42</v>
      </c>
      <c r="D1253" s="8">
        <v>81.53</v>
      </c>
    </row>
    <row r="1254" spans="1:4">
      <c r="A1254" s="7" t="s">
        <v>3234</v>
      </c>
      <c r="B1254" s="8">
        <v>20787.48</v>
      </c>
      <c r="C1254" s="8">
        <v>8541.2199999999993</v>
      </c>
      <c r="D1254" s="8">
        <v>243.38</v>
      </c>
    </row>
    <row r="1255" spans="1:4">
      <c r="A1255" s="7" t="s">
        <v>3235</v>
      </c>
      <c r="B1255" s="8">
        <v>421.38</v>
      </c>
      <c r="C1255" s="8">
        <v>415.91</v>
      </c>
      <c r="D1255" s="8">
        <v>101.32</v>
      </c>
    </row>
    <row r="1256" spans="1:4">
      <c r="A1256" s="7" t="s">
        <v>3236</v>
      </c>
      <c r="B1256" s="8">
        <v>26607.49</v>
      </c>
      <c r="C1256" s="8">
        <v>10106.02</v>
      </c>
      <c r="D1256" s="8">
        <v>263.27999999999997</v>
      </c>
    </row>
    <row r="1257" spans="1:4">
      <c r="A1257" s="7" t="s">
        <v>3237</v>
      </c>
      <c r="B1257" s="8">
        <v>592.80999999999995</v>
      </c>
      <c r="C1257" s="8">
        <v>610.48</v>
      </c>
      <c r="D1257" s="8">
        <v>97.11</v>
      </c>
    </row>
    <row r="1258" spans="1:4">
      <c r="A1258" s="7" t="s">
        <v>3238</v>
      </c>
      <c r="B1258" s="8">
        <v>6059.78</v>
      </c>
      <c r="C1258" s="8">
        <v>5801.22</v>
      </c>
      <c r="D1258" s="8">
        <v>104.46</v>
      </c>
    </row>
    <row r="1259" spans="1:4">
      <c r="A1259" s="7" t="s">
        <v>3239</v>
      </c>
      <c r="B1259" s="8">
        <v>676.22</v>
      </c>
      <c r="C1259" s="8">
        <v>776.85</v>
      </c>
      <c r="D1259" s="8">
        <v>87.05</v>
      </c>
    </row>
    <row r="1260" spans="1:4">
      <c r="A1260" s="7" t="s">
        <v>2594</v>
      </c>
      <c r="B1260" s="8">
        <v>10681.58</v>
      </c>
      <c r="C1260" s="8">
        <v>7311.22</v>
      </c>
      <c r="D1260" s="8">
        <v>146.1</v>
      </c>
    </row>
    <row r="1261" spans="1:4">
      <c r="A1261" s="7" t="s">
        <v>2593</v>
      </c>
      <c r="B1261" s="8">
        <v>637.22</v>
      </c>
      <c r="C1261" s="8">
        <v>781.42</v>
      </c>
      <c r="D1261" s="8">
        <v>81.55</v>
      </c>
    </row>
    <row r="1262" spans="1:4">
      <c r="A1262" s="7" t="s">
        <v>3240</v>
      </c>
      <c r="B1262" s="8">
        <v>7815.1</v>
      </c>
      <c r="C1262" s="8">
        <v>7561.22</v>
      </c>
      <c r="D1262" s="8">
        <v>103.36</v>
      </c>
    </row>
    <row r="1263" spans="1:4">
      <c r="A1263" s="7" t="s">
        <v>3241</v>
      </c>
      <c r="B1263" s="8">
        <v>419.7</v>
      </c>
      <c r="C1263" s="8">
        <v>415.91</v>
      </c>
      <c r="D1263" s="8">
        <v>100.91</v>
      </c>
    </row>
    <row r="1264" spans="1:4">
      <c r="A1264" s="7" t="s">
        <v>2596</v>
      </c>
      <c r="B1264" s="8">
        <v>14284.37</v>
      </c>
      <c r="C1264" s="8">
        <v>9021.2199999999993</v>
      </c>
      <c r="D1264" s="8">
        <v>158.34</v>
      </c>
    </row>
    <row r="1265" spans="1:4">
      <c r="A1265" s="7" t="s">
        <v>2595</v>
      </c>
      <c r="B1265" s="8">
        <v>592.80999999999995</v>
      </c>
      <c r="C1265" s="8">
        <v>610.48</v>
      </c>
      <c r="D1265" s="8">
        <v>97.11</v>
      </c>
    </row>
    <row r="1266" spans="1:4">
      <c r="A1266" s="7" t="s">
        <v>2444</v>
      </c>
      <c r="B1266" s="8">
        <v>7422.64</v>
      </c>
      <c r="C1266" s="8">
        <v>2072.77</v>
      </c>
      <c r="D1266" s="8">
        <v>358.1</v>
      </c>
    </row>
    <row r="1267" spans="1:4">
      <c r="A1267" s="7" t="s">
        <v>2443</v>
      </c>
      <c r="B1267" s="8">
        <v>686.82</v>
      </c>
      <c r="C1267" s="8">
        <v>776.85</v>
      </c>
      <c r="D1267" s="8">
        <v>88.41</v>
      </c>
    </row>
    <row r="1268" spans="1:4">
      <c r="A1268" s="7" t="s">
        <v>2289</v>
      </c>
      <c r="B1268" s="8">
        <v>2087.41</v>
      </c>
      <c r="C1268" s="8">
        <v>2271.4299999999998</v>
      </c>
      <c r="D1268" s="8">
        <v>91.9</v>
      </c>
    </row>
    <row r="1269" spans="1:4">
      <c r="A1269" s="7" t="s">
        <v>2288</v>
      </c>
      <c r="B1269" s="8">
        <v>642.72</v>
      </c>
      <c r="C1269" s="8">
        <v>781.42</v>
      </c>
      <c r="D1269" s="8">
        <v>82.25</v>
      </c>
    </row>
    <row r="1270" spans="1:4">
      <c r="A1270" s="7" t="s">
        <v>3242</v>
      </c>
      <c r="B1270" s="8">
        <v>5099.16</v>
      </c>
      <c r="C1270" s="8">
        <v>5156.58</v>
      </c>
      <c r="D1270" s="8">
        <v>98.89</v>
      </c>
    </row>
    <row r="1271" spans="1:4">
      <c r="A1271" s="7" t="s">
        <v>3243</v>
      </c>
      <c r="B1271" s="8">
        <v>453.76</v>
      </c>
      <c r="C1271" s="8">
        <v>476.22</v>
      </c>
      <c r="D1271" s="8">
        <v>95.28</v>
      </c>
    </row>
    <row r="1272" spans="1:4">
      <c r="A1272" s="7" t="s">
        <v>3244</v>
      </c>
      <c r="B1272" s="8">
        <v>4600.68</v>
      </c>
      <c r="C1272" s="8">
        <v>4696.58</v>
      </c>
      <c r="D1272" s="8">
        <v>97.96</v>
      </c>
    </row>
    <row r="1273" spans="1:4">
      <c r="A1273" s="7" t="s">
        <v>3245</v>
      </c>
      <c r="B1273" s="8">
        <v>617.79</v>
      </c>
      <c r="C1273" s="8">
        <v>670.79</v>
      </c>
      <c r="D1273" s="8">
        <v>92.1</v>
      </c>
    </row>
    <row r="1274" spans="1:4">
      <c r="A1274" s="7" t="s">
        <v>3246</v>
      </c>
      <c r="B1274" s="8">
        <v>171.76</v>
      </c>
      <c r="C1274" s="8">
        <v>11302.65</v>
      </c>
      <c r="D1274" s="8">
        <v>1.52</v>
      </c>
    </row>
    <row r="1275" spans="1:4">
      <c r="A1275" s="7" t="s">
        <v>3247</v>
      </c>
      <c r="B1275" s="8">
        <v>16071.67</v>
      </c>
      <c r="C1275" s="8">
        <v>13796.47</v>
      </c>
      <c r="D1275" s="8">
        <v>116.49</v>
      </c>
    </row>
    <row r="1276" spans="1:4">
      <c r="A1276" s="7" t="s">
        <v>3248</v>
      </c>
      <c r="B1276" s="8">
        <v>92.71</v>
      </c>
      <c r="C1276" s="8">
        <v>11402.56</v>
      </c>
      <c r="D1276" s="8">
        <v>0.81</v>
      </c>
    </row>
    <row r="1277" spans="1:4">
      <c r="A1277" s="7" t="s">
        <v>3249</v>
      </c>
      <c r="B1277" s="8">
        <v>4126.62</v>
      </c>
      <c r="C1277" s="8">
        <v>2900</v>
      </c>
      <c r="D1277" s="8">
        <v>142.30000000000001</v>
      </c>
    </row>
    <row r="1278" spans="1:4">
      <c r="A1278" s="7" t="s">
        <v>3250</v>
      </c>
      <c r="B1278" s="8">
        <v>7109.53</v>
      </c>
      <c r="C1278" s="8">
        <v>5841.9</v>
      </c>
      <c r="D1278" s="8">
        <v>121.7</v>
      </c>
    </row>
    <row r="1279" spans="1:4">
      <c r="A1279" s="7" t="s">
        <v>3251</v>
      </c>
      <c r="B1279" s="8">
        <v>185.43</v>
      </c>
      <c r="C1279" s="8">
        <v>185.43</v>
      </c>
      <c r="D1279" s="8">
        <v>100</v>
      </c>
    </row>
    <row r="1280" spans="1:4">
      <c r="A1280" s="7" t="s">
        <v>3252</v>
      </c>
      <c r="B1280" s="8">
        <v>185.43</v>
      </c>
      <c r="C1280" s="8">
        <v>185.43</v>
      </c>
      <c r="D1280" s="8">
        <v>100</v>
      </c>
    </row>
    <row r="1281" spans="1:4">
      <c r="A1281" s="7" t="s">
        <v>3253</v>
      </c>
      <c r="B1281" s="8">
        <v>185.43</v>
      </c>
      <c r="C1281" s="8">
        <v>185.43</v>
      </c>
      <c r="D1281" s="8">
        <v>100</v>
      </c>
    </row>
    <row r="1282" spans="1:4">
      <c r="A1282" s="7" t="s">
        <v>3254</v>
      </c>
      <c r="B1282" s="8">
        <v>100.18</v>
      </c>
      <c r="C1282" s="8">
        <v>100.18</v>
      </c>
      <c r="D1282" s="8">
        <v>100</v>
      </c>
    </row>
    <row r="1283" spans="1:4">
      <c r="A1283" s="7" t="s">
        <v>3255</v>
      </c>
      <c r="B1283" s="8">
        <v>185.43</v>
      </c>
      <c r="C1283" s="8">
        <v>185.43</v>
      </c>
      <c r="D1283" s="8">
        <v>100</v>
      </c>
    </row>
    <row r="1284" spans="1:4">
      <c r="A1284" s="7" t="s">
        <v>3256</v>
      </c>
      <c r="B1284" s="8">
        <v>185.43</v>
      </c>
      <c r="C1284" s="8">
        <v>185.43</v>
      </c>
      <c r="D1284" s="8">
        <v>100</v>
      </c>
    </row>
    <row r="1285" spans="1:4">
      <c r="A1285" s="7" t="s">
        <v>3257</v>
      </c>
      <c r="B1285" s="8">
        <v>185.43</v>
      </c>
      <c r="C1285" s="8">
        <v>185.43</v>
      </c>
      <c r="D1285" s="8">
        <v>100</v>
      </c>
    </row>
    <row r="1286" spans="1:4">
      <c r="A1286" s="7" t="s">
        <v>3258</v>
      </c>
      <c r="B1286" s="8">
        <v>185.43</v>
      </c>
      <c r="C1286" s="8">
        <v>185.43</v>
      </c>
      <c r="D1286" s="8">
        <v>100</v>
      </c>
    </row>
    <row r="1287" spans="1:4">
      <c r="A1287" s="7" t="s">
        <v>3259</v>
      </c>
      <c r="B1287" s="8">
        <v>185.43</v>
      </c>
      <c r="C1287" s="8">
        <v>185.43</v>
      </c>
      <c r="D1287" s="8">
        <v>100</v>
      </c>
    </row>
    <row r="1288" spans="1:4">
      <c r="A1288" s="7" t="s">
        <v>3260</v>
      </c>
      <c r="B1288" s="8">
        <v>185.43</v>
      </c>
      <c r="C1288" s="8">
        <v>185.43</v>
      </c>
      <c r="D1288" s="8">
        <v>100</v>
      </c>
    </row>
    <row r="1289" spans="1:4">
      <c r="A1289" s="7" t="s">
        <v>3261</v>
      </c>
      <c r="B1289" s="8">
        <v>185.43</v>
      </c>
      <c r="C1289" s="8">
        <v>185.43</v>
      </c>
      <c r="D1289" s="8">
        <v>100</v>
      </c>
    </row>
    <row r="1290" spans="1:4">
      <c r="A1290" s="7" t="s">
        <v>3262</v>
      </c>
      <c r="B1290" s="8">
        <v>185.43</v>
      </c>
      <c r="C1290" s="8">
        <v>185.43</v>
      </c>
      <c r="D1290" s="8">
        <v>100</v>
      </c>
    </row>
    <row r="1291" spans="1:4">
      <c r="A1291" s="7" t="s">
        <v>3263</v>
      </c>
      <c r="B1291" s="8">
        <v>185.43</v>
      </c>
      <c r="C1291" s="8">
        <v>185.43</v>
      </c>
      <c r="D1291" s="8">
        <v>100</v>
      </c>
    </row>
    <row r="1292" spans="1:4">
      <c r="A1292" s="7" t="s">
        <v>3264</v>
      </c>
      <c r="B1292" s="8">
        <v>100</v>
      </c>
      <c r="C1292" s="8">
        <v>100</v>
      </c>
      <c r="D1292" s="8">
        <v>100</v>
      </c>
    </row>
    <row r="1293" spans="1:4">
      <c r="A1293" s="7" t="s">
        <v>3265</v>
      </c>
      <c r="B1293" s="8">
        <v>185.43</v>
      </c>
      <c r="C1293" s="8">
        <v>185.43</v>
      </c>
      <c r="D1293" s="8">
        <v>100</v>
      </c>
    </row>
    <row r="1294" spans="1:4">
      <c r="A1294" s="7" t="s">
        <v>3266</v>
      </c>
      <c r="B1294" s="8">
        <v>185.43</v>
      </c>
      <c r="C1294" s="8">
        <v>185.43</v>
      </c>
      <c r="D1294" s="8">
        <v>100</v>
      </c>
    </row>
    <row r="1295" spans="1:4">
      <c r="A1295" s="7" t="s">
        <v>3267</v>
      </c>
      <c r="B1295" s="8">
        <v>482.57</v>
      </c>
      <c r="C1295" s="8">
        <v>549.16</v>
      </c>
      <c r="D1295" s="8">
        <v>87.87</v>
      </c>
    </row>
    <row r="1296" spans="1:4">
      <c r="A1296" s="7" t="s">
        <v>702</v>
      </c>
      <c r="B1296" s="8">
        <v>100</v>
      </c>
      <c r="C1296" s="8">
        <v>100</v>
      </c>
      <c r="D1296" s="8">
        <v>100</v>
      </c>
    </row>
    <row r="1297" spans="1:4">
      <c r="A1297" s="7" t="s">
        <v>3268</v>
      </c>
      <c r="B1297" s="8">
        <v>100</v>
      </c>
      <c r="C1297" s="8">
        <v>100</v>
      </c>
      <c r="D1297" s="8">
        <v>100</v>
      </c>
    </row>
    <row r="1298" spans="1:4">
      <c r="A1298" s="7" t="s">
        <v>3269</v>
      </c>
      <c r="B1298" s="8">
        <v>2128.12</v>
      </c>
      <c r="C1298" s="8">
        <v>1089.3499999999999</v>
      </c>
      <c r="D1298" s="8">
        <v>195.36</v>
      </c>
    </row>
    <row r="1299" spans="1:4">
      <c r="A1299" s="7" t="s">
        <v>700</v>
      </c>
      <c r="B1299" s="8">
        <v>107.14</v>
      </c>
      <c r="C1299" s="8">
        <v>107.14</v>
      </c>
      <c r="D1299" s="8">
        <v>100</v>
      </c>
    </row>
    <row r="1300" spans="1:4">
      <c r="A1300" s="7" t="s">
        <v>3270</v>
      </c>
      <c r="B1300" s="8">
        <v>1155.1600000000001</v>
      </c>
      <c r="C1300" s="8">
        <v>1389.53</v>
      </c>
      <c r="D1300" s="8">
        <v>83.13</v>
      </c>
    </row>
    <row r="1301" spans="1:4">
      <c r="A1301" s="7" t="s">
        <v>2500</v>
      </c>
      <c r="B1301" s="8">
        <v>972.3</v>
      </c>
      <c r="C1301" s="8">
        <v>1226.8399999999999</v>
      </c>
      <c r="D1301" s="8">
        <v>79.25</v>
      </c>
    </row>
    <row r="1302" spans="1:4">
      <c r="A1302" s="7" t="s">
        <v>2497</v>
      </c>
      <c r="B1302" s="8">
        <v>806.02</v>
      </c>
      <c r="C1302" s="8">
        <v>1088.18</v>
      </c>
      <c r="D1302" s="8">
        <v>74.069999999999993</v>
      </c>
    </row>
    <row r="1303" spans="1:4">
      <c r="A1303" s="7" t="s">
        <v>2505</v>
      </c>
      <c r="B1303" s="8">
        <v>830.81</v>
      </c>
      <c r="C1303" s="8">
        <v>955.24</v>
      </c>
      <c r="D1303" s="8">
        <v>86.97</v>
      </c>
    </row>
    <row r="1304" spans="1:4">
      <c r="A1304" s="7" t="s">
        <v>2502</v>
      </c>
      <c r="B1304" s="8">
        <v>620.39</v>
      </c>
      <c r="C1304" s="8">
        <v>816.58</v>
      </c>
      <c r="D1304" s="8">
        <v>75.97</v>
      </c>
    </row>
    <row r="1305" spans="1:4">
      <c r="A1305" s="7" t="s">
        <v>3271</v>
      </c>
      <c r="B1305" s="8">
        <v>4917.54</v>
      </c>
      <c r="C1305" s="8">
        <v>5075.62</v>
      </c>
      <c r="D1305" s="8">
        <v>96.89</v>
      </c>
    </row>
    <row r="1306" spans="1:4">
      <c r="A1306" s="7" t="s">
        <v>3272</v>
      </c>
      <c r="B1306" s="8">
        <v>4715.1400000000003</v>
      </c>
      <c r="C1306" s="8">
        <v>4966.96</v>
      </c>
      <c r="D1306" s="8">
        <v>94.93</v>
      </c>
    </row>
    <row r="1307" spans="1:4">
      <c r="A1307" s="7" t="s">
        <v>3273</v>
      </c>
      <c r="B1307" s="8">
        <v>3396.74</v>
      </c>
      <c r="C1307" s="8">
        <v>3238.76</v>
      </c>
      <c r="D1307" s="8">
        <v>104.88</v>
      </c>
    </row>
    <row r="1308" spans="1:4">
      <c r="A1308" s="7" t="s">
        <v>3274</v>
      </c>
      <c r="B1308" s="8">
        <v>2890.49</v>
      </c>
      <c r="C1308" s="8">
        <v>2930.1</v>
      </c>
      <c r="D1308" s="8">
        <v>98.65</v>
      </c>
    </row>
    <row r="1309" spans="1:4">
      <c r="A1309" s="7" t="s">
        <v>3275</v>
      </c>
      <c r="B1309" s="8">
        <v>2663.12</v>
      </c>
      <c r="C1309" s="8">
        <v>2588.7600000000002</v>
      </c>
      <c r="D1309" s="8">
        <v>102.87</v>
      </c>
    </row>
    <row r="1310" spans="1:4">
      <c r="A1310" s="7" t="s">
        <v>3276</v>
      </c>
      <c r="B1310" s="8">
        <v>2398.39</v>
      </c>
      <c r="C1310" s="8">
        <v>2280.1</v>
      </c>
      <c r="D1310" s="8">
        <v>105.19</v>
      </c>
    </row>
    <row r="1311" spans="1:4">
      <c r="A1311" s="7" t="s">
        <v>703</v>
      </c>
      <c r="B1311" s="8">
        <v>3289.43</v>
      </c>
      <c r="C1311" s="8">
        <v>3338.67</v>
      </c>
      <c r="D1311" s="8">
        <v>98.53</v>
      </c>
    </row>
    <row r="1312" spans="1:4">
      <c r="A1312" s="7" t="s">
        <v>3277</v>
      </c>
      <c r="B1312" s="8">
        <v>3104.54</v>
      </c>
      <c r="C1312" s="8">
        <v>3030.01</v>
      </c>
      <c r="D1312" s="8">
        <v>102.46</v>
      </c>
    </row>
    <row r="1313" spans="1:4">
      <c r="A1313" s="7" t="s">
        <v>3278</v>
      </c>
      <c r="B1313" s="8">
        <v>185.43</v>
      </c>
      <c r="C1313" s="8">
        <v>185.43</v>
      </c>
      <c r="D1313" s="8">
        <v>100</v>
      </c>
    </row>
    <row r="1314" spans="1:4">
      <c r="A1314" s="7" t="s">
        <v>3279</v>
      </c>
      <c r="B1314" s="8">
        <v>185.43</v>
      </c>
      <c r="C1314" s="8">
        <v>185.43</v>
      </c>
      <c r="D1314" s="8">
        <v>100</v>
      </c>
    </row>
    <row r="1315" spans="1:4">
      <c r="A1315" s="7" t="s">
        <v>3280</v>
      </c>
      <c r="B1315" s="8">
        <v>2181.56</v>
      </c>
      <c r="C1315" s="8">
        <v>2275.5300000000002</v>
      </c>
      <c r="D1315" s="8">
        <v>95.87</v>
      </c>
    </row>
    <row r="1316" spans="1:4">
      <c r="A1316" s="7" t="s">
        <v>3281</v>
      </c>
      <c r="B1316" s="8">
        <v>2177.08</v>
      </c>
      <c r="C1316" s="8">
        <v>2166.87</v>
      </c>
      <c r="D1316" s="8">
        <v>100.47</v>
      </c>
    </row>
    <row r="1317" spans="1:4">
      <c r="A1317" s="7" t="s">
        <v>704</v>
      </c>
      <c r="B1317" s="8">
        <v>139.75</v>
      </c>
      <c r="C1317" s="8">
        <v>139.75</v>
      </c>
      <c r="D1317" s="8">
        <v>100</v>
      </c>
    </row>
    <row r="1318" spans="1:4">
      <c r="A1318" s="7" t="s">
        <v>705</v>
      </c>
      <c r="B1318" s="8">
        <v>90</v>
      </c>
      <c r="C1318" s="8">
        <v>90</v>
      </c>
      <c r="D1318" s="8">
        <v>100</v>
      </c>
    </row>
    <row r="1319" spans="1:4">
      <c r="A1319" s="7" t="s">
        <v>3282</v>
      </c>
      <c r="B1319" s="8">
        <v>90</v>
      </c>
      <c r="C1319" s="8">
        <v>90</v>
      </c>
      <c r="D1319" s="8">
        <v>100</v>
      </c>
    </row>
    <row r="1320" spans="1:4">
      <c r="A1320" s="7" t="s">
        <v>3283</v>
      </c>
      <c r="B1320" s="8">
        <v>90</v>
      </c>
      <c r="C1320" s="8">
        <v>90</v>
      </c>
      <c r="D1320" s="8">
        <v>100</v>
      </c>
    </row>
    <row r="1321" spans="1:4">
      <c r="A1321" s="7" t="s">
        <v>3284</v>
      </c>
      <c r="B1321" s="8">
        <v>90</v>
      </c>
      <c r="C1321" s="8">
        <v>90</v>
      </c>
      <c r="D1321" s="8">
        <v>100</v>
      </c>
    </row>
    <row r="1322" spans="1:4">
      <c r="A1322" s="7" t="s">
        <v>706</v>
      </c>
      <c r="B1322" s="8">
        <v>90</v>
      </c>
      <c r="C1322" s="8">
        <v>90</v>
      </c>
      <c r="D1322" s="8">
        <v>100</v>
      </c>
    </row>
    <row r="1323" spans="1:4">
      <c r="A1323" s="7" t="s">
        <v>3285</v>
      </c>
      <c r="B1323" s="8">
        <v>90</v>
      </c>
      <c r="C1323" s="8">
        <v>90</v>
      </c>
      <c r="D1323" s="8">
        <v>100</v>
      </c>
    </row>
    <row r="1324" spans="1:4">
      <c r="A1324" s="7" t="s">
        <v>3286</v>
      </c>
      <c r="B1324" s="8">
        <v>90</v>
      </c>
      <c r="C1324" s="8">
        <v>90</v>
      </c>
      <c r="D1324" s="8">
        <v>100</v>
      </c>
    </row>
    <row r="1325" spans="1:4">
      <c r="A1325" s="7" t="s">
        <v>3287</v>
      </c>
      <c r="B1325" s="8">
        <v>90</v>
      </c>
      <c r="C1325" s="8">
        <v>90</v>
      </c>
      <c r="D1325" s="8">
        <v>100</v>
      </c>
    </row>
    <row r="1326" spans="1:4">
      <c r="A1326" s="7" t="s">
        <v>3288</v>
      </c>
      <c r="B1326" s="8">
        <v>90</v>
      </c>
      <c r="C1326" s="8">
        <v>90</v>
      </c>
      <c r="D1326" s="8">
        <v>100</v>
      </c>
    </row>
    <row r="1327" spans="1:4">
      <c r="A1327" s="7" t="s">
        <v>3289</v>
      </c>
      <c r="B1327" s="8">
        <v>90</v>
      </c>
      <c r="C1327" s="8">
        <v>90</v>
      </c>
      <c r="D1327" s="8">
        <v>100</v>
      </c>
    </row>
    <row r="1328" spans="1:4">
      <c r="A1328" s="7" t="s">
        <v>3290</v>
      </c>
      <c r="B1328" s="8">
        <v>90</v>
      </c>
      <c r="C1328" s="8">
        <v>90</v>
      </c>
      <c r="D1328" s="8">
        <v>100</v>
      </c>
    </row>
    <row r="1329" spans="1:4">
      <c r="A1329" s="7" t="s">
        <v>3291</v>
      </c>
      <c r="B1329" s="8">
        <v>90</v>
      </c>
      <c r="C1329" s="8">
        <v>90</v>
      </c>
      <c r="D1329" s="8">
        <v>100</v>
      </c>
    </row>
    <row r="1330" spans="1:4">
      <c r="A1330" s="7" t="s">
        <v>707</v>
      </c>
      <c r="B1330" s="8">
        <v>90</v>
      </c>
      <c r="C1330" s="8">
        <v>90</v>
      </c>
      <c r="D1330" s="8">
        <v>100</v>
      </c>
    </row>
    <row r="1331" spans="1:4">
      <c r="A1331" s="7" t="s">
        <v>708</v>
      </c>
      <c r="B1331" s="8">
        <v>90</v>
      </c>
      <c r="C1331" s="8">
        <v>90</v>
      </c>
      <c r="D1331" s="8">
        <v>100</v>
      </c>
    </row>
    <row r="1332" spans="1:4">
      <c r="A1332" s="7" t="s">
        <v>3292</v>
      </c>
      <c r="B1332" s="8">
        <v>90</v>
      </c>
      <c r="C1332" s="8">
        <v>90</v>
      </c>
      <c r="D1332" s="8">
        <v>100</v>
      </c>
    </row>
    <row r="1333" spans="1:4">
      <c r="A1333" s="7" t="s">
        <v>3293</v>
      </c>
      <c r="B1333" s="8">
        <v>90</v>
      </c>
      <c r="C1333" s="8">
        <v>90</v>
      </c>
      <c r="D1333" s="8">
        <v>100</v>
      </c>
    </row>
    <row r="1334" spans="1:4">
      <c r="A1334" s="7" t="s">
        <v>709</v>
      </c>
      <c r="B1334" s="8">
        <v>90</v>
      </c>
      <c r="C1334" s="8">
        <v>90</v>
      </c>
      <c r="D1334" s="8">
        <v>100</v>
      </c>
    </row>
    <row r="1335" spans="1:4">
      <c r="A1335" s="7" t="s">
        <v>3294</v>
      </c>
      <c r="B1335" s="8">
        <v>90</v>
      </c>
      <c r="C1335" s="8">
        <v>90</v>
      </c>
      <c r="D1335" s="8">
        <v>100</v>
      </c>
    </row>
    <row r="1336" spans="1:4">
      <c r="A1336" s="7" t="s">
        <v>3295</v>
      </c>
      <c r="B1336" s="8">
        <v>90</v>
      </c>
      <c r="C1336" s="8">
        <v>90</v>
      </c>
      <c r="D1336" s="8">
        <v>100</v>
      </c>
    </row>
    <row r="1337" spans="1:4">
      <c r="A1337" s="7" t="s">
        <v>3296</v>
      </c>
      <c r="B1337" s="8">
        <v>90</v>
      </c>
      <c r="C1337" s="8">
        <v>90</v>
      </c>
      <c r="D1337" s="8">
        <v>100</v>
      </c>
    </row>
    <row r="1338" spans="1:4">
      <c r="A1338" s="7" t="s">
        <v>701</v>
      </c>
      <c r="B1338" s="8">
        <v>100.03</v>
      </c>
      <c r="C1338" s="8">
        <v>100.03</v>
      </c>
      <c r="D1338" s="8">
        <v>100</v>
      </c>
    </row>
    <row r="1339" spans="1:4">
      <c r="A1339" s="7" t="s">
        <v>3297</v>
      </c>
      <c r="B1339" s="8">
        <v>6407.85</v>
      </c>
      <c r="C1339" s="8">
        <v>5361.22</v>
      </c>
      <c r="D1339" s="8">
        <v>119.52</v>
      </c>
    </row>
    <row r="1340" spans="1:4">
      <c r="A1340" s="7" t="s">
        <v>3298</v>
      </c>
      <c r="B1340" s="8">
        <v>685.25</v>
      </c>
      <c r="C1340" s="8">
        <v>776.85</v>
      </c>
      <c r="D1340" s="8">
        <v>88.21</v>
      </c>
    </row>
    <row r="1341" spans="1:4">
      <c r="A1341" s="7" t="s">
        <v>2598</v>
      </c>
      <c r="B1341" s="8">
        <v>14954.49</v>
      </c>
      <c r="C1341" s="8">
        <v>9596.02</v>
      </c>
      <c r="D1341" s="8">
        <v>155.84</v>
      </c>
    </row>
    <row r="1342" spans="1:4">
      <c r="A1342" s="7" t="s">
        <v>2597</v>
      </c>
      <c r="B1342" s="8">
        <v>631.70000000000005</v>
      </c>
      <c r="C1342" s="8">
        <v>781.42</v>
      </c>
      <c r="D1342" s="8">
        <v>80.84</v>
      </c>
    </row>
    <row r="1343" spans="1:4">
      <c r="A1343" s="7" t="s">
        <v>3299</v>
      </c>
      <c r="B1343" s="8">
        <v>7671.25</v>
      </c>
      <c r="C1343" s="8">
        <v>7321.45</v>
      </c>
      <c r="D1343" s="8">
        <v>104.78</v>
      </c>
    </row>
    <row r="1344" spans="1:4">
      <c r="A1344" s="7" t="s">
        <v>3300</v>
      </c>
      <c r="B1344" s="8">
        <v>423.74</v>
      </c>
      <c r="C1344" s="8">
        <v>415.91</v>
      </c>
      <c r="D1344" s="8">
        <v>101.88</v>
      </c>
    </row>
    <row r="1345" spans="1:4">
      <c r="A1345" s="7" t="s">
        <v>2590</v>
      </c>
      <c r="B1345" s="8">
        <v>17313.38</v>
      </c>
      <c r="C1345" s="8">
        <v>8796.02</v>
      </c>
      <c r="D1345" s="8">
        <v>196.83</v>
      </c>
    </row>
    <row r="1346" spans="1:4">
      <c r="A1346" s="7" t="s">
        <v>2589</v>
      </c>
      <c r="B1346" s="8">
        <v>592.80999999999995</v>
      </c>
      <c r="C1346" s="8">
        <v>610.48</v>
      </c>
      <c r="D1346" s="8">
        <v>97.11</v>
      </c>
    </row>
    <row r="1347" spans="1:4">
      <c r="A1347" s="7" t="s">
        <v>3301</v>
      </c>
      <c r="B1347" s="8">
        <v>5222.78</v>
      </c>
      <c r="C1347" s="8">
        <v>4752.6400000000003</v>
      </c>
      <c r="D1347" s="8">
        <v>109.89</v>
      </c>
    </row>
    <row r="1348" spans="1:4">
      <c r="A1348" s="7" t="s">
        <v>3302</v>
      </c>
      <c r="B1348" s="8">
        <v>445.89</v>
      </c>
      <c r="C1348" s="8">
        <v>476.22</v>
      </c>
      <c r="D1348" s="8">
        <v>93.63</v>
      </c>
    </row>
    <row r="1349" spans="1:4">
      <c r="A1349" s="7" t="s">
        <v>2592</v>
      </c>
      <c r="B1349" s="8">
        <v>14229.26</v>
      </c>
      <c r="C1349" s="8">
        <v>7456.02</v>
      </c>
      <c r="D1349" s="8">
        <v>190.84</v>
      </c>
    </row>
    <row r="1350" spans="1:4">
      <c r="A1350" s="7" t="s">
        <v>2591</v>
      </c>
      <c r="B1350" s="8">
        <v>617.79</v>
      </c>
      <c r="C1350" s="8">
        <v>670.79</v>
      </c>
      <c r="D1350" s="8">
        <v>92.1</v>
      </c>
    </row>
    <row r="1351" spans="1:4">
      <c r="A1351" s="7" t="s">
        <v>3303</v>
      </c>
      <c r="B1351" s="8">
        <v>9768.18</v>
      </c>
      <c r="C1351" s="8">
        <v>6521.22</v>
      </c>
      <c r="D1351" s="8">
        <v>149.79</v>
      </c>
    </row>
    <row r="1352" spans="1:4">
      <c r="A1352" s="7" t="s">
        <v>3304</v>
      </c>
      <c r="B1352" s="8">
        <v>454.54</v>
      </c>
      <c r="C1352" s="8">
        <v>476.22</v>
      </c>
      <c r="D1352" s="8">
        <v>95.45</v>
      </c>
    </row>
    <row r="1353" spans="1:4">
      <c r="A1353" s="7" t="s">
        <v>3305</v>
      </c>
      <c r="B1353" s="8">
        <v>16557.689999999999</v>
      </c>
      <c r="C1353" s="8">
        <v>8326.02</v>
      </c>
      <c r="D1353" s="8">
        <v>198.87</v>
      </c>
    </row>
    <row r="1354" spans="1:4">
      <c r="A1354" s="7" t="s">
        <v>3306</v>
      </c>
      <c r="B1354" s="8">
        <v>617.79</v>
      </c>
      <c r="C1354" s="8">
        <v>670.79</v>
      </c>
      <c r="D1354" s="8">
        <v>92.1</v>
      </c>
    </row>
    <row r="1355" spans="1:4">
      <c r="A1355" s="7" t="s">
        <v>3307</v>
      </c>
      <c r="B1355" s="8">
        <v>454.3</v>
      </c>
      <c r="C1355" s="8">
        <v>476.22</v>
      </c>
      <c r="D1355" s="8">
        <v>95.4</v>
      </c>
    </row>
    <row r="1356" spans="1:4">
      <c r="A1356" s="7" t="s">
        <v>3308</v>
      </c>
      <c r="B1356" s="8">
        <v>1473.31</v>
      </c>
      <c r="C1356" s="8">
        <v>1717.23</v>
      </c>
      <c r="D1356" s="8">
        <v>85.8</v>
      </c>
    </row>
    <row r="1357" spans="1:4">
      <c r="A1357" s="7" t="s">
        <v>3309</v>
      </c>
      <c r="B1357" s="8">
        <v>617.79</v>
      </c>
      <c r="C1357" s="8">
        <v>670.79</v>
      </c>
      <c r="D1357" s="8">
        <v>92.1</v>
      </c>
    </row>
    <row r="1358" spans="1:4">
      <c r="A1358" s="7" t="s">
        <v>3310</v>
      </c>
      <c r="B1358" s="8">
        <v>468.51</v>
      </c>
      <c r="C1358" s="8">
        <v>536.54</v>
      </c>
      <c r="D1358" s="8">
        <v>87.32</v>
      </c>
    </row>
    <row r="1359" spans="1:4">
      <c r="A1359" s="7" t="s">
        <v>3311</v>
      </c>
      <c r="B1359" s="8">
        <v>1812.34</v>
      </c>
      <c r="C1359" s="8">
        <v>1847.23</v>
      </c>
      <c r="D1359" s="8">
        <v>98.11</v>
      </c>
    </row>
    <row r="1360" spans="1:4">
      <c r="A1360" s="7" t="s">
        <v>3312</v>
      </c>
      <c r="B1360" s="8">
        <v>642.78</v>
      </c>
      <c r="C1360" s="8">
        <v>731.11</v>
      </c>
      <c r="D1360" s="8">
        <v>87.92</v>
      </c>
    </row>
    <row r="1361" spans="1:4">
      <c r="A1361" s="7" t="s">
        <v>3313</v>
      </c>
      <c r="B1361" s="8">
        <v>479.52</v>
      </c>
      <c r="C1361" s="8">
        <v>536.54</v>
      </c>
      <c r="D1361" s="8">
        <v>89.37</v>
      </c>
    </row>
    <row r="1362" spans="1:4">
      <c r="A1362" s="7" t="s">
        <v>3314</v>
      </c>
      <c r="B1362" s="8">
        <v>2567.3000000000002</v>
      </c>
      <c r="C1362" s="8">
        <v>2587.23</v>
      </c>
      <c r="D1362" s="8">
        <v>99.23</v>
      </c>
    </row>
    <row r="1363" spans="1:4">
      <c r="A1363" s="7" t="s">
        <v>3315</v>
      </c>
      <c r="B1363" s="8">
        <v>642.78</v>
      </c>
      <c r="C1363" s="8">
        <v>731.11</v>
      </c>
      <c r="D1363" s="8">
        <v>87.92</v>
      </c>
    </row>
    <row r="1364" spans="1:4">
      <c r="A1364" s="7" t="s">
        <v>3316</v>
      </c>
      <c r="B1364" s="8">
        <v>421.59</v>
      </c>
      <c r="C1364" s="8">
        <v>415.91</v>
      </c>
      <c r="D1364" s="8">
        <v>101.37</v>
      </c>
    </row>
    <row r="1365" spans="1:4">
      <c r="A1365" s="7" t="s">
        <v>3317</v>
      </c>
      <c r="B1365" s="8">
        <v>1883.22</v>
      </c>
      <c r="C1365" s="8">
        <v>1994.43</v>
      </c>
      <c r="D1365" s="8">
        <v>94.42</v>
      </c>
    </row>
    <row r="1366" spans="1:4">
      <c r="A1366" s="7" t="s">
        <v>3318</v>
      </c>
      <c r="B1366" s="8">
        <v>592.80999999999995</v>
      </c>
      <c r="C1366" s="8">
        <v>610.48</v>
      </c>
      <c r="D1366" s="8">
        <v>97.11</v>
      </c>
    </row>
    <row r="1367" spans="1:4">
      <c r="A1367" s="7" t="s">
        <v>3319</v>
      </c>
      <c r="B1367" s="8">
        <v>6597.98</v>
      </c>
      <c r="C1367" s="8">
        <v>6541.22</v>
      </c>
      <c r="D1367" s="8">
        <v>100.87</v>
      </c>
    </row>
    <row r="1368" spans="1:4">
      <c r="A1368" s="7" t="s">
        <v>3320</v>
      </c>
      <c r="B1368" s="8">
        <v>419.49</v>
      </c>
      <c r="C1368" s="8">
        <v>415.91</v>
      </c>
      <c r="D1368" s="8">
        <v>100.86</v>
      </c>
    </row>
    <row r="1369" spans="1:4">
      <c r="A1369" s="7" t="s">
        <v>2301</v>
      </c>
      <c r="B1369" s="8">
        <v>8594.6</v>
      </c>
      <c r="C1369" s="8">
        <v>7501.22</v>
      </c>
      <c r="D1369" s="8">
        <v>114.58</v>
      </c>
    </row>
    <row r="1370" spans="1:4">
      <c r="A1370" s="7" t="s">
        <v>2300</v>
      </c>
      <c r="B1370" s="8">
        <v>642.64</v>
      </c>
      <c r="C1370" s="8">
        <v>610.48</v>
      </c>
      <c r="D1370" s="8">
        <v>105.27</v>
      </c>
    </row>
    <row r="1371" spans="1:4">
      <c r="A1371" s="7" t="s">
        <v>3321</v>
      </c>
      <c r="B1371" s="8">
        <v>8257.94</v>
      </c>
      <c r="C1371" s="8">
        <v>6601.22</v>
      </c>
      <c r="D1371" s="8">
        <v>125.1</v>
      </c>
    </row>
    <row r="1372" spans="1:4">
      <c r="A1372" s="7" t="s">
        <v>3322</v>
      </c>
      <c r="B1372" s="8">
        <v>480.16</v>
      </c>
      <c r="C1372" s="8">
        <v>536.54</v>
      </c>
      <c r="D1372" s="8">
        <v>89.49</v>
      </c>
    </row>
    <row r="1373" spans="1:4">
      <c r="A1373" s="7" t="s">
        <v>2303</v>
      </c>
      <c r="B1373" s="8">
        <v>11749.46</v>
      </c>
      <c r="C1373" s="8">
        <v>7561.22</v>
      </c>
      <c r="D1373" s="8">
        <v>155.38999999999999</v>
      </c>
    </row>
    <row r="1374" spans="1:4">
      <c r="A1374" s="7" t="s">
        <v>2302</v>
      </c>
      <c r="B1374" s="8">
        <v>642.78</v>
      </c>
      <c r="C1374" s="8">
        <v>731.11</v>
      </c>
      <c r="D1374" s="8">
        <v>87.92</v>
      </c>
    </row>
    <row r="1375" spans="1:4">
      <c r="A1375" s="7" t="s">
        <v>3323</v>
      </c>
      <c r="B1375" s="8">
        <v>6950.82</v>
      </c>
      <c r="C1375" s="8">
        <v>7301.22</v>
      </c>
      <c r="D1375" s="8">
        <v>95.2</v>
      </c>
    </row>
    <row r="1376" spans="1:4">
      <c r="A1376" s="7" t="s">
        <v>3324</v>
      </c>
      <c r="B1376" s="8">
        <v>480.25</v>
      </c>
      <c r="C1376" s="8">
        <v>536.54</v>
      </c>
      <c r="D1376" s="8">
        <v>89.51</v>
      </c>
    </row>
    <row r="1377" spans="1:4">
      <c r="A1377" s="7" t="s">
        <v>3325</v>
      </c>
      <c r="B1377" s="8">
        <v>11239.26</v>
      </c>
      <c r="C1377" s="8">
        <v>7761.22</v>
      </c>
      <c r="D1377" s="8">
        <v>144.81</v>
      </c>
    </row>
    <row r="1378" spans="1:4">
      <c r="A1378" s="7" t="s">
        <v>3326</v>
      </c>
      <c r="B1378" s="8">
        <v>642.78</v>
      </c>
      <c r="C1378" s="8">
        <v>731.11</v>
      </c>
      <c r="D1378" s="8">
        <v>87.92</v>
      </c>
    </row>
    <row r="1379" spans="1:4">
      <c r="A1379" s="7" t="s">
        <v>3327</v>
      </c>
      <c r="B1379" s="8">
        <v>7826.2</v>
      </c>
      <c r="C1379" s="8">
        <v>6681.78</v>
      </c>
      <c r="D1379" s="8">
        <v>117.13</v>
      </c>
    </row>
    <row r="1380" spans="1:4">
      <c r="A1380" s="7" t="s">
        <v>3328</v>
      </c>
      <c r="B1380" s="8">
        <v>685.42</v>
      </c>
      <c r="C1380" s="8">
        <v>776.85</v>
      </c>
      <c r="D1380" s="8">
        <v>88.23</v>
      </c>
    </row>
    <row r="1381" spans="1:4">
      <c r="A1381" s="7" t="s">
        <v>3329</v>
      </c>
      <c r="B1381" s="8">
        <v>7773.18</v>
      </c>
      <c r="C1381" s="8">
        <v>5406.02</v>
      </c>
      <c r="D1381" s="8">
        <v>143.79</v>
      </c>
    </row>
    <row r="1382" spans="1:4">
      <c r="A1382" s="7" t="s">
        <v>3330</v>
      </c>
      <c r="B1382" s="8">
        <v>634.46</v>
      </c>
      <c r="C1382" s="8">
        <v>781.42</v>
      </c>
      <c r="D1382" s="8">
        <v>81.19</v>
      </c>
    </row>
    <row r="1383" spans="1:4">
      <c r="A1383" s="7" t="s">
        <v>3331</v>
      </c>
      <c r="B1383" s="8">
        <v>451.43</v>
      </c>
      <c r="C1383" s="8">
        <v>441.22</v>
      </c>
      <c r="D1383" s="8">
        <v>102.31</v>
      </c>
    </row>
    <row r="1384" spans="1:4">
      <c r="A1384" s="7" t="s">
        <v>3332</v>
      </c>
      <c r="B1384" s="8">
        <v>6445.48</v>
      </c>
      <c r="C1384" s="8">
        <v>6506.02</v>
      </c>
      <c r="D1384" s="8">
        <v>99.07</v>
      </c>
    </row>
    <row r="1385" spans="1:4">
      <c r="A1385" s="7" t="s">
        <v>3333</v>
      </c>
      <c r="B1385" s="8">
        <v>592.80999999999995</v>
      </c>
      <c r="C1385" s="8">
        <v>610.48</v>
      </c>
      <c r="D1385" s="8">
        <v>97.11</v>
      </c>
    </row>
    <row r="1386" spans="1:4">
      <c r="A1386" s="7" t="s">
        <v>3334</v>
      </c>
      <c r="B1386" s="8">
        <v>483.33</v>
      </c>
      <c r="C1386" s="8">
        <v>536.54</v>
      </c>
      <c r="D1386" s="8">
        <v>90.08</v>
      </c>
    </row>
    <row r="1387" spans="1:4">
      <c r="A1387" s="7" t="s">
        <v>3335</v>
      </c>
      <c r="B1387" s="8">
        <v>9595.8700000000008</v>
      </c>
      <c r="C1387" s="8">
        <v>7261.4</v>
      </c>
      <c r="D1387" s="8">
        <v>132.15</v>
      </c>
    </row>
    <row r="1388" spans="1:4">
      <c r="A1388" s="7" t="s">
        <v>3336</v>
      </c>
      <c r="B1388" s="8">
        <v>642.78</v>
      </c>
      <c r="C1388" s="8">
        <v>731.11</v>
      </c>
      <c r="D1388" s="8">
        <v>87.92</v>
      </c>
    </row>
    <row r="1389" spans="1:4">
      <c r="A1389" s="7" t="s">
        <v>3337</v>
      </c>
      <c r="B1389" s="8">
        <v>480.34</v>
      </c>
      <c r="C1389" s="8">
        <v>501.53</v>
      </c>
      <c r="D1389" s="8">
        <v>95.77</v>
      </c>
    </row>
    <row r="1390" spans="1:4">
      <c r="A1390" s="7" t="s">
        <v>3338</v>
      </c>
      <c r="B1390" s="8">
        <v>8912.33</v>
      </c>
      <c r="C1390" s="8">
        <v>6941.22</v>
      </c>
      <c r="D1390" s="8">
        <v>128.4</v>
      </c>
    </row>
    <row r="1391" spans="1:4">
      <c r="A1391" s="7" t="s">
        <v>3339</v>
      </c>
      <c r="B1391" s="8">
        <v>617.79</v>
      </c>
      <c r="C1391" s="8">
        <v>670.79</v>
      </c>
      <c r="D1391" s="8">
        <v>92.1</v>
      </c>
    </row>
    <row r="1392" spans="1:4">
      <c r="A1392" s="7" t="s">
        <v>2448</v>
      </c>
      <c r="B1392" s="8">
        <v>7681.21</v>
      </c>
      <c r="C1392" s="8">
        <v>3990.22</v>
      </c>
      <c r="D1392" s="8">
        <v>192.5</v>
      </c>
    </row>
    <row r="1393" spans="1:4">
      <c r="A1393" s="7" t="s">
        <v>2447</v>
      </c>
      <c r="B1393" s="8">
        <v>428.28</v>
      </c>
      <c r="C1393" s="8">
        <v>415.91</v>
      </c>
      <c r="D1393" s="8">
        <v>102.97</v>
      </c>
    </row>
    <row r="1394" spans="1:4">
      <c r="A1394" s="7" t="s">
        <v>2297</v>
      </c>
      <c r="B1394" s="8">
        <v>11936.37</v>
      </c>
      <c r="C1394" s="8">
        <v>2834.78</v>
      </c>
      <c r="D1394" s="8">
        <v>421.07</v>
      </c>
    </row>
    <row r="1395" spans="1:4">
      <c r="A1395" s="7" t="s">
        <v>2296</v>
      </c>
      <c r="B1395" s="8">
        <v>592.80999999999995</v>
      </c>
      <c r="C1395" s="8">
        <v>610.48</v>
      </c>
      <c r="D1395" s="8">
        <v>97.11</v>
      </c>
    </row>
    <row r="1396" spans="1:4">
      <c r="A1396" s="7" t="s">
        <v>3340</v>
      </c>
      <c r="B1396" s="8">
        <v>7639.33</v>
      </c>
      <c r="C1396" s="8">
        <v>1722.77</v>
      </c>
      <c r="D1396" s="8">
        <v>443.43</v>
      </c>
    </row>
    <row r="1397" spans="1:4">
      <c r="A1397" s="7" t="s">
        <v>3341</v>
      </c>
      <c r="B1397" s="8">
        <v>470.15</v>
      </c>
      <c r="C1397" s="8">
        <v>536.54</v>
      </c>
      <c r="D1397" s="8">
        <v>87.63</v>
      </c>
    </row>
    <row r="1398" spans="1:4">
      <c r="A1398" s="7" t="s">
        <v>2291</v>
      </c>
      <c r="B1398" s="8">
        <v>1605.68</v>
      </c>
      <c r="C1398" s="8">
        <v>1571.43</v>
      </c>
      <c r="D1398" s="8">
        <v>102.18</v>
      </c>
    </row>
    <row r="1399" spans="1:4">
      <c r="A1399" s="7" t="s">
        <v>2290</v>
      </c>
      <c r="B1399" s="8">
        <v>642.78</v>
      </c>
      <c r="C1399" s="8">
        <v>731.11</v>
      </c>
      <c r="D1399" s="8">
        <v>87.92</v>
      </c>
    </row>
    <row r="1400" spans="1:4">
      <c r="A1400" s="7" t="s">
        <v>3342</v>
      </c>
      <c r="B1400" s="8">
        <v>7663.27</v>
      </c>
      <c r="C1400" s="8">
        <v>3716.58</v>
      </c>
      <c r="D1400" s="8">
        <v>206.19</v>
      </c>
    </row>
    <row r="1401" spans="1:4">
      <c r="A1401" s="7" t="s">
        <v>3343</v>
      </c>
      <c r="B1401" s="8">
        <v>446.25</v>
      </c>
      <c r="C1401" s="8">
        <v>476.22</v>
      </c>
      <c r="D1401" s="8">
        <v>93.71</v>
      </c>
    </row>
    <row r="1402" spans="1:4">
      <c r="A1402" s="7" t="s">
        <v>2293</v>
      </c>
      <c r="B1402" s="8">
        <v>1585.59</v>
      </c>
      <c r="C1402" s="8">
        <v>1589.87</v>
      </c>
      <c r="D1402" s="8">
        <v>99.73</v>
      </c>
    </row>
    <row r="1403" spans="1:4">
      <c r="A1403" s="7" t="s">
        <v>2292</v>
      </c>
      <c r="B1403" s="8">
        <v>617.79</v>
      </c>
      <c r="C1403" s="8">
        <v>670.79</v>
      </c>
      <c r="D1403" s="8">
        <v>92.1</v>
      </c>
    </row>
    <row r="1404" spans="1:4">
      <c r="A1404" s="7" t="s">
        <v>2501</v>
      </c>
      <c r="B1404" s="8">
        <v>6938.97</v>
      </c>
      <c r="C1404" s="8">
        <v>5583.1</v>
      </c>
      <c r="D1404" s="8">
        <v>124.29</v>
      </c>
    </row>
    <row r="1405" spans="1:4">
      <c r="A1405" s="7" t="s">
        <v>2506</v>
      </c>
      <c r="B1405" s="8">
        <v>6369.14</v>
      </c>
      <c r="C1405" s="8">
        <v>4730.34</v>
      </c>
      <c r="D1405" s="8">
        <v>134.63999999999999</v>
      </c>
    </row>
    <row r="1406" spans="1:4">
      <c r="A1406" s="7" t="s">
        <v>3344</v>
      </c>
      <c r="B1406" s="8">
        <v>162.29</v>
      </c>
      <c r="C1406" s="8">
        <v>162.29</v>
      </c>
      <c r="D1406" s="8">
        <v>100</v>
      </c>
    </row>
    <row r="1407" spans="1:4">
      <c r="A1407" s="7" t="s">
        <v>3345</v>
      </c>
      <c r="B1407" s="8">
        <v>106.92</v>
      </c>
      <c r="C1407" s="8">
        <v>106.92</v>
      </c>
      <c r="D1407" s="8">
        <v>100</v>
      </c>
    </row>
    <row r="1408" spans="1:4">
      <c r="A1408" s="7" t="s">
        <v>3346</v>
      </c>
      <c r="B1408" s="8">
        <v>117.28</v>
      </c>
      <c r="C1408" s="8">
        <v>131.91999999999999</v>
      </c>
      <c r="D1408" s="8">
        <v>88.9</v>
      </c>
    </row>
    <row r="1409" spans="1:4">
      <c r="A1409" s="7" t="s">
        <v>3347</v>
      </c>
      <c r="B1409" s="8">
        <v>274.06</v>
      </c>
      <c r="C1409" s="8">
        <v>263.7</v>
      </c>
      <c r="D1409" s="8">
        <v>103.93</v>
      </c>
    </row>
    <row r="1410" spans="1:4">
      <c r="A1410" s="7" t="s">
        <v>3348</v>
      </c>
      <c r="B1410" s="8">
        <v>179.7</v>
      </c>
      <c r="C1410" s="8">
        <v>179.7</v>
      </c>
      <c r="D1410" s="8">
        <v>100</v>
      </c>
    </row>
    <row r="1411" spans="1:4">
      <c r="A1411" s="7" t="s">
        <v>3349</v>
      </c>
      <c r="B1411" s="8">
        <v>98.21</v>
      </c>
      <c r="C1411" s="8">
        <v>127.5</v>
      </c>
      <c r="D1411" s="8">
        <v>77.03</v>
      </c>
    </row>
    <row r="1412" spans="1:4">
      <c r="A1412" s="7" t="s">
        <v>2499</v>
      </c>
      <c r="B1412" s="8">
        <v>97</v>
      </c>
      <c r="C1412" s="8">
        <v>97</v>
      </c>
      <c r="D1412" s="8">
        <v>100</v>
      </c>
    </row>
    <row r="1413" spans="1:4">
      <c r="A1413" s="7" t="s">
        <v>3350</v>
      </c>
      <c r="B1413" s="8">
        <v>560.39</v>
      </c>
      <c r="C1413" s="8">
        <v>581.54</v>
      </c>
      <c r="D1413" s="8">
        <v>96.36</v>
      </c>
    </row>
    <row r="1414" spans="1:4">
      <c r="A1414" s="7" t="s">
        <v>2498</v>
      </c>
      <c r="B1414" s="8">
        <v>169.07</v>
      </c>
      <c r="C1414" s="8">
        <v>172</v>
      </c>
      <c r="D1414" s="8">
        <v>98.3</v>
      </c>
    </row>
    <row r="1415" spans="1:4">
      <c r="A1415" s="7" t="s">
        <v>3351</v>
      </c>
      <c r="B1415" s="8">
        <v>239.07</v>
      </c>
      <c r="C1415" s="8">
        <v>242</v>
      </c>
      <c r="D1415" s="8">
        <v>98.79</v>
      </c>
    </row>
    <row r="1416" spans="1:4">
      <c r="A1416" s="7" t="s">
        <v>3352</v>
      </c>
      <c r="B1416" s="8">
        <v>98.21</v>
      </c>
      <c r="C1416" s="8">
        <v>127.5</v>
      </c>
      <c r="D1416" s="8">
        <v>77.03</v>
      </c>
    </row>
    <row r="1417" spans="1:4">
      <c r="A1417" s="7" t="s">
        <v>2504</v>
      </c>
      <c r="B1417" s="8">
        <v>97</v>
      </c>
      <c r="C1417" s="8">
        <v>97</v>
      </c>
      <c r="D1417" s="8">
        <v>100</v>
      </c>
    </row>
    <row r="1418" spans="1:4">
      <c r="A1418" s="7" t="s">
        <v>3353</v>
      </c>
      <c r="B1418" s="8">
        <v>560.39</v>
      </c>
      <c r="C1418" s="8">
        <v>581.54</v>
      </c>
      <c r="D1418" s="8">
        <v>96.36</v>
      </c>
    </row>
    <row r="1419" spans="1:4">
      <c r="A1419" s="7" t="s">
        <v>2503</v>
      </c>
      <c r="B1419" s="8">
        <v>169.07</v>
      </c>
      <c r="C1419" s="8">
        <v>172</v>
      </c>
      <c r="D1419" s="8">
        <v>98.3</v>
      </c>
    </row>
    <row r="1420" spans="1:4">
      <c r="A1420" s="7" t="s">
        <v>3354</v>
      </c>
      <c r="B1420" s="8">
        <v>239.07</v>
      </c>
      <c r="C1420" s="8">
        <v>242</v>
      </c>
      <c r="D1420" s="8">
        <v>98.79</v>
      </c>
    </row>
    <row r="1421" spans="1:4">
      <c r="A1421" s="7" t="s">
        <v>3355</v>
      </c>
      <c r="B1421" s="8">
        <v>9735.64</v>
      </c>
      <c r="C1421" s="8">
        <v>7921.22</v>
      </c>
      <c r="D1421" s="8">
        <v>122.91</v>
      </c>
    </row>
    <row r="1422" spans="1:4">
      <c r="A1422" s="7" t="s">
        <v>3356</v>
      </c>
      <c r="B1422" s="8">
        <v>451.46</v>
      </c>
      <c r="C1422" s="8">
        <v>476.22</v>
      </c>
      <c r="D1422" s="8">
        <v>94.8</v>
      </c>
    </row>
    <row r="1423" spans="1:4">
      <c r="A1423" s="7" t="s">
        <v>2299</v>
      </c>
      <c r="B1423" s="8">
        <v>11330.34</v>
      </c>
      <c r="C1423" s="8">
        <v>7481.22</v>
      </c>
      <c r="D1423" s="8">
        <v>151.44999999999999</v>
      </c>
    </row>
    <row r="1424" spans="1:4">
      <c r="A1424" s="7" t="s">
        <v>2298</v>
      </c>
      <c r="B1424" s="8">
        <v>642.6</v>
      </c>
      <c r="C1424" s="8">
        <v>670.79</v>
      </c>
      <c r="D1424" s="8">
        <v>95.8</v>
      </c>
    </row>
    <row r="1425" spans="1:4">
      <c r="A1425" s="7" t="s">
        <v>3357</v>
      </c>
      <c r="B1425" s="8">
        <v>7193.69</v>
      </c>
      <c r="C1425" s="8">
        <v>5547.06</v>
      </c>
      <c r="D1425" s="8">
        <v>129.68</v>
      </c>
    </row>
    <row r="1426" spans="1:4">
      <c r="A1426" s="7" t="s">
        <v>3358</v>
      </c>
      <c r="B1426" s="8">
        <v>477.78</v>
      </c>
      <c r="C1426" s="8">
        <v>536.54</v>
      </c>
      <c r="D1426" s="8">
        <v>89.05</v>
      </c>
    </row>
    <row r="1427" spans="1:4">
      <c r="A1427" s="7" t="s">
        <v>3359</v>
      </c>
      <c r="B1427" s="8">
        <v>7898.06</v>
      </c>
      <c r="C1427" s="8">
        <v>6146.02</v>
      </c>
      <c r="D1427" s="8">
        <v>128.51</v>
      </c>
    </row>
    <row r="1428" spans="1:4">
      <c r="A1428" s="7" t="s">
        <v>3360</v>
      </c>
      <c r="B1428" s="8">
        <v>642.78</v>
      </c>
      <c r="C1428" s="8">
        <v>731.11</v>
      </c>
      <c r="D1428" s="8">
        <v>87.92</v>
      </c>
    </row>
    <row r="1429" spans="1:4">
      <c r="A1429" s="7" t="s">
        <v>3361</v>
      </c>
      <c r="B1429" s="8">
        <v>4749.29</v>
      </c>
      <c r="C1429" s="8">
        <v>4156.0200000000004</v>
      </c>
      <c r="D1429" s="8">
        <v>114.27</v>
      </c>
    </row>
    <row r="1430" spans="1:4">
      <c r="A1430" s="7" t="s">
        <v>3362</v>
      </c>
      <c r="B1430" s="8">
        <v>685.81</v>
      </c>
      <c r="C1430" s="8">
        <v>776.85</v>
      </c>
      <c r="D1430" s="8">
        <v>88.28</v>
      </c>
    </row>
    <row r="1431" spans="1:4">
      <c r="A1431" s="7" t="s">
        <v>3363</v>
      </c>
      <c r="B1431" s="8">
        <v>4921.04</v>
      </c>
      <c r="C1431" s="8">
        <v>4796.0200000000004</v>
      </c>
      <c r="D1431" s="8">
        <v>102.61</v>
      </c>
    </row>
    <row r="1432" spans="1:4">
      <c r="A1432" s="7" t="s">
        <v>3364</v>
      </c>
      <c r="B1432" s="8">
        <v>631.24</v>
      </c>
      <c r="C1432" s="8">
        <v>781.42</v>
      </c>
      <c r="D1432" s="8">
        <v>80.78</v>
      </c>
    </row>
    <row r="1433" spans="1:4">
      <c r="A1433" s="7" t="s">
        <v>3365</v>
      </c>
      <c r="B1433" s="8">
        <v>6653.75</v>
      </c>
      <c r="C1433" s="8">
        <v>5981.22</v>
      </c>
      <c r="D1433" s="8">
        <v>111.24</v>
      </c>
    </row>
    <row r="1434" spans="1:4">
      <c r="A1434" s="7" t="s">
        <v>3366</v>
      </c>
      <c r="B1434" s="8">
        <v>457.11</v>
      </c>
      <c r="C1434" s="8">
        <v>476.22</v>
      </c>
      <c r="D1434" s="8">
        <v>95.99</v>
      </c>
    </row>
    <row r="1435" spans="1:4">
      <c r="A1435" s="7" t="s">
        <v>3367</v>
      </c>
      <c r="B1435" s="8">
        <v>8670.6299999999992</v>
      </c>
      <c r="C1435" s="8">
        <v>6941.22</v>
      </c>
      <c r="D1435" s="8">
        <v>124.92</v>
      </c>
    </row>
    <row r="1436" spans="1:4">
      <c r="A1436" s="7" t="s">
        <v>3368</v>
      </c>
      <c r="B1436" s="8">
        <v>617.79</v>
      </c>
      <c r="C1436" s="8">
        <v>670.79</v>
      </c>
      <c r="D1436" s="8">
        <v>92.1</v>
      </c>
    </row>
    <row r="1437" spans="1:4">
      <c r="A1437" s="7" t="s">
        <v>3369</v>
      </c>
      <c r="B1437" s="8">
        <v>11349.12</v>
      </c>
      <c r="C1437" s="8">
        <v>8281.2199999999993</v>
      </c>
      <c r="D1437" s="8">
        <v>137.05000000000001</v>
      </c>
    </row>
    <row r="1438" spans="1:4">
      <c r="A1438" s="7" t="s">
        <v>3370</v>
      </c>
      <c r="B1438" s="8">
        <v>680.96</v>
      </c>
      <c r="C1438" s="8">
        <v>776.85</v>
      </c>
      <c r="D1438" s="8">
        <v>87.66</v>
      </c>
    </row>
    <row r="1439" spans="1:4">
      <c r="A1439" s="7" t="s">
        <v>3371</v>
      </c>
      <c r="B1439" s="8">
        <v>12982.49</v>
      </c>
      <c r="C1439" s="8">
        <v>8011.22</v>
      </c>
      <c r="D1439" s="8">
        <v>162.05000000000001</v>
      </c>
    </row>
    <row r="1440" spans="1:4">
      <c r="A1440" s="7" t="s">
        <v>3372</v>
      </c>
      <c r="B1440" s="8">
        <v>630.87</v>
      </c>
      <c r="C1440" s="8">
        <v>781.42</v>
      </c>
      <c r="D1440" s="8">
        <v>80.73</v>
      </c>
    </row>
    <row r="1441" spans="1:4">
      <c r="A1441" s="7" t="s">
        <v>3373</v>
      </c>
      <c r="B1441" s="8">
        <v>13265.81</v>
      </c>
      <c r="C1441" s="8">
        <v>9241.2199999999993</v>
      </c>
      <c r="D1441" s="8">
        <v>143.55000000000001</v>
      </c>
    </row>
    <row r="1442" spans="1:4">
      <c r="A1442" s="7" t="s">
        <v>3374</v>
      </c>
      <c r="B1442" s="8">
        <v>677.94</v>
      </c>
      <c r="C1442" s="8">
        <v>776.85</v>
      </c>
      <c r="D1442" s="8">
        <v>87.27</v>
      </c>
    </row>
    <row r="1443" spans="1:4">
      <c r="A1443" s="7" t="s">
        <v>3375</v>
      </c>
      <c r="B1443" s="8">
        <v>10843.94</v>
      </c>
      <c r="C1443" s="8">
        <v>9331.2199999999993</v>
      </c>
      <c r="D1443" s="8">
        <v>116.21</v>
      </c>
    </row>
    <row r="1444" spans="1:4">
      <c r="A1444" s="7" t="s">
        <v>3376</v>
      </c>
      <c r="B1444" s="8">
        <v>632.91999999999996</v>
      </c>
      <c r="C1444" s="8">
        <v>781.42</v>
      </c>
      <c r="D1444" s="8">
        <v>81</v>
      </c>
    </row>
    <row r="1445" spans="1:4">
      <c r="A1445" s="7" t="s">
        <v>2446</v>
      </c>
      <c r="B1445" s="8">
        <v>7680.65</v>
      </c>
      <c r="C1445" s="8">
        <v>1962.86</v>
      </c>
      <c r="D1445" s="8">
        <v>391.3</v>
      </c>
    </row>
    <row r="1446" spans="1:4">
      <c r="A1446" s="7" t="s">
        <v>2445</v>
      </c>
      <c r="B1446" s="8">
        <v>428.62</v>
      </c>
      <c r="C1446" s="8">
        <v>415.91</v>
      </c>
      <c r="D1446" s="8">
        <v>103.06</v>
      </c>
    </row>
    <row r="1447" spans="1:4">
      <c r="A1447" s="7" t="s">
        <v>2295</v>
      </c>
      <c r="B1447" s="8">
        <v>1990.65</v>
      </c>
      <c r="C1447" s="8">
        <v>1976.32</v>
      </c>
      <c r="D1447" s="8">
        <v>100.73</v>
      </c>
    </row>
    <row r="1448" spans="1:4">
      <c r="A1448" s="7" t="s">
        <v>2294</v>
      </c>
      <c r="B1448" s="8">
        <v>592.80999999999995</v>
      </c>
      <c r="C1448" s="8">
        <v>610.48</v>
      </c>
      <c r="D1448" s="8">
        <v>97.11</v>
      </c>
    </row>
    <row r="1449" spans="1:4">
      <c r="A1449" s="7" t="s">
        <v>3377</v>
      </c>
      <c r="B1449" s="8">
        <v>1610.83</v>
      </c>
      <c r="C1449" s="8">
        <v>1356.67</v>
      </c>
      <c r="D1449" s="8">
        <v>118.73</v>
      </c>
    </row>
    <row r="1450" spans="1:4">
      <c r="A1450" s="7" t="s">
        <v>3378</v>
      </c>
      <c r="B1450" s="8">
        <v>505.09</v>
      </c>
      <c r="C1450" s="8">
        <v>561.85</v>
      </c>
      <c r="D1450" s="8">
        <v>89.9</v>
      </c>
    </row>
    <row r="1451" spans="1:4">
      <c r="A1451" s="7" t="s">
        <v>3379</v>
      </c>
      <c r="B1451" s="8">
        <v>757.53</v>
      </c>
      <c r="C1451" s="8">
        <v>712.99</v>
      </c>
      <c r="D1451" s="8">
        <v>106.25</v>
      </c>
    </row>
    <row r="1452" spans="1:4">
      <c r="A1452" s="7" t="s">
        <v>3380</v>
      </c>
      <c r="B1452" s="8">
        <v>642.78</v>
      </c>
      <c r="C1452" s="8">
        <v>731.11</v>
      </c>
      <c r="D1452" s="8">
        <v>87.92</v>
      </c>
    </row>
    <row r="1453" spans="1:4">
      <c r="A1453" s="7" t="s">
        <v>3381</v>
      </c>
      <c r="B1453" s="8">
        <v>84.76</v>
      </c>
      <c r="C1453" s="8">
        <v>84.76</v>
      </c>
      <c r="D1453" s="8">
        <v>100</v>
      </c>
    </row>
    <row r="1454" spans="1:4">
      <c r="A1454" s="7" t="s">
        <v>3382</v>
      </c>
      <c r="B1454" s="8">
        <v>7543.09</v>
      </c>
      <c r="C1454" s="8">
        <v>8361.7800000000007</v>
      </c>
      <c r="D1454" s="8">
        <v>90.21</v>
      </c>
    </row>
    <row r="1455" spans="1:4">
      <c r="A1455" s="7" t="s">
        <v>3383</v>
      </c>
      <c r="B1455" s="8">
        <v>681.46</v>
      </c>
      <c r="C1455" s="8">
        <v>776.85</v>
      </c>
      <c r="D1455" s="8">
        <v>87.72</v>
      </c>
    </row>
    <row r="1456" spans="1:4">
      <c r="A1456" s="7" t="s">
        <v>3384</v>
      </c>
      <c r="B1456" s="8">
        <v>7578.38</v>
      </c>
      <c r="C1456" s="8">
        <v>8451.7800000000007</v>
      </c>
      <c r="D1456" s="8">
        <v>89.67</v>
      </c>
    </row>
    <row r="1457" spans="1:4">
      <c r="A1457" s="7" t="s">
        <v>3385</v>
      </c>
      <c r="B1457" s="8">
        <v>637.1</v>
      </c>
      <c r="C1457" s="8">
        <v>781.42</v>
      </c>
      <c r="D1457" s="8">
        <v>81.53</v>
      </c>
    </row>
    <row r="1458" spans="1:4">
      <c r="A1458" s="7" t="s">
        <v>3386</v>
      </c>
      <c r="B1458" s="8">
        <v>16099.64</v>
      </c>
      <c r="C1458" s="8">
        <v>6316.02</v>
      </c>
      <c r="D1458" s="8">
        <v>254.9</v>
      </c>
    </row>
    <row r="1459" spans="1:4">
      <c r="A1459" s="7" t="s">
        <v>3387</v>
      </c>
      <c r="B1459" s="8">
        <v>421.38</v>
      </c>
      <c r="C1459" s="8">
        <v>415.91</v>
      </c>
      <c r="D1459" s="8">
        <v>101.32</v>
      </c>
    </row>
    <row r="1460" spans="1:4">
      <c r="A1460" s="7" t="s">
        <v>3388</v>
      </c>
      <c r="B1460" s="8">
        <v>12929.68</v>
      </c>
      <c r="C1460" s="8">
        <v>7771.22</v>
      </c>
      <c r="D1460" s="8">
        <v>166.38</v>
      </c>
    </row>
    <row r="1461" spans="1:4">
      <c r="A1461" s="7" t="s">
        <v>3389</v>
      </c>
      <c r="B1461" s="8">
        <v>592.80999999999995</v>
      </c>
      <c r="C1461" s="8">
        <v>610.48</v>
      </c>
      <c r="D1461" s="8">
        <v>97.11</v>
      </c>
    </row>
    <row r="1462" spans="1:4">
      <c r="A1462" s="7" t="s">
        <v>3390</v>
      </c>
      <c r="B1462" s="8">
        <v>5979.64</v>
      </c>
      <c r="C1462" s="8">
        <v>6561.22</v>
      </c>
      <c r="D1462" s="8">
        <v>91.14</v>
      </c>
    </row>
    <row r="1463" spans="1:4">
      <c r="A1463" s="7" t="s">
        <v>3391</v>
      </c>
      <c r="B1463" s="8">
        <v>676.22</v>
      </c>
      <c r="C1463" s="8">
        <v>776.85</v>
      </c>
      <c r="D1463" s="8">
        <v>87.05</v>
      </c>
    </row>
    <row r="1464" spans="1:4">
      <c r="A1464" s="7" t="s">
        <v>2604</v>
      </c>
      <c r="B1464" s="8">
        <v>10681.38</v>
      </c>
      <c r="C1464" s="8">
        <v>8296.02</v>
      </c>
      <c r="D1464" s="8">
        <v>128.75</v>
      </c>
    </row>
    <row r="1465" spans="1:4">
      <c r="A1465" s="7" t="s">
        <v>2603</v>
      </c>
      <c r="B1465" s="8">
        <v>637.22</v>
      </c>
      <c r="C1465" s="8">
        <v>781.42</v>
      </c>
      <c r="D1465" s="8">
        <v>81.55</v>
      </c>
    </row>
    <row r="1466" spans="1:4">
      <c r="A1466" s="7" t="s">
        <v>3392</v>
      </c>
      <c r="B1466" s="8">
        <v>10004.27</v>
      </c>
      <c r="C1466" s="8">
        <v>7736.02</v>
      </c>
      <c r="D1466" s="8">
        <v>129.32</v>
      </c>
    </row>
    <row r="1467" spans="1:4">
      <c r="A1467" s="7" t="s">
        <v>3393</v>
      </c>
      <c r="B1467" s="8">
        <v>419.7</v>
      </c>
      <c r="C1467" s="8">
        <v>415.91</v>
      </c>
      <c r="D1467" s="8">
        <v>100.91</v>
      </c>
    </row>
    <row r="1468" spans="1:4">
      <c r="A1468" s="7" t="s">
        <v>2606</v>
      </c>
      <c r="B1468" s="8">
        <v>14284.12</v>
      </c>
      <c r="C1468" s="8">
        <v>8706.02</v>
      </c>
      <c r="D1468" s="8">
        <v>164.07</v>
      </c>
    </row>
    <row r="1469" spans="1:4">
      <c r="A1469" s="7" t="s">
        <v>2605</v>
      </c>
      <c r="B1469" s="8">
        <v>592.80999999999995</v>
      </c>
      <c r="C1469" s="8">
        <v>610.48</v>
      </c>
      <c r="D1469" s="8">
        <v>97.11</v>
      </c>
    </row>
    <row r="1470" spans="1:4">
      <c r="A1470" s="7" t="s">
        <v>2450</v>
      </c>
      <c r="B1470" s="8">
        <v>7422.59</v>
      </c>
      <c r="C1470" s="8">
        <v>1288.6199999999999</v>
      </c>
      <c r="D1470" s="8">
        <v>576.01</v>
      </c>
    </row>
    <row r="1471" spans="1:4">
      <c r="A1471" s="7" t="s">
        <v>2449</v>
      </c>
      <c r="B1471" s="8">
        <v>686.82</v>
      </c>
      <c r="C1471" s="8">
        <v>776.85</v>
      </c>
      <c r="D1471" s="8">
        <v>88.41</v>
      </c>
    </row>
    <row r="1472" spans="1:4">
      <c r="A1472" s="7" t="s">
        <v>2305</v>
      </c>
      <c r="B1472" s="8">
        <v>1711.8</v>
      </c>
      <c r="C1472" s="8">
        <v>1912.08</v>
      </c>
      <c r="D1472" s="8">
        <v>89.53</v>
      </c>
    </row>
    <row r="1473" spans="1:4">
      <c r="A1473" s="7" t="s">
        <v>2304</v>
      </c>
      <c r="B1473" s="8">
        <v>642.72</v>
      </c>
      <c r="C1473" s="8">
        <v>781.42</v>
      </c>
      <c r="D1473" s="8">
        <v>82.25</v>
      </c>
    </row>
    <row r="1474" spans="1:4">
      <c r="A1474" s="7" t="s">
        <v>3394</v>
      </c>
      <c r="B1474" s="8">
        <v>7091.82</v>
      </c>
      <c r="C1474" s="8">
        <v>7381.78</v>
      </c>
      <c r="D1474" s="8">
        <v>96.07</v>
      </c>
    </row>
    <row r="1475" spans="1:4">
      <c r="A1475" s="7" t="s">
        <v>3395</v>
      </c>
      <c r="B1475" s="8">
        <v>453.76</v>
      </c>
      <c r="C1475" s="8">
        <v>476.22</v>
      </c>
      <c r="D1475" s="8">
        <v>95.28</v>
      </c>
    </row>
    <row r="1476" spans="1:4">
      <c r="A1476" s="7" t="s">
        <v>3396</v>
      </c>
      <c r="B1476" s="8">
        <v>6792.26</v>
      </c>
      <c r="C1476" s="8">
        <v>6926.58</v>
      </c>
      <c r="D1476" s="8">
        <v>98.06</v>
      </c>
    </row>
    <row r="1477" spans="1:4">
      <c r="A1477" s="7" t="s">
        <v>3397</v>
      </c>
      <c r="B1477" s="8">
        <v>617.79</v>
      </c>
      <c r="C1477" s="8">
        <v>670.79</v>
      </c>
      <c r="D1477" s="8">
        <v>92.1</v>
      </c>
    </row>
    <row r="1478" spans="1:4">
      <c r="A1478" s="7" t="s">
        <v>3398</v>
      </c>
      <c r="B1478" s="8">
        <v>171.76</v>
      </c>
      <c r="C1478" s="8">
        <v>10851.37</v>
      </c>
      <c r="D1478" s="8">
        <v>1.58</v>
      </c>
    </row>
    <row r="1479" spans="1:4">
      <c r="A1479" s="7" t="s">
        <v>3399</v>
      </c>
      <c r="B1479" s="8">
        <v>32514.32</v>
      </c>
      <c r="C1479" s="8">
        <v>19821.349999999999</v>
      </c>
      <c r="D1479" s="8">
        <v>164.04</v>
      </c>
    </row>
    <row r="1480" spans="1:4">
      <c r="A1480" s="7" t="s">
        <v>3400</v>
      </c>
      <c r="B1480" s="8">
        <v>92.71</v>
      </c>
      <c r="C1480" s="8">
        <v>10852.85</v>
      </c>
      <c r="D1480" s="8">
        <v>0.85</v>
      </c>
    </row>
    <row r="1481" spans="1:4">
      <c r="A1481" s="7" t="s">
        <v>3401</v>
      </c>
      <c r="B1481" s="8">
        <v>4194.4399999999996</v>
      </c>
      <c r="C1481" s="8">
        <v>2900</v>
      </c>
      <c r="D1481" s="8">
        <v>144.63999999999999</v>
      </c>
    </row>
    <row r="1482" spans="1:4">
      <c r="A1482" s="7" t="s">
        <v>3402</v>
      </c>
      <c r="B1482" s="8">
        <v>6697.26</v>
      </c>
      <c r="C1482" s="8">
        <v>5912.77</v>
      </c>
      <c r="D1482" s="8">
        <v>113.27</v>
      </c>
    </row>
    <row r="1483" spans="1:4">
      <c r="A1483" s="7" t="s">
        <v>3403</v>
      </c>
      <c r="B1483" s="8">
        <v>185.43</v>
      </c>
      <c r="C1483" s="8">
        <v>185.43</v>
      </c>
      <c r="D1483" s="8">
        <v>100</v>
      </c>
    </row>
    <row r="1484" spans="1:4">
      <c r="A1484" s="7" t="s">
        <v>3404</v>
      </c>
      <c r="B1484" s="8">
        <v>185.43</v>
      </c>
      <c r="C1484" s="8">
        <v>185.43</v>
      </c>
      <c r="D1484" s="8">
        <v>100</v>
      </c>
    </row>
    <row r="1485" spans="1:4">
      <c r="A1485" s="7" t="s">
        <v>3405</v>
      </c>
      <c r="B1485" s="8">
        <v>185.43</v>
      </c>
      <c r="C1485" s="8">
        <v>185.43</v>
      </c>
      <c r="D1485" s="8">
        <v>100</v>
      </c>
    </row>
    <row r="1486" spans="1:4">
      <c r="A1486" s="7" t="s">
        <v>3406</v>
      </c>
      <c r="B1486" s="8">
        <v>100.18</v>
      </c>
      <c r="C1486" s="8">
        <v>100.18</v>
      </c>
      <c r="D1486" s="8">
        <v>100</v>
      </c>
    </row>
    <row r="1487" spans="1:4">
      <c r="A1487" s="7" t="s">
        <v>3407</v>
      </c>
      <c r="B1487" s="8">
        <v>185.43</v>
      </c>
      <c r="C1487" s="8">
        <v>185.43</v>
      </c>
      <c r="D1487" s="8">
        <v>100</v>
      </c>
    </row>
    <row r="1488" spans="1:4">
      <c r="A1488" s="7" t="s">
        <v>3408</v>
      </c>
      <c r="B1488" s="8">
        <v>185.43</v>
      </c>
      <c r="C1488" s="8">
        <v>185.43</v>
      </c>
      <c r="D1488" s="8">
        <v>100</v>
      </c>
    </row>
    <row r="1489" spans="1:4">
      <c r="A1489" s="7" t="s">
        <v>3409</v>
      </c>
      <c r="B1489" s="8">
        <v>185.43</v>
      </c>
      <c r="C1489" s="8">
        <v>185.43</v>
      </c>
      <c r="D1489" s="8">
        <v>100</v>
      </c>
    </row>
    <row r="1490" spans="1:4">
      <c r="A1490" s="7" t="s">
        <v>3410</v>
      </c>
      <c r="B1490" s="8">
        <v>185.43</v>
      </c>
      <c r="C1490" s="8">
        <v>185.43</v>
      </c>
      <c r="D1490" s="8">
        <v>100</v>
      </c>
    </row>
    <row r="1491" spans="1:4">
      <c r="A1491" s="7" t="s">
        <v>3411</v>
      </c>
      <c r="B1491" s="8">
        <v>185.43</v>
      </c>
      <c r="C1491" s="8">
        <v>185.43</v>
      </c>
      <c r="D1491" s="8">
        <v>100</v>
      </c>
    </row>
    <row r="1492" spans="1:4">
      <c r="A1492" s="7" t="s">
        <v>3412</v>
      </c>
      <c r="B1492" s="8">
        <v>185.43</v>
      </c>
      <c r="C1492" s="8">
        <v>185.43</v>
      </c>
      <c r="D1492" s="8">
        <v>100</v>
      </c>
    </row>
    <row r="1493" spans="1:4">
      <c r="A1493" s="7" t="s">
        <v>3413</v>
      </c>
      <c r="B1493" s="8">
        <v>185.43</v>
      </c>
      <c r="C1493" s="8">
        <v>185.43</v>
      </c>
      <c r="D1493" s="8">
        <v>100</v>
      </c>
    </row>
    <row r="1494" spans="1:4">
      <c r="A1494" s="7" t="s">
        <v>3414</v>
      </c>
      <c r="B1494" s="8">
        <v>185.43</v>
      </c>
      <c r="C1494" s="8">
        <v>185.43</v>
      </c>
      <c r="D1494" s="8">
        <v>100</v>
      </c>
    </row>
    <row r="1495" spans="1:4">
      <c r="A1495" s="7" t="s">
        <v>3415</v>
      </c>
      <c r="B1495" s="8">
        <v>185.43</v>
      </c>
      <c r="C1495" s="8">
        <v>185.43</v>
      </c>
      <c r="D1495" s="8">
        <v>100</v>
      </c>
    </row>
    <row r="1496" spans="1:4">
      <c r="A1496" s="7" t="s">
        <v>3416</v>
      </c>
      <c r="B1496" s="8">
        <v>100</v>
      </c>
      <c r="C1496" s="8">
        <v>100</v>
      </c>
      <c r="D1496" s="8">
        <v>100</v>
      </c>
    </row>
    <row r="1497" spans="1:4">
      <c r="A1497" s="7" t="s">
        <v>3417</v>
      </c>
      <c r="B1497" s="8">
        <v>185.43</v>
      </c>
      <c r="C1497" s="8">
        <v>185.43</v>
      </c>
      <c r="D1497" s="8">
        <v>100</v>
      </c>
    </row>
    <row r="1498" spans="1:4">
      <c r="A1498" s="7" t="s">
        <v>3418</v>
      </c>
      <c r="B1498" s="8">
        <v>185.43</v>
      </c>
      <c r="C1498" s="8">
        <v>185.43</v>
      </c>
      <c r="D1498" s="8">
        <v>100</v>
      </c>
    </row>
    <row r="1499" spans="1:4">
      <c r="A1499" s="7" t="s">
        <v>3419</v>
      </c>
      <c r="B1499" s="8">
        <v>482.57</v>
      </c>
      <c r="C1499" s="8">
        <v>549.16</v>
      </c>
      <c r="D1499" s="8">
        <v>87.87</v>
      </c>
    </row>
    <row r="1500" spans="1:4">
      <c r="A1500" s="7" t="s">
        <v>712</v>
      </c>
      <c r="B1500" s="8">
        <v>100</v>
      </c>
      <c r="C1500" s="8">
        <v>100</v>
      </c>
      <c r="D1500" s="8">
        <v>100</v>
      </c>
    </row>
    <row r="1501" spans="1:4">
      <c r="A1501" s="7" t="s">
        <v>3420</v>
      </c>
      <c r="B1501" s="8">
        <v>100</v>
      </c>
      <c r="C1501" s="8">
        <v>100</v>
      </c>
      <c r="D1501" s="8">
        <v>100</v>
      </c>
    </row>
    <row r="1502" spans="1:4">
      <c r="A1502" s="7" t="s">
        <v>3421</v>
      </c>
      <c r="B1502" s="8">
        <v>2583.69</v>
      </c>
      <c r="C1502" s="8">
        <v>2527.14</v>
      </c>
      <c r="D1502" s="8">
        <v>102.24</v>
      </c>
    </row>
    <row r="1503" spans="1:4">
      <c r="A1503" s="7" t="s">
        <v>710</v>
      </c>
      <c r="B1503" s="8">
        <v>107.14</v>
      </c>
      <c r="C1503" s="8">
        <v>107.14</v>
      </c>
      <c r="D1503" s="8">
        <v>100</v>
      </c>
    </row>
    <row r="1504" spans="1:4">
      <c r="A1504" s="7" t="s">
        <v>3422</v>
      </c>
      <c r="B1504" s="8">
        <v>1707.45</v>
      </c>
      <c r="C1504" s="8">
        <v>1927.14</v>
      </c>
      <c r="D1504" s="8">
        <v>88.6</v>
      </c>
    </row>
    <row r="1505" spans="1:4">
      <c r="A1505" s="7" t="s">
        <v>2510</v>
      </c>
      <c r="B1505" s="8">
        <v>972.3</v>
      </c>
      <c r="C1505" s="8">
        <v>1226.8399999999999</v>
      </c>
      <c r="D1505" s="8">
        <v>79.25</v>
      </c>
    </row>
    <row r="1506" spans="1:4">
      <c r="A1506" s="7" t="s">
        <v>2507</v>
      </c>
      <c r="B1506" s="8">
        <v>806.02</v>
      </c>
      <c r="C1506" s="8">
        <v>1088.18</v>
      </c>
      <c r="D1506" s="8">
        <v>74.069999999999993</v>
      </c>
    </row>
    <row r="1507" spans="1:4">
      <c r="A1507" s="7" t="s">
        <v>2515</v>
      </c>
      <c r="B1507" s="8">
        <v>830.81</v>
      </c>
      <c r="C1507" s="8">
        <v>955.24</v>
      </c>
      <c r="D1507" s="8">
        <v>86.97</v>
      </c>
    </row>
    <row r="1508" spans="1:4">
      <c r="A1508" s="7" t="s">
        <v>2512</v>
      </c>
      <c r="B1508" s="8">
        <v>620.39</v>
      </c>
      <c r="C1508" s="8">
        <v>816.58</v>
      </c>
      <c r="D1508" s="8">
        <v>75.97</v>
      </c>
    </row>
    <row r="1509" spans="1:4">
      <c r="A1509" s="7" t="s">
        <v>3423</v>
      </c>
      <c r="B1509" s="8">
        <v>6475.03</v>
      </c>
      <c r="C1509" s="8">
        <v>4326.55</v>
      </c>
      <c r="D1509" s="8">
        <v>149.66</v>
      </c>
    </row>
    <row r="1510" spans="1:4">
      <c r="A1510" s="7" t="s">
        <v>3424</v>
      </c>
      <c r="B1510" s="8">
        <v>6322.14</v>
      </c>
      <c r="C1510" s="8">
        <v>4017.89</v>
      </c>
      <c r="D1510" s="8">
        <v>157.35</v>
      </c>
    </row>
    <row r="1511" spans="1:4">
      <c r="A1511" s="7" t="s">
        <v>3425</v>
      </c>
      <c r="B1511" s="8">
        <v>5572.71</v>
      </c>
      <c r="C1511" s="8">
        <v>4676.55</v>
      </c>
      <c r="D1511" s="8">
        <v>119.16</v>
      </c>
    </row>
    <row r="1512" spans="1:4">
      <c r="A1512" s="7" t="s">
        <v>3426</v>
      </c>
      <c r="B1512" s="8">
        <v>6362.95</v>
      </c>
      <c r="C1512" s="8">
        <v>4367.8900000000003</v>
      </c>
      <c r="D1512" s="8">
        <v>145.68</v>
      </c>
    </row>
    <row r="1513" spans="1:4">
      <c r="A1513" s="7" t="s">
        <v>3427</v>
      </c>
      <c r="B1513" s="8">
        <v>3348.16</v>
      </c>
      <c r="C1513" s="8">
        <v>4026.55</v>
      </c>
      <c r="D1513" s="8">
        <v>83.15</v>
      </c>
    </row>
    <row r="1514" spans="1:4">
      <c r="A1514" s="7" t="s">
        <v>3428</v>
      </c>
      <c r="B1514" s="8">
        <v>3274.09</v>
      </c>
      <c r="C1514" s="8">
        <v>3717.89</v>
      </c>
      <c r="D1514" s="8">
        <v>88.06</v>
      </c>
    </row>
    <row r="1515" spans="1:4">
      <c r="A1515" s="7" t="s">
        <v>713</v>
      </c>
      <c r="B1515" s="8">
        <v>4421.1000000000004</v>
      </c>
      <c r="C1515" s="8">
        <v>4776.46</v>
      </c>
      <c r="D1515" s="8">
        <v>92.56</v>
      </c>
    </row>
    <row r="1516" spans="1:4">
      <c r="A1516" s="7" t="s">
        <v>3429</v>
      </c>
      <c r="B1516" s="8">
        <v>4348.5200000000004</v>
      </c>
      <c r="C1516" s="8">
        <v>4467.8</v>
      </c>
      <c r="D1516" s="8">
        <v>97.33</v>
      </c>
    </row>
    <row r="1517" spans="1:4">
      <c r="A1517" s="7" t="s">
        <v>3430</v>
      </c>
      <c r="B1517" s="8">
        <v>185.43</v>
      </c>
      <c r="C1517" s="8">
        <v>185.43</v>
      </c>
      <c r="D1517" s="8">
        <v>100</v>
      </c>
    </row>
    <row r="1518" spans="1:4">
      <c r="A1518" s="7" t="s">
        <v>3431</v>
      </c>
      <c r="B1518" s="8">
        <v>185.43</v>
      </c>
      <c r="C1518" s="8">
        <v>185.43</v>
      </c>
      <c r="D1518" s="8">
        <v>100</v>
      </c>
    </row>
    <row r="1519" spans="1:4">
      <c r="A1519" s="7" t="s">
        <v>3432</v>
      </c>
      <c r="B1519" s="8">
        <v>2820.6</v>
      </c>
      <c r="C1519" s="8">
        <v>3326.46</v>
      </c>
      <c r="D1519" s="8">
        <v>84.79</v>
      </c>
    </row>
    <row r="1520" spans="1:4">
      <c r="A1520" s="7" t="s">
        <v>3433</v>
      </c>
      <c r="B1520" s="8">
        <v>2648.21</v>
      </c>
      <c r="C1520" s="8">
        <v>3017.8</v>
      </c>
      <c r="D1520" s="8">
        <v>87.75</v>
      </c>
    </row>
    <row r="1521" spans="1:4">
      <c r="A1521" s="7" t="s">
        <v>714</v>
      </c>
      <c r="B1521" s="8">
        <v>139.75</v>
      </c>
      <c r="C1521" s="8">
        <v>139.75</v>
      </c>
      <c r="D1521" s="8">
        <v>100</v>
      </c>
    </row>
    <row r="1522" spans="1:4">
      <c r="A1522" s="7" t="s">
        <v>715</v>
      </c>
      <c r="B1522" s="8">
        <v>90</v>
      </c>
      <c r="C1522" s="8">
        <v>90</v>
      </c>
      <c r="D1522" s="8">
        <v>100</v>
      </c>
    </row>
    <row r="1523" spans="1:4">
      <c r="A1523" s="7" t="s">
        <v>3434</v>
      </c>
      <c r="B1523" s="8">
        <v>90</v>
      </c>
      <c r="C1523" s="8">
        <v>90</v>
      </c>
      <c r="D1523" s="8">
        <v>100</v>
      </c>
    </row>
    <row r="1524" spans="1:4">
      <c r="A1524" s="7" t="s">
        <v>3435</v>
      </c>
      <c r="B1524" s="8">
        <v>90</v>
      </c>
      <c r="C1524" s="8">
        <v>90</v>
      </c>
      <c r="D1524" s="8">
        <v>100</v>
      </c>
    </row>
    <row r="1525" spans="1:4">
      <c r="A1525" s="7" t="s">
        <v>3436</v>
      </c>
      <c r="B1525" s="8">
        <v>90</v>
      </c>
      <c r="C1525" s="8">
        <v>90</v>
      </c>
      <c r="D1525" s="8">
        <v>100</v>
      </c>
    </row>
    <row r="1526" spans="1:4">
      <c r="A1526" s="7" t="s">
        <v>716</v>
      </c>
      <c r="B1526" s="8">
        <v>90</v>
      </c>
      <c r="C1526" s="8">
        <v>90</v>
      </c>
      <c r="D1526" s="8">
        <v>100</v>
      </c>
    </row>
    <row r="1527" spans="1:4">
      <c r="A1527" s="7" t="s">
        <v>3437</v>
      </c>
      <c r="B1527" s="8">
        <v>90</v>
      </c>
      <c r="C1527" s="8">
        <v>90</v>
      </c>
      <c r="D1527" s="8">
        <v>100</v>
      </c>
    </row>
    <row r="1528" spans="1:4">
      <c r="A1528" s="7" t="s">
        <v>3438</v>
      </c>
      <c r="B1528" s="8">
        <v>90</v>
      </c>
      <c r="C1528" s="8">
        <v>90</v>
      </c>
      <c r="D1528" s="8">
        <v>100</v>
      </c>
    </row>
    <row r="1529" spans="1:4">
      <c r="A1529" s="7" t="s">
        <v>3439</v>
      </c>
      <c r="B1529" s="8">
        <v>90</v>
      </c>
      <c r="C1529" s="8">
        <v>90</v>
      </c>
      <c r="D1529" s="8">
        <v>100</v>
      </c>
    </row>
    <row r="1530" spans="1:4">
      <c r="A1530" s="7" t="s">
        <v>3440</v>
      </c>
      <c r="B1530" s="8">
        <v>90</v>
      </c>
      <c r="C1530" s="8">
        <v>90</v>
      </c>
      <c r="D1530" s="8">
        <v>100</v>
      </c>
    </row>
    <row r="1531" spans="1:4">
      <c r="A1531" s="7" t="s">
        <v>3441</v>
      </c>
      <c r="B1531" s="8">
        <v>90</v>
      </c>
      <c r="C1531" s="8">
        <v>90</v>
      </c>
      <c r="D1531" s="8">
        <v>100</v>
      </c>
    </row>
    <row r="1532" spans="1:4">
      <c r="A1532" s="7" t="s">
        <v>3442</v>
      </c>
      <c r="B1532" s="8">
        <v>90</v>
      </c>
      <c r="C1532" s="8">
        <v>90</v>
      </c>
      <c r="D1532" s="8">
        <v>100</v>
      </c>
    </row>
    <row r="1533" spans="1:4">
      <c r="A1533" s="7" t="s">
        <v>3443</v>
      </c>
      <c r="B1533" s="8">
        <v>90</v>
      </c>
      <c r="C1533" s="8">
        <v>90</v>
      </c>
      <c r="D1533" s="8">
        <v>100</v>
      </c>
    </row>
    <row r="1534" spans="1:4">
      <c r="A1534" s="7" t="s">
        <v>717</v>
      </c>
      <c r="B1534" s="8">
        <v>90</v>
      </c>
      <c r="C1534" s="8">
        <v>90</v>
      </c>
      <c r="D1534" s="8">
        <v>100</v>
      </c>
    </row>
    <row r="1535" spans="1:4">
      <c r="A1535" s="7" t="s">
        <v>718</v>
      </c>
      <c r="B1535" s="8">
        <v>90</v>
      </c>
      <c r="C1535" s="8">
        <v>90</v>
      </c>
      <c r="D1535" s="8">
        <v>100</v>
      </c>
    </row>
    <row r="1536" spans="1:4">
      <c r="A1536" s="7" t="s">
        <v>3444</v>
      </c>
      <c r="B1536" s="8">
        <v>90</v>
      </c>
      <c r="C1536" s="8">
        <v>90</v>
      </c>
      <c r="D1536" s="8">
        <v>100</v>
      </c>
    </row>
    <row r="1537" spans="1:4">
      <c r="A1537" s="7" t="s">
        <v>3445</v>
      </c>
      <c r="B1537" s="8">
        <v>90</v>
      </c>
      <c r="C1537" s="8">
        <v>90</v>
      </c>
      <c r="D1537" s="8">
        <v>100</v>
      </c>
    </row>
    <row r="1538" spans="1:4">
      <c r="A1538" s="7" t="s">
        <v>719</v>
      </c>
      <c r="B1538" s="8">
        <v>90</v>
      </c>
      <c r="C1538" s="8">
        <v>90</v>
      </c>
      <c r="D1538" s="8">
        <v>100</v>
      </c>
    </row>
    <row r="1539" spans="1:4">
      <c r="A1539" s="7" t="s">
        <v>3446</v>
      </c>
      <c r="B1539" s="8">
        <v>90</v>
      </c>
      <c r="C1539" s="8">
        <v>90</v>
      </c>
      <c r="D1539" s="8">
        <v>100</v>
      </c>
    </row>
    <row r="1540" spans="1:4">
      <c r="A1540" s="7" t="s">
        <v>3447</v>
      </c>
      <c r="B1540" s="8">
        <v>90</v>
      </c>
      <c r="C1540" s="8">
        <v>90</v>
      </c>
      <c r="D1540" s="8">
        <v>100</v>
      </c>
    </row>
    <row r="1541" spans="1:4">
      <c r="A1541" s="7" t="s">
        <v>3448</v>
      </c>
      <c r="B1541" s="8">
        <v>90</v>
      </c>
      <c r="C1541" s="8">
        <v>90</v>
      </c>
      <c r="D1541" s="8">
        <v>100</v>
      </c>
    </row>
    <row r="1542" spans="1:4">
      <c r="A1542" s="7" t="s">
        <v>711</v>
      </c>
      <c r="B1542" s="8">
        <v>100.03</v>
      </c>
      <c r="C1542" s="8">
        <v>100.03</v>
      </c>
      <c r="D1542" s="8">
        <v>100</v>
      </c>
    </row>
    <row r="1543" spans="1:4">
      <c r="A1543" s="7" t="s">
        <v>3449</v>
      </c>
      <c r="B1543" s="8">
        <v>6594.61</v>
      </c>
      <c r="C1543" s="8">
        <v>6801.22</v>
      </c>
      <c r="D1543" s="8">
        <v>96.96</v>
      </c>
    </row>
    <row r="1544" spans="1:4">
      <c r="A1544" s="7" t="s">
        <v>3450</v>
      </c>
      <c r="B1544" s="8">
        <v>685.25</v>
      </c>
      <c r="C1544" s="8">
        <v>776.85</v>
      </c>
      <c r="D1544" s="8">
        <v>88.21</v>
      </c>
    </row>
    <row r="1545" spans="1:4">
      <c r="A1545" s="7" t="s">
        <v>2608</v>
      </c>
      <c r="B1545" s="8">
        <v>14954.66</v>
      </c>
      <c r="C1545" s="8">
        <v>10211.219999999999</v>
      </c>
      <c r="D1545" s="8">
        <v>146.44999999999999</v>
      </c>
    </row>
    <row r="1546" spans="1:4">
      <c r="A1546" s="7" t="s">
        <v>2607</v>
      </c>
      <c r="B1546" s="8">
        <v>631.70000000000005</v>
      </c>
      <c r="C1546" s="8">
        <v>781.42</v>
      </c>
      <c r="D1546" s="8">
        <v>80.84</v>
      </c>
    </row>
    <row r="1547" spans="1:4">
      <c r="A1547" s="7" t="s">
        <v>3451</v>
      </c>
      <c r="B1547" s="8">
        <v>9882.84</v>
      </c>
      <c r="C1547" s="8">
        <v>9546.65</v>
      </c>
      <c r="D1547" s="8">
        <v>103.52</v>
      </c>
    </row>
    <row r="1548" spans="1:4">
      <c r="A1548" s="7" t="s">
        <v>3452</v>
      </c>
      <c r="B1548" s="8">
        <v>423.74</v>
      </c>
      <c r="C1548" s="8">
        <v>415.91</v>
      </c>
      <c r="D1548" s="8">
        <v>101.88</v>
      </c>
    </row>
    <row r="1549" spans="1:4">
      <c r="A1549" s="7" t="s">
        <v>2600</v>
      </c>
      <c r="B1549" s="8">
        <v>17313.830000000002</v>
      </c>
      <c r="C1549" s="8">
        <v>9221.2199999999993</v>
      </c>
      <c r="D1549" s="8">
        <v>187.76</v>
      </c>
    </row>
    <row r="1550" spans="1:4">
      <c r="A1550" s="7" t="s">
        <v>2599</v>
      </c>
      <c r="B1550" s="8">
        <v>592.80999999999995</v>
      </c>
      <c r="C1550" s="8">
        <v>610.48</v>
      </c>
      <c r="D1550" s="8">
        <v>97.11</v>
      </c>
    </row>
    <row r="1551" spans="1:4">
      <c r="A1551" s="7" t="s">
        <v>3453</v>
      </c>
      <c r="B1551" s="8">
        <v>8737.74</v>
      </c>
      <c r="C1551" s="8">
        <v>6892.08</v>
      </c>
      <c r="D1551" s="8">
        <v>126.78</v>
      </c>
    </row>
    <row r="1552" spans="1:4">
      <c r="A1552" s="7" t="s">
        <v>3454</v>
      </c>
      <c r="B1552" s="8">
        <v>445.89</v>
      </c>
      <c r="C1552" s="8">
        <v>476.22</v>
      </c>
      <c r="D1552" s="8">
        <v>93.63</v>
      </c>
    </row>
    <row r="1553" spans="1:4">
      <c r="A1553" s="7" t="s">
        <v>2602</v>
      </c>
      <c r="B1553" s="8">
        <v>14229.72</v>
      </c>
      <c r="C1553" s="8">
        <v>8981.2199999999993</v>
      </c>
      <c r="D1553" s="8">
        <v>158.44</v>
      </c>
    </row>
    <row r="1554" spans="1:4">
      <c r="A1554" s="7" t="s">
        <v>2601</v>
      </c>
      <c r="B1554" s="8">
        <v>617.79</v>
      </c>
      <c r="C1554" s="8">
        <v>670.79</v>
      </c>
      <c r="D1554" s="8">
        <v>92.1</v>
      </c>
    </row>
    <row r="1555" spans="1:4">
      <c r="A1555" s="7" t="s">
        <v>3455</v>
      </c>
      <c r="B1555" s="8">
        <v>14926.62</v>
      </c>
      <c r="C1555" s="8">
        <v>5881.22</v>
      </c>
      <c r="D1555" s="8">
        <v>253.8</v>
      </c>
    </row>
    <row r="1556" spans="1:4">
      <c r="A1556" s="7" t="s">
        <v>3456</v>
      </c>
      <c r="B1556" s="8">
        <v>454.54</v>
      </c>
      <c r="C1556" s="8">
        <v>476.22</v>
      </c>
      <c r="D1556" s="8">
        <v>95.45</v>
      </c>
    </row>
    <row r="1557" spans="1:4">
      <c r="A1557" s="7" t="s">
        <v>3457</v>
      </c>
      <c r="B1557" s="8">
        <v>14759.03</v>
      </c>
      <c r="C1557" s="8">
        <v>7541.22</v>
      </c>
      <c r="D1557" s="8">
        <v>195.71</v>
      </c>
    </row>
    <row r="1558" spans="1:4">
      <c r="A1558" s="7" t="s">
        <v>3458</v>
      </c>
      <c r="B1558" s="8">
        <v>617.79</v>
      </c>
      <c r="C1558" s="8">
        <v>670.79</v>
      </c>
      <c r="D1558" s="8">
        <v>92.1</v>
      </c>
    </row>
    <row r="1559" spans="1:4">
      <c r="A1559" s="7" t="s">
        <v>3459</v>
      </c>
      <c r="B1559" s="8">
        <v>454.3</v>
      </c>
      <c r="C1559" s="8">
        <v>476.22</v>
      </c>
      <c r="D1559" s="8">
        <v>95.4</v>
      </c>
    </row>
    <row r="1560" spans="1:4">
      <c r="A1560" s="7" t="s">
        <v>3460</v>
      </c>
      <c r="B1560" s="8">
        <v>1450.61</v>
      </c>
      <c r="C1560" s="8">
        <v>1662.43</v>
      </c>
      <c r="D1560" s="8">
        <v>87.26</v>
      </c>
    </row>
    <row r="1561" spans="1:4">
      <c r="A1561" s="7" t="s">
        <v>3461</v>
      </c>
      <c r="B1561" s="8">
        <v>617.79</v>
      </c>
      <c r="C1561" s="8">
        <v>670.79</v>
      </c>
      <c r="D1561" s="8">
        <v>92.1</v>
      </c>
    </row>
    <row r="1562" spans="1:4">
      <c r="A1562" s="7" t="s">
        <v>3462</v>
      </c>
      <c r="B1562" s="8">
        <v>468.51</v>
      </c>
      <c r="C1562" s="8">
        <v>536.54</v>
      </c>
      <c r="D1562" s="8">
        <v>87.32</v>
      </c>
    </row>
    <row r="1563" spans="1:4">
      <c r="A1563" s="7" t="s">
        <v>3463</v>
      </c>
      <c r="B1563" s="8">
        <v>1786.53</v>
      </c>
      <c r="C1563" s="8">
        <v>1792.43</v>
      </c>
      <c r="D1563" s="8">
        <v>99.67</v>
      </c>
    </row>
    <row r="1564" spans="1:4">
      <c r="A1564" s="7" t="s">
        <v>3464</v>
      </c>
      <c r="B1564" s="8">
        <v>642.78</v>
      </c>
      <c r="C1564" s="8">
        <v>731.11</v>
      </c>
      <c r="D1564" s="8">
        <v>87.92</v>
      </c>
    </row>
    <row r="1565" spans="1:4">
      <c r="A1565" s="7" t="s">
        <v>3465</v>
      </c>
      <c r="B1565" s="8">
        <v>479.52</v>
      </c>
      <c r="C1565" s="8">
        <v>536.54</v>
      </c>
      <c r="D1565" s="8">
        <v>89.37</v>
      </c>
    </row>
    <row r="1566" spans="1:4">
      <c r="A1566" s="7" t="s">
        <v>3466</v>
      </c>
      <c r="B1566" s="8">
        <v>2590</v>
      </c>
      <c r="C1566" s="8">
        <v>2532.4299999999998</v>
      </c>
      <c r="D1566" s="8">
        <v>102.27</v>
      </c>
    </row>
    <row r="1567" spans="1:4">
      <c r="A1567" s="7" t="s">
        <v>3467</v>
      </c>
      <c r="B1567" s="8">
        <v>642.78</v>
      </c>
      <c r="C1567" s="8">
        <v>731.11</v>
      </c>
      <c r="D1567" s="8">
        <v>87.92</v>
      </c>
    </row>
    <row r="1568" spans="1:4">
      <c r="A1568" s="7" t="s">
        <v>3468</v>
      </c>
      <c r="B1568" s="8">
        <v>421.59</v>
      </c>
      <c r="C1568" s="8">
        <v>415.91</v>
      </c>
      <c r="D1568" s="8">
        <v>101.37</v>
      </c>
    </row>
    <row r="1569" spans="1:4">
      <c r="A1569" s="7" t="s">
        <v>3469</v>
      </c>
      <c r="B1569" s="8">
        <v>1905.92</v>
      </c>
      <c r="C1569" s="8">
        <v>2049.23</v>
      </c>
      <c r="D1569" s="8">
        <v>93.01</v>
      </c>
    </row>
    <row r="1570" spans="1:4">
      <c r="A1570" s="7" t="s">
        <v>3470</v>
      </c>
      <c r="B1570" s="8">
        <v>592.80999999999995</v>
      </c>
      <c r="C1570" s="8">
        <v>610.48</v>
      </c>
      <c r="D1570" s="8">
        <v>97.11</v>
      </c>
    </row>
    <row r="1571" spans="1:4">
      <c r="A1571" s="7" t="s">
        <v>3471</v>
      </c>
      <c r="B1571" s="8">
        <v>5465.36</v>
      </c>
      <c r="C1571" s="8">
        <v>4401.78</v>
      </c>
      <c r="D1571" s="8">
        <v>124.16</v>
      </c>
    </row>
    <row r="1572" spans="1:4">
      <c r="A1572" s="7" t="s">
        <v>3472</v>
      </c>
      <c r="B1572" s="8">
        <v>419.49</v>
      </c>
      <c r="C1572" s="8">
        <v>415.91</v>
      </c>
      <c r="D1572" s="8">
        <v>100.86</v>
      </c>
    </row>
    <row r="1573" spans="1:4">
      <c r="A1573" s="7" t="s">
        <v>2317</v>
      </c>
      <c r="B1573" s="8">
        <v>7679.67</v>
      </c>
      <c r="C1573" s="8">
        <v>5606.02</v>
      </c>
      <c r="D1573" s="8">
        <v>136.99</v>
      </c>
    </row>
    <row r="1574" spans="1:4">
      <c r="A1574" s="7" t="s">
        <v>2316</v>
      </c>
      <c r="B1574" s="8">
        <v>592.80999999999995</v>
      </c>
      <c r="C1574" s="8">
        <v>610.48</v>
      </c>
      <c r="D1574" s="8">
        <v>97.11</v>
      </c>
    </row>
    <row r="1575" spans="1:4">
      <c r="A1575" s="7" t="s">
        <v>3473</v>
      </c>
      <c r="B1575" s="8">
        <v>8734.4699999999993</v>
      </c>
      <c r="C1575" s="8">
        <v>4376.0200000000004</v>
      </c>
      <c r="D1575" s="8">
        <v>199.6</v>
      </c>
    </row>
    <row r="1576" spans="1:4">
      <c r="A1576" s="7" t="s">
        <v>3474</v>
      </c>
      <c r="B1576" s="8">
        <v>480.16</v>
      </c>
      <c r="C1576" s="8">
        <v>536.54</v>
      </c>
      <c r="D1576" s="8">
        <v>89.49</v>
      </c>
    </row>
    <row r="1577" spans="1:4">
      <c r="A1577" s="7" t="s">
        <v>2319</v>
      </c>
      <c r="B1577" s="8">
        <v>12222.22</v>
      </c>
      <c r="C1577" s="8">
        <v>5336.02</v>
      </c>
      <c r="D1577" s="8">
        <v>229.05</v>
      </c>
    </row>
    <row r="1578" spans="1:4">
      <c r="A1578" s="7" t="s">
        <v>2318</v>
      </c>
      <c r="B1578" s="8">
        <v>642.78</v>
      </c>
      <c r="C1578" s="8">
        <v>731.11</v>
      </c>
      <c r="D1578" s="8">
        <v>87.92</v>
      </c>
    </row>
    <row r="1579" spans="1:4">
      <c r="A1579" s="7" t="s">
        <v>3475</v>
      </c>
      <c r="B1579" s="8">
        <v>6132.5</v>
      </c>
      <c r="C1579" s="8">
        <v>5076.0200000000004</v>
      </c>
      <c r="D1579" s="8">
        <v>120.81</v>
      </c>
    </row>
    <row r="1580" spans="1:4">
      <c r="A1580" s="7" t="s">
        <v>3476</v>
      </c>
      <c r="B1580" s="8">
        <v>480.25</v>
      </c>
      <c r="C1580" s="8">
        <v>536.54</v>
      </c>
      <c r="D1580" s="8">
        <v>89.51</v>
      </c>
    </row>
    <row r="1581" spans="1:4">
      <c r="A1581" s="7" t="s">
        <v>3477</v>
      </c>
      <c r="B1581" s="8">
        <v>9990.2800000000007</v>
      </c>
      <c r="C1581" s="8">
        <v>5536.02</v>
      </c>
      <c r="D1581" s="8">
        <v>180.46</v>
      </c>
    </row>
    <row r="1582" spans="1:4">
      <c r="A1582" s="7" t="s">
        <v>3478</v>
      </c>
      <c r="B1582" s="8">
        <v>642.78</v>
      </c>
      <c r="C1582" s="8">
        <v>731.11</v>
      </c>
      <c r="D1582" s="8">
        <v>87.92</v>
      </c>
    </row>
    <row r="1583" spans="1:4">
      <c r="A1583" s="7" t="s">
        <v>3479</v>
      </c>
      <c r="B1583" s="8">
        <v>7739.6</v>
      </c>
      <c r="C1583" s="8">
        <v>7741.22</v>
      </c>
      <c r="D1583" s="8">
        <v>99.98</v>
      </c>
    </row>
    <row r="1584" spans="1:4">
      <c r="A1584" s="7" t="s">
        <v>3480</v>
      </c>
      <c r="B1584" s="8">
        <v>685.42</v>
      </c>
      <c r="C1584" s="8">
        <v>776.85</v>
      </c>
      <c r="D1584" s="8">
        <v>88.23</v>
      </c>
    </row>
    <row r="1585" spans="1:4">
      <c r="A1585" s="7" t="s">
        <v>3481</v>
      </c>
      <c r="B1585" s="8">
        <v>7750.74</v>
      </c>
      <c r="C1585" s="8">
        <v>7631.22</v>
      </c>
      <c r="D1585" s="8">
        <v>101.57</v>
      </c>
    </row>
    <row r="1586" spans="1:4">
      <c r="A1586" s="7" t="s">
        <v>3482</v>
      </c>
      <c r="B1586" s="8">
        <v>634.46</v>
      </c>
      <c r="C1586" s="8">
        <v>781.42</v>
      </c>
      <c r="D1586" s="8">
        <v>81.19</v>
      </c>
    </row>
    <row r="1587" spans="1:4">
      <c r="A1587" s="7" t="s">
        <v>3483</v>
      </c>
      <c r="B1587" s="8">
        <v>451.43</v>
      </c>
      <c r="C1587" s="8">
        <v>441.22</v>
      </c>
      <c r="D1587" s="8">
        <v>102.31</v>
      </c>
    </row>
    <row r="1588" spans="1:4">
      <c r="A1588" s="7" t="s">
        <v>3484</v>
      </c>
      <c r="B1588" s="8">
        <v>11701.78</v>
      </c>
      <c r="C1588" s="8">
        <v>8201.2199999999993</v>
      </c>
      <c r="D1588" s="8">
        <v>142.68</v>
      </c>
    </row>
    <row r="1589" spans="1:4">
      <c r="A1589" s="7" t="s">
        <v>3485</v>
      </c>
      <c r="B1589" s="8">
        <v>592.80999999999995</v>
      </c>
      <c r="C1589" s="8">
        <v>610.48</v>
      </c>
      <c r="D1589" s="8">
        <v>97.11</v>
      </c>
    </row>
    <row r="1590" spans="1:4">
      <c r="A1590" s="7" t="s">
        <v>3486</v>
      </c>
      <c r="B1590" s="8">
        <v>483.33</v>
      </c>
      <c r="C1590" s="8">
        <v>536.54</v>
      </c>
      <c r="D1590" s="8">
        <v>90.08</v>
      </c>
    </row>
    <row r="1591" spans="1:4">
      <c r="A1591" s="7" t="s">
        <v>3487</v>
      </c>
      <c r="B1591" s="8">
        <v>8207.23</v>
      </c>
      <c r="C1591" s="8">
        <v>8146.02</v>
      </c>
      <c r="D1591" s="8">
        <v>100.75</v>
      </c>
    </row>
    <row r="1592" spans="1:4">
      <c r="A1592" s="7" t="s">
        <v>3488</v>
      </c>
      <c r="B1592" s="8">
        <v>642.78</v>
      </c>
      <c r="C1592" s="8">
        <v>731.11</v>
      </c>
      <c r="D1592" s="8">
        <v>87.92</v>
      </c>
    </row>
    <row r="1593" spans="1:4">
      <c r="A1593" s="7" t="s">
        <v>3489</v>
      </c>
      <c r="B1593" s="8">
        <v>480.34</v>
      </c>
      <c r="C1593" s="8">
        <v>501.53</v>
      </c>
      <c r="D1593" s="8">
        <v>95.77</v>
      </c>
    </row>
    <row r="1594" spans="1:4">
      <c r="A1594" s="7" t="s">
        <v>3490</v>
      </c>
      <c r="B1594" s="8">
        <v>14415.25</v>
      </c>
      <c r="C1594" s="8">
        <v>5726.02</v>
      </c>
      <c r="D1594" s="8">
        <v>251.75</v>
      </c>
    </row>
    <row r="1595" spans="1:4">
      <c r="A1595" s="7" t="s">
        <v>3491</v>
      </c>
      <c r="B1595" s="8">
        <v>617.79</v>
      </c>
      <c r="C1595" s="8">
        <v>670.79</v>
      </c>
      <c r="D1595" s="8">
        <v>92.1</v>
      </c>
    </row>
    <row r="1596" spans="1:4">
      <c r="A1596" s="7" t="s">
        <v>2454</v>
      </c>
      <c r="B1596" s="8">
        <v>7681.35</v>
      </c>
      <c r="C1596" s="8">
        <v>5801.78</v>
      </c>
      <c r="D1596" s="8">
        <v>132.4</v>
      </c>
    </row>
    <row r="1597" spans="1:4">
      <c r="A1597" s="7" t="s">
        <v>2453</v>
      </c>
      <c r="B1597" s="8">
        <v>428.28</v>
      </c>
      <c r="C1597" s="8">
        <v>415.91</v>
      </c>
      <c r="D1597" s="8">
        <v>102.97</v>
      </c>
    </row>
    <row r="1598" spans="1:4">
      <c r="A1598" s="7" t="s">
        <v>2313</v>
      </c>
      <c r="B1598" s="8">
        <v>11936.01</v>
      </c>
      <c r="C1598" s="8">
        <v>3731.79</v>
      </c>
      <c r="D1598" s="8">
        <v>319.85000000000002</v>
      </c>
    </row>
    <row r="1599" spans="1:4">
      <c r="A1599" s="7" t="s">
        <v>2312</v>
      </c>
      <c r="B1599" s="8">
        <v>592.80999999999995</v>
      </c>
      <c r="C1599" s="8">
        <v>610.48</v>
      </c>
      <c r="D1599" s="8">
        <v>97.11</v>
      </c>
    </row>
    <row r="1600" spans="1:4">
      <c r="A1600" s="7" t="s">
        <v>3492</v>
      </c>
      <c r="B1600" s="8">
        <v>7639.29</v>
      </c>
      <c r="C1600" s="8">
        <v>1998.62</v>
      </c>
      <c r="D1600" s="8">
        <v>382.23</v>
      </c>
    </row>
    <row r="1601" spans="1:4">
      <c r="A1601" s="7" t="s">
        <v>3493</v>
      </c>
      <c r="B1601" s="8">
        <v>470.15</v>
      </c>
      <c r="C1601" s="8">
        <v>536.54</v>
      </c>
      <c r="D1601" s="8">
        <v>87.63</v>
      </c>
    </row>
    <row r="1602" spans="1:4">
      <c r="A1602" s="7" t="s">
        <v>2307</v>
      </c>
      <c r="B1602" s="8">
        <v>1901</v>
      </c>
      <c r="C1602" s="8">
        <v>2112.08</v>
      </c>
      <c r="D1602" s="8">
        <v>90.01</v>
      </c>
    </row>
    <row r="1603" spans="1:4">
      <c r="A1603" s="7" t="s">
        <v>2306</v>
      </c>
      <c r="B1603" s="8">
        <v>642.78</v>
      </c>
      <c r="C1603" s="8">
        <v>731.11</v>
      </c>
      <c r="D1603" s="8">
        <v>87.92</v>
      </c>
    </row>
    <row r="1604" spans="1:4">
      <c r="A1604" s="7" t="s">
        <v>3494</v>
      </c>
      <c r="B1604" s="8">
        <v>7663.24</v>
      </c>
      <c r="C1604" s="8">
        <v>5941.78</v>
      </c>
      <c r="D1604" s="8">
        <v>128.97</v>
      </c>
    </row>
    <row r="1605" spans="1:4">
      <c r="A1605" s="7" t="s">
        <v>3495</v>
      </c>
      <c r="B1605" s="8">
        <v>446.25</v>
      </c>
      <c r="C1605" s="8">
        <v>476.22</v>
      </c>
      <c r="D1605" s="8">
        <v>93.71</v>
      </c>
    </row>
    <row r="1606" spans="1:4">
      <c r="A1606" s="7" t="s">
        <v>2309</v>
      </c>
      <c r="B1606" s="8">
        <v>2251.92</v>
      </c>
      <c r="C1606" s="8">
        <v>2482.08</v>
      </c>
      <c r="D1606" s="8">
        <v>90.73</v>
      </c>
    </row>
    <row r="1607" spans="1:4">
      <c r="A1607" s="7" t="s">
        <v>2308</v>
      </c>
      <c r="B1607" s="8">
        <v>617.79</v>
      </c>
      <c r="C1607" s="8">
        <v>670.79</v>
      </c>
      <c r="D1607" s="8">
        <v>92.1</v>
      </c>
    </row>
    <row r="1608" spans="1:4">
      <c r="A1608" s="7" t="s">
        <v>2511</v>
      </c>
      <c r="B1608" s="8">
        <v>6938.8</v>
      </c>
      <c r="C1608" s="8">
        <v>5223.1000000000004</v>
      </c>
      <c r="D1608" s="8">
        <v>132.85</v>
      </c>
    </row>
    <row r="1609" spans="1:4">
      <c r="A1609" s="7" t="s">
        <v>2516</v>
      </c>
      <c r="B1609" s="8">
        <v>6369.06</v>
      </c>
      <c r="C1609" s="8">
        <v>4227.7299999999996</v>
      </c>
      <c r="D1609" s="8">
        <v>150.65</v>
      </c>
    </row>
    <row r="1610" spans="1:4">
      <c r="A1610" s="7" t="s">
        <v>3496</v>
      </c>
      <c r="B1610" s="8">
        <v>162.29</v>
      </c>
      <c r="C1610" s="8">
        <v>162.29</v>
      </c>
      <c r="D1610" s="8">
        <v>100</v>
      </c>
    </row>
    <row r="1611" spans="1:4">
      <c r="A1611" s="7" t="s">
        <v>3497</v>
      </c>
      <c r="B1611" s="8">
        <v>106.92</v>
      </c>
      <c r="C1611" s="8">
        <v>106.92</v>
      </c>
      <c r="D1611" s="8">
        <v>100</v>
      </c>
    </row>
    <row r="1612" spans="1:4">
      <c r="A1612" s="7" t="s">
        <v>3498</v>
      </c>
      <c r="B1612" s="8">
        <v>117.28</v>
      </c>
      <c r="C1612" s="8">
        <v>131.91999999999999</v>
      </c>
      <c r="D1612" s="8">
        <v>88.9</v>
      </c>
    </row>
    <row r="1613" spans="1:4">
      <c r="A1613" s="7" t="s">
        <v>3499</v>
      </c>
      <c r="B1613" s="8">
        <v>274.06</v>
      </c>
      <c r="C1613" s="8">
        <v>263.7</v>
      </c>
      <c r="D1613" s="8">
        <v>103.93</v>
      </c>
    </row>
    <row r="1614" spans="1:4">
      <c r="A1614" s="7" t="s">
        <v>3500</v>
      </c>
      <c r="B1614" s="8">
        <v>179.7</v>
      </c>
      <c r="C1614" s="8">
        <v>179.7</v>
      </c>
      <c r="D1614" s="8">
        <v>100</v>
      </c>
    </row>
    <row r="1615" spans="1:4">
      <c r="A1615" s="7" t="s">
        <v>3501</v>
      </c>
      <c r="B1615" s="8">
        <v>98.21</v>
      </c>
      <c r="C1615" s="8">
        <v>127.5</v>
      </c>
      <c r="D1615" s="8">
        <v>77.03</v>
      </c>
    </row>
    <row r="1616" spans="1:4">
      <c r="A1616" s="7" t="s">
        <v>2509</v>
      </c>
      <c r="B1616" s="8">
        <v>97</v>
      </c>
      <c r="C1616" s="8">
        <v>97</v>
      </c>
      <c r="D1616" s="8">
        <v>100</v>
      </c>
    </row>
    <row r="1617" spans="1:4">
      <c r="A1617" s="7" t="s">
        <v>3502</v>
      </c>
      <c r="B1617" s="8">
        <v>560.39</v>
      </c>
      <c r="C1617" s="8">
        <v>581.54</v>
      </c>
      <c r="D1617" s="8">
        <v>96.36</v>
      </c>
    </row>
    <row r="1618" spans="1:4">
      <c r="A1618" s="7" t="s">
        <v>2508</v>
      </c>
      <c r="B1618" s="8">
        <v>169.07</v>
      </c>
      <c r="C1618" s="8">
        <v>172</v>
      </c>
      <c r="D1618" s="8">
        <v>98.3</v>
      </c>
    </row>
    <row r="1619" spans="1:4">
      <c r="A1619" s="7" t="s">
        <v>3503</v>
      </c>
      <c r="B1619" s="8">
        <v>239.07</v>
      </c>
      <c r="C1619" s="8">
        <v>242</v>
      </c>
      <c r="D1619" s="8">
        <v>98.79</v>
      </c>
    </row>
    <row r="1620" spans="1:4">
      <c r="A1620" s="7" t="s">
        <v>3504</v>
      </c>
      <c r="B1620" s="8">
        <v>98.21</v>
      </c>
      <c r="C1620" s="8">
        <v>127.5</v>
      </c>
      <c r="D1620" s="8">
        <v>77.03</v>
      </c>
    </row>
    <row r="1621" spans="1:4">
      <c r="A1621" s="7" t="s">
        <v>2514</v>
      </c>
      <c r="B1621" s="8">
        <v>97</v>
      </c>
      <c r="C1621" s="8">
        <v>97</v>
      </c>
      <c r="D1621" s="8">
        <v>100</v>
      </c>
    </row>
    <row r="1622" spans="1:4">
      <c r="A1622" s="7" t="s">
        <v>3505</v>
      </c>
      <c r="B1622" s="8">
        <v>560.39</v>
      </c>
      <c r="C1622" s="8">
        <v>581.54</v>
      </c>
      <c r="D1622" s="8">
        <v>96.36</v>
      </c>
    </row>
    <row r="1623" spans="1:4">
      <c r="A1623" s="7" t="s">
        <v>2513</v>
      </c>
      <c r="B1623" s="8">
        <v>169.07</v>
      </c>
      <c r="C1623" s="8">
        <v>172</v>
      </c>
      <c r="D1623" s="8">
        <v>98.3</v>
      </c>
    </row>
    <row r="1624" spans="1:4">
      <c r="A1624" s="7" t="s">
        <v>3506</v>
      </c>
      <c r="B1624" s="8">
        <v>239.07</v>
      </c>
      <c r="C1624" s="8">
        <v>242</v>
      </c>
      <c r="D1624" s="8">
        <v>98.79</v>
      </c>
    </row>
    <row r="1625" spans="1:4">
      <c r="A1625" s="7" t="s">
        <v>3507</v>
      </c>
      <c r="B1625" s="8">
        <v>8707.02</v>
      </c>
      <c r="C1625" s="8">
        <v>6096.02</v>
      </c>
      <c r="D1625" s="8">
        <v>142.83000000000001</v>
      </c>
    </row>
    <row r="1626" spans="1:4">
      <c r="A1626" s="7" t="s">
        <v>3508</v>
      </c>
      <c r="B1626" s="8">
        <v>451.46</v>
      </c>
      <c r="C1626" s="8">
        <v>476.22</v>
      </c>
      <c r="D1626" s="8">
        <v>94.8</v>
      </c>
    </row>
    <row r="1627" spans="1:4">
      <c r="A1627" s="7" t="s">
        <v>2315</v>
      </c>
      <c r="B1627" s="8">
        <v>13779.8</v>
      </c>
      <c r="C1627" s="8">
        <v>5586.02</v>
      </c>
      <c r="D1627" s="8">
        <v>246.68</v>
      </c>
    </row>
    <row r="1628" spans="1:4">
      <c r="A1628" s="7" t="s">
        <v>2314</v>
      </c>
      <c r="B1628" s="8">
        <v>617.79</v>
      </c>
      <c r="C1628" s="8">
        <v>670.79</v>
      </c>
      <c r="D1628" s="8">
        <v>92.1</v>
      </c>
    </row>
    <row r="1629" spans="1:4">
      <c r="A1629" s="7" t="s">
        <v>3509</v>
      </c>
      <c r="B1629" s="8">
        <v>5483.93</v>
      </c>
      <c r="C1629" s="8">
        <v>6001.22</v>
      </c>
      <c r="D1629" s="8">
        <v>91.38</v>
      </c>
    </row>
    <row r="1630" spans="1:4">
      <c r="A1630" s="7" t="s">
        <v>3510</v>
      </c>
      <c r="B1630" s="8">
        <v>477.78</v>
      </c>
      <c r="C1630" s="8">
        <v>536.54</v>
      </c>
      <c r="D1630" s="8">
        <v>89.05</v>
      </c>
    </row>
    <row r="1631" spans="1:4">
      <c r="A1631" s="7" t="s">
        <v>3511</v>
      </c>
      <c r="B1631" s="8">
        <v>5630.96</v>
      </c>
      <c r="C1631" s="8">
        <v>6261.22</v>
      </c>
      <c r="D1631" s="8">
        <v>89.93</v>
      </c>
    </row>
    <row r="1632" spans="1:4">
      <c r="A1632" s="7" t="s">
        <v>3512</v>
      </c>
      <c r="B1632" s="8">
        <v>642.78</v>
      </c>
      <c r="C1632" s="8">
        <v>731.11</v>
      </c>
      <c r="D1632" s="8">
        <v>87.92</v>
      </c>
    </row>
    <row r="1633" spans="1:4">
      <c r="A1633" s="7" t="s">
        <v>3513</v>
      </c>
      <c r="B1633" s="8">
        <v>9436.17</v>
      </c>
      <c r="C1633" s="8">
        <v>6381.22</v>
      </c>
      <c r="D1633" s="8">
        <v>147.87</v>
      </c>
    </row>
    <row r="1634" spans="1:4">
      <c r="A1634" s="7" t="s">
        <v>3514</v>
      </c>
      <c r="B1634" s="8">
        <v>685.81</v>
      </c>
      <c r="C1634" s="8">
        <v>776.85</v>
      </c>
      <c r="D1634" s="8">
        <v>88.28</v>
      </c>
    </row>
    <row r="1635" spans="1:4">
      <c r="A1635" s="7" t="s">
        <v>3515</v>
      </c>
      <c r="B1635" s="8">
        <v>9968.08</v>
      </c>
      <c r="C1635" s="8">
        <v>6111.22</v>
      </c>
      <c r="D1635" s="8">
        <v>163.11000000000001</v>
      </c>
    </row>
    <row r="1636" spans="1:4">
      <c r="A1636" s="7" t="s">
        <v>3516</v>
      </c>
      <c r="B1636" s="8">
        <v>631.24</v>
      </c>
      <c r="C1636" s="8">
        <v>781.42</v>
      </c>
      <c r="D1636" s="8">
        <v>80.78</v>
      </c>
    </row>
    <row r="1637" spans="1:4">
      <c r="A1637" s="7" t="s">
        <v>3517</v>
      </c>
      <c r="B1637" s="8">
        <v>6965.26</v>
      </c>
      <c r="C1637" s="8">
        <v>7021.22</v>
      </c>
      <c r="D1637" s="8">
        <v>99.2</v>
      </c>
    </row>
    <row r="1638" spans="1:4">
      <c r="A1638" s="7" t="s">
        <v>3518</v>
      </c>
      <c r="B1638" s="8">
        <v>457.11</v>
      </c>
      <c r="C1638" s="8">
        <v>476.22</v>
      </c>
      <c r="D1638" s="8">
        <v>95.99</v>
      </c>
    </row>
    <row r="1639" spans="1:4">
      <c r="A1639" s="7" t="s">
        <v>3519</v>
      </c>
      <c r="B1639" s="8">
        <v>13305.12</v>
      </c>
      <c r="C1639" s="8">
        <v>8526.02</v>
      </c>
      <c r="D1639" s="8">
        <v>156.05000000000001</v>
      </c>
    </row>
    <row r="1640" spans="1:4">
      <c r="A1640" s="7" t="s">
        <v>3520</v>
      </c>
      <c r="B1640" s="8">
        <v>617.79</v>
      </c>
      <c r="C1640" s="8">
        <v>670.79</v>
      </c>
      <c r="D1640" s="8">
        <v>92.1</v>
      </c>
    </row>
    <row r="1641" spans="1:4">
      <c r="A1641" s="7" t="s">
        <v>3521</v>
      </c>
      <c r="B1641" s="8">
        <v>7841.49</v>
      </c>
      <c r="C1641" s="8">
        <v>6056.02</v>
      </c>
      <c r="D1641" s="8">
        <v>129.47999999999999</v>
      </c>
    </row>
    <row r="1642" spans="1:4">
      <c r="A1642" s="7" t="s">
        <v>3522</v>
      </c>
      <c r="B1642" s="8">
        <v>680.96</v>
      </c>
      <c r="C1642" s="8">
        <v>776.85</v>
      </c>
      <c r="D1642" s="8">
        <v>87.66</v>
      </c>
    </row>
    <row r="1643" spans="1:4">
      <c r="A1643" s="7" t="s">
        <v>3523</v>
      </c>
      <c r="B1643" s="8">
        <v>8123.24</v>
      </c>
      <c r="C1643" s="8">
        <v>5896.02</v>
      </c>
      <c r="D1643" s="8">
        <v>137.78</v>
      </c>
    </row>
    <row r="1644" spans="1:4">
      <c r="A1644" s="7" t="s">
        <v>3524</v>
      </c>
      <c r="B1644" s="8">
        <v>630.87</v>
      </c>
      <c r="C1644" s="8">
        <v>781.42</v>
      </c>
      <c r="D1644" s="8">
        <v>80.73</v>
      </c>
    </row>
    <row r="1645" spans="1:4">
      <c r="A1645" s="7" t="s">
        <v>3525</v>
      </c>
      <c r="B1645" s="8">
        <v>14654.84</v>
      </c>
      <c r="C1645" s="8">
        <v>7016.02</v>
      </c>
      <c r="D1645" s="8">
        <v>208.88</v>
      </c>
    </row>
    <row r="1646" spans="1:4">
      <c r="A1646" s="7" t="s">
        <v>3526</v>
      </c>
      <c r="B1646" s="8">
        <v>677.94</v>
      </c>
      <c r="C1646" s="8">
        <v>776.85</v>
      </c>
      <c r="D1646" s="8">
        <v>87.27</v>
      </c>
    </row>
    <row r="1647" spans="1:4">
      <c r="A1647" s="7" t="s">
        <v>3527</v>
      </c>
      <c r="B1647" s="8">
        <v>12088.36</v>
      </c>
      <c r="C1647" s="8">
        <v>7106.02</v>
      </c>
      <c r="D1647" s="8">
        <v>170.11</v>
      </c>
    </row>
    <row r="1648" spans="1:4">
      <c r="A1648" s="7" t="s">
        <v>3528</v>
      </c>
      <c r="B1648" s="8">
        <v>632.91999999999996</v>
      </c>
      <c r="C1648" s="8">
        <v>781.42</v>
      </c>
      <c r="D1648" s="8">
        <v>81</v>
      </c>
    </row>
    <row r="1649" spans="1:4">
      <c r="A1649" s="7" t="s">
        <v>2452</v>
      </c>
      <c r="B1649" s="8">
        <v>7680.99</v>
      </c>
      <c r="C1649" s="8">
        <v>2558.71</v>
      </c>
      <c r="D1649" s="8">
        <v>300.19</v>
      </c>
    </row>
    <row r="1650" spans="1:4">
      <c r="A1650" s="7" t="s">
        <v>2451</v>
      </c>
      <c r="B1650" s="8">
        <v>428.62</v>
      </c>
      <c r="C1650" s="8">
        <v>415.91</v>
      </c>
      <c r="D1650" s="8">
        <v>103.06</v>
      </c>
    </row>
    <row r="1651" spans="1:4">
      <c r="A1651" s="7" t="s">
        <v>2311</v>
      </c>
      <c r="B1651" s="8">
        <v>2369.2199999999998</v>
      </c>
      <c r="C1651" s="8">
        <v>2407.37</v>
      </c>
      <c r="D1651" s="8">
        <v>98.42</v>
      </c>
    </row>
    <row r="1652" spans="1:4">
      <c r="A1652" s="7" t="s">
        <v>2310</v>
      </c>
      <c r="B1652" s="8">
        <v>592.80999999999995</v>
      </c>
      <c r="C1652" s="8">
        <v>610.48</v>
      </c>
      <c r="D1652" s="8">
        <v>97.11</v>
      </c>
    </row>
    <row r="1653" spans="1:4">
      <c r="A1653" s="7" t="s">
        <v>3529</v>
      </c>
      <c r="B1653" s="8">
        <v>940.08</v>
      </c>
      <c r="C1653" s="8">
        <v>1212.57</v>
      </c>
      <c r="D1653" s="8">
        <v>77.53</v>
      </c>
    </row>
    <row r="1654" spans="1:4">
      <c r="A1654" s="7" t="s">
        <v>3530</v>
      </c>
      <c r="B1654" s="8">
        <v>505.09</v>
      </c>
      <c r="C1654" s="8">
        <v>561.85</v>
      </c>
      <c r="D1654" s="8">
        <v>89.9</v>
      </c>
    </row>
    <row r="1655" spans="1:4">
      <c r="A1655" s="7" t="s">
        <v>3531</v>
      </c>
      <c r="B1655" s="8">
        <v>820.97</v>
      </c>
      <c r="C1655" s="8">
        <v>855.63</v>
      </c>
      <c r="D1655" s="8">
        <v>95.95</v>
      </c>
    </row>
    <row r="1656" spans="1:4">
      <c r="A1656" s="7" t="s">
        <v>3532</v>
      </c>
      <c r="B1656" s="8">
        <v>642.78</v>
      </c>
      <c r="C1656" s="8">
        <v>731.11</v>
      </c>
      <c r="D1656" s="8">
        <v>87.92</v>
      </c>
    </row>
    <row r="1657" spans="1:4">
      <c r="A1657" s="7" t="s">
        <v>3533</v>
      </c>
      <c r="B1657" s="8">
        <v>84.76</v>
      </c>
      <c r="C1657" s="8">
        <v>84.76</v>
      </c>
      <c r="D1657" s="8">
        <v>100</v>
      </c>
    </row>
    <row r="1658" spans="1:4">
      <c r="A1658" s="7" t="s">
        <v>3534</v>
      </c>
      <c r="B1658" s="8">
        <v>7017.08</v>
      </c>
      <c r="C1658" s="8">
        <v>6448.62</v>
      </c>
      <c r="D1658" s="8">
        <v>108.82</v>
      </c>
    </row>
    <row r="1659" spans="1:4">
      <c r="A1659" s="7" t="s">
        <v>3535</v>
      </c>
      <c r="B1659" s="8">
        <v>681.46</v>
      </c>
      <c r="C1659" s="8">
        <v>776.85</v>
      </c>
      <c r="D1659" s="8">
        <v>87.72</v>
      </c>
    </row>
    <row r="1660" spans="1:4">
      <c r="A1660" s="7" t="s">
        <v>3536</v>
      </c>
      <c r="B1660" s="8">
        <v>8833.86</v>
      </c>
      <c r="C1660" s="8">
        <v>7690.81</v>
      </c>
      <c r="D1660" s="8">
        <v>114.86</v>
      </c>
    </row>
    <row r="1661" spans="1:4">
      <c r="A1661" s="7" t="s">
        <v>3537</v>
      </c>
      <c r="B1661" s="8">
        <v>637.1</v>
      </c>
      <c r="C1661" s="8">
        <v>781.42</v>
      </c>
      <c r="D1661" s="8">
        <v>81.53</v>
      </c>
    </row>
    <row r="1662" spans="1:4">
      <c r="A1662" s="7" t="s">
        <v>3538</v>
      </c>
      <c r="B1662" s="8">
        <v>13325.98</v>
      </c>
      <c r="C1662" s="8">
        <v>7686.42</v>
      </c>
      <c r="D1662" s="8">
        <v>173.37</v>
      </c>
    </row>
    <row r="1663" spans="1:4">
      <c r="A1663" s="7" t="s">
        <v>3539</v>
      </c>
      <c r="B1663" s="8">
        <v>421.38</v>
      </c>
      <c r="C1663" s="8">
        <v>415.91</v>
      </c>
      <c r="D1663" s="8">
        <v>101.32</v>
      </c>
    </row>
    <row r="1664" spans="1:4">
      <c r="A1664" s="7" t="s">
        <v>3540</v>
      </c>
      <c r="B1664" s="8">
        <v>16517.990000000002</v>
      </c>
      <c r="C1664" s="8">
        <v>7946.42</v>
      </c>
      <c r="D1664" s="8">
        <v>207.87</v>
      </c>
    </row>
    <row r="1665" spans="1:4">
      <c r="A1665" s="7" t="s">
        <v>3541</v>
      </c>
      <c r="B1665" s="8">
        <v>592.80999999999995</v>
      </c>
      <c r="C1665" s="8">
        <v>610.48</v>
      </c>
      <c r="D1665" s="8">
        <v>97.11</v>
      </c>
    </row>
    <row r="1666" spans="1:4">
      <c r="A1666" s="7" t="s">
        <v>3542</v>
      </c>
      <c r="B1666" s="8">
        <v>8543.24</v>
      </c>
      <c r="C1666" s="8">
        <v>5786.42</v>
      </c>
      <c r="D1666" s="8">
        <v>147.63999999999999</v>
      </c>
    </row>
    <row r="1667" spans="1:4">
      <c r="A1667" s="7" t="s">
        <v>3543</v>
      </c>
      <c r="B1667" s="8">
        <v>676.22</v>
      </c>
      <c r="C1667" s="8">
        <v>776.85</v>
      </c>
      <c r="D1667" s="8">
        <v>87.05</v>
      </c>
    </row>
    <row r="1668" spans="1:4">
      <c r="A1668" s="7" t="s">
        <v>2614</v>
      </c>
      <c r="B1668" s="8">
        <v>10681.74</v>
      </c>
      <c r="C1668" s="8">
        <v>8462.1200000000008</v>
      </c>
      <c r="D1668" s="8">
        <v>126.23</v>
      </c>
    </row>
    <row r="1669" spans="1:4">
      <c r="A1669" s="7" t="s">
        <v>2613</v>
      </c>
      <c r="B1669" s="8">
        <v>637.22</v>
      </c>
      <c r="C1669" s="8">
        <v>781.42</v>
      </c>
      <c r="D1669" s="8">
        <v>81.55</v>
      </c>
    </row>
    <row r="1670" spans="1:4">
      <c r="A1670" s="7" t="s">
        <v>3544</v>
      </c>
      <c r="B1670" s="8">
        <v>7341.31</v>
      </c>
      <c r="C1670" s="8">
        <v>7066.42</v>
      </c>
      <c r="D1670" s="8">
        <v>103.89</v>
      </c>
    </row>
    <row r="1671" spans="1:4">
      <c r="A1671" s="7" t="s">
        <v>3545</v>
      </c>
      <c r="B1671" s="8">
        <v>419.7</v>
      </c>
      <c r="C1671" s="8">
        <v>415.91</v>
      </c>
      <c r="D1671" s="8">
        <v>100.91</v>
      </c>
    </row>
    <row r="1672" spans="1:4">
      <c r="A1672" s="7" t="s">
        <v>2616</v>
      </c>
      <c r="B1672" s="8">
        <v>14284.21</v>
      </c>
      <c r="C1672" s="8">
        <v>9801.24</v>
      </c>
      <c r="D1672" s="8">
        <v>145.74</v>
      </c>
    </row>
    <row r="1673" spans="1:4">
      <c r="A1673" s="7" t="s">
        <v>2615</v>
      </c>
      <c r="B1673" s="8">
        <v>592.80999999999995</v>
      </c>
      <c r="C1673" s="8">
        <v>610.48</v>
      </c>
      <c r="D1673" s="8">
        <v>97.11</v>
      </c>
    </row>
    <row r="1674" spans="1:4">
      <c r="A1674" s="7" t="s">
        <v>2456</v>
      </c>
      <c r="B1674" s="8">
        <v>7422.66</v>
      </c>
      <c r="C1674" s="8">
        <v>1514.36</v>
      </c>
      <c r="D1674" s="8">
        <v>490.15</v>
      </c>
    </row>
    <row r="1675" spans="1:4">
      <c r="A1675" s="7" t="s">
        <v>2455</v>
      </c>
      <c r="B1675" s="8">
        <v>686.82</v>
      </c>
      <c r="C1675" s="8">
        <v>776.85</v>
      </c>
      <c r="D1675" s="8">
        <v>88.41</v>
      </c>
    </row>
    <row r="1676" spans="1:4">
      <c r="A1676" s="7" t="s">
        <v>2321</v>
      </c>
      <c r="B1676" s="8">
        <v>3901.13</v>
      </c>
      <c r="C1676" s="8">
        <v>2875.05</v>
      </c>
      <c r="D1676" s="8">
        <v>135.69</v>
      </c>
    </row>
    <row r="1677" spans="1:4">
      <c r="A1677" s="7" t="s">
        <v>2320</v>
      </c>
      <c r="B1677" s="8">
        <v>642.72</v>
      </c>
      <c r="C1677" s="8">
        <v>781.42</v>
      </c>
      <c r="D1677" s="8">
        <v>82.25</v>
      </c>
    </row>
    <row r="1678" spans="1:4">
      <c r="A1678" s="7" t="s">
        <v>3546</v>
      </c>
      <c r="B1678" s="8">
        <v>6267.49</v>
      </c>
      <c r="C1678" s="8">
        <v>5108.62</v>
      </c>
      <c r="D1678" s="8">
        <v>122.68</v>
      </c>
    </row>
    <row r="1679" spans="1:4">
      <c r="A1679" s="7" t="s">
        <v>3547</v>
      </c>
      <c r="B1679" s="8">
        <v>453.76</v>
      </c>
      <c r="C1679" s="8">
        <v>476.22</v>
      </c>
      <c r="D1679" s="8">
        <v>95.28</v>
      </c>
    </row>
    <row r="1680" spans="1:4">
      <c r="A1680" s="7" t="s">
        <v>3548</v>
      </c>
      <c r="B1680" s="8">
        <v>8773.59</v>
      </c>
      <c r="C1680" s="8">
        <v>6470.25</v>
      </c>
      <c r="D1680" s="8">
        <v>135.6</v>
      </c>
    </row>
    <row r="1681" spans="1:4">
      <c r="A1681" s="7" t="s">
        <v>3549</v>
      </c>
      <c r="B1681" s="8">
        <v>617.79</v>
      </c>
      <c r="C1681" s="8">
        <v>670.79</v>
      </c>
      <c r="D1681" s="8">
        <v>92.1</v>
      </c>
    </row>
    <row r="1682" spans="1:4">
      <c r="A1682" s="7" t="s">
        <v>3550</v>
      </c>
      <c r="B1682" s="8">
        <v>171.76</v>
      </c>
      <c r="C1682" s="8">
        <v>11274.97</v>
      </c>
      <c r="D1682" s="8">
        <v>1.52</v>
      </c>
    </row>
    <row r="1683" spans="1:4">
      <c r="A1683" s="7" t="s">
        <v>3551</v>
      </c>
      <c r="B1683" s="8">
        <v>41132.28</v>
      </c>
      <c r="C1683" s="8">
        <v>27312.75</v>
      </c>
      <c r="D1683" s="8">
        <v>150.6</v>
      </c>
    </row>
    <row r="1684" spans="1:4">
      <c r="A1684" s="7" t="s">
        <v>3552</v>
      </c>
      <c r="B1684" s="8">
        <v>144.43</v>
      </c>
      <c r="C1684" s="8">
        <v>10776.85</v>
      </c>
      <c r="D1684" s="8">
        <v>1.34</v>
      </c>
    </row>
    <row r="1685" spans="1:4">
      <c r="A1685" s="7" t="s">
        <v>3553</v>
      </c>
      <c r="B1685" s="8">
        <v>4676.74</v>
      </c>
      <c r="C1685" s="8">
        <v>3100</v>
      </c>
      <c r="D1685" s="8">
        <v>150.86000000000001</v>
      </c>
    </row>
    <row r="1686" spans="1:4">
      <c r="A1686" s="7" t="s">
        <v>3554</v>
      </c>
      <c r="B1686" s="8">
        <v>7461.29</v>
      </c>
      <c r="C1686" s="8">
        <v>6158.41</v>
      </c>
      <c r="D1686" s="8">
        <v>121.16</v>
      </c>
    </row>
    <row r="1687" spans="1:4">
      <c r="A1687" s="7" t="s">
        <v>3555</v>
      </c>
      <c r="B1687" s="8">
        <v>185.43</v>
      </c>
      <c r="C1687" s="8">
        <v>185.43</v>
      </c>
      <c r="D1687" s="8">
        <v>100</v>
      </c>
    </row>
    <row r="1688" spans="1:4">
      <c r="A1688" s="7" t="s">
        <v>3556</v>
      </c>
      <c r="B1688" s="8">
        <v>185.43</v>
      </c>
      <c r="C1688" s="8">
        <v>185.43</v>
      </c>
      <c r="D1688" s="8">
        <v>100</v>
      </c>
    </row>
    <row r="1689" spans="1:4">
      <c r="A1689" s="7" t="s">
        <v>3557</v>
      </c>
      <c r="B1689" s="8">
        <v>185.43</v>
      </c>
      <c r="C1689" s="8">
        <v>185.43</v>
      </c>
      <c r="D1689" s="8">
        <v>100</v>
      </c>
    </row>
    <row r="1690" spans="1:4">
      <c r="A1690" s="7" t="s">
        <v>3558</v>
      </c>
      <c r="B1690" s="8">
        <v>100.18</v>
      </c>
      <c r="C1690" s="8">
        <v>100.18</v>
      </c>
      <c r="D1690" s="8">
        <v>100</v>
      </c>
    </row>
    <row r="1691" spans="1:4">
      <c r="A1691" s="7" t="s">
        <v>3559</v>
      </c>
      <c r="B1691" s="8">
        <v>185.43</v>
      </c>
      <c r="C1691" s="8">
        <v>185.43</v>
      </c>
      <c r="D1691" s="8">
        <v>100</v>
      </c>
    </row>
    <row r="1692" spans="1:4">
      <c r="A1692" s="7" t="s">
        <v>3560</v>
      </c>
      <c r="B1692" s="8">
        <v>185.43</v>
      </c>
      <c r="C1692" s="8">
        <v>185.43</v>
      </c>
      <c r="D1692" s="8">
        <v>100</v>
      </c>
    </row>
    <row r="1693" spans="1:4">
      <c r="A1693" s="7" t="s">
        <v>3561</v>
      </c>
      <c r="B1693" s="8">
        <v>185.43</v>
      </c>
      <c r="C1693" s="8">
        <v>185.43</v>
      </c>
      <c r="D1693" s="8">
        <v>100</v>
      </c>
    </row>
    <row r="1694" spans="1:4">
      <c r="A1694" s="7" t="s">
        <v>3562</v>
      </c>
      <c r="B1694" s="8">
        <v>185.43</v>
      </c>
      <c r="C1694" s="8">
        <v>185.43</v>
      </c>
      <c r="D1694" s="8">
        <v>100</v>
      </c>
    </row>
    <row r="1695" spans="1:4">
      <c r="A1695" s="7" t="s">
        <v>3563</v>
      </c>
      <c r="B1695" s="8">
        <v>185.43</v>
      </c>
      <c r="C1695" s="8">
        <v>185.43</v>
      </c>
      <c r="D1695" s="8">
        <v>100</v>
      </c>
    </row>
    <row r="1696" spans="1:4">
      <c r="A1696" s="7" t="s">
        <v>3564</v>
      </c>
      <c r="B1696" s="8">
        <v>185.43</v>
      </c>
      <c r="C1696" s="8">
        <v>185.43</v>
      </c>
      <c r="D1696" s="8">
        <v>100</v>
      </c>
    </row>
    <row r="1697" spans="1:4">
      <c r="A1697" s="7" t="s">
        <v>3565</v>
      </c>
      <c r="B1697" s="8">
        <v>185.43</v>
      </c>
      <c r="C1697" s="8">
        <v>185.43</v>
      </c>
      <c r="D1697" s="8">
        <v>100</v>
      </c>
    </row>
    <row r="1698" spans="1:4">
      <c r="A1698" s="7" t="s">
        <v>3566</v>
      </c>
      <c r="B1698" s="8">
        <v>185.43</v>
      </c>
      <c r="C1698" s="8">
        <v>185.43</v>
      </c>
      <c r="D1698" s="8">
        <v>100</v>
      </c>
    </row>
    <row r="1699" spans="1:4">
      <c r="A1699" s="7" t="s">
        <v>3567</v>
      </c>
      <c r="B1699" s="8">
        <v>185.43</v>
      </c>
      <c r="C1699" s="8">
        <v>185.43</v>
      </c>
      <c r="D1699" s="8">
        <v>100</v>
      </c>
    </row>
    <row r="1700" spans="1:4">
      <c r="A1700" s="7" t="s">
        <v>3568</v>
      </c>
      <c r="B1700" s="8">
        <v>100</v>
      </c>
      <c r="C1700" s="8">
        <v>100</v>
      </c>
      <c r="D1700" s="8">
        <v>100</v>
      </c>
    </row>
    <row r="1701" spans="1:4">
      <c r="A1701" s="7" t="s">
        <v>3569</v>
      </c>
      <c r="B1701" s="8">
        <v>185.43</v>
      </c>
      <c r="C1701" s="8">
        <v>185.43</v>
      </c>
      <c r="D1701" s="8">
        <v>100</v>
      </c>
    </row>
    <row r="1702" spans="1:4">
      <c r="A1702" s="7" t="s">
        <v>3570</v>
      </c>
      <c r="B1702" s="8">
        <v>185.43</v>
      </c>
      <c r="C1702" s="8">
        <v>185.43</v>
      </c>
      <c r="D1702" s="8">
        <v>100</v>
      </c>
    </row>
    <row r="1703" spans="1:4">
      <c r="A1703" s="7" t="s">
        <v>3571</v>
      </c>
      <c r="B1703" s="8">
        <v>604.27</v>
      </c>
      <c r="C1703" s="8">
        <v>701.54</v>
      </c>
      <c r="D1703" s="8">
        <v>86.13</v>
      </c>
    </row>
    <row r="1704" spans="1:4">
      <c r="A1704" s="7" t="s">
        <v>722</v>
      </c>
      <c r="B1704" s="8">
        <v>100</v>
      </c>
      <c r="C1704" s="8">
        <v>100</v>
      </c>
      <c r="D1704" s="8">
        <v>100</v>
      </c>
    </row>
    <row r="1705" spans="1:4">
      <c r="A1705" s="7" t="s">
        <v>3572</v>
      </c>
      <c r="B1705" s="8">
        <v>100</v>
      </c>
      <c r="C1705" s="8">
        <v>100</v>
      </c>
      <c r="D1705" s="8">
        <v>100</v>
      </c>
    </row>
    <row r="1706" spans="1:4">
      <c r="A1706" s="7" t="s">
        <v>3573</v>
      </c>
      <c r="B1706" s="8">
        <v>949.58</v>
      </c>
      <c r="C1706" s="8">
        <v>1225.46</v>
      </c>
      <c r="D1706" s="8">
        <v>77.489999999999995</v>
      </c>
    </row>
    <row r="1707" spans="1:4">
      <c r="A1707" s="7" t="s">
        <v>720</v>
      </c>
      <c r="B1707" s="8">
        <v>92.86</v>
      </c>
      <c r="C1707" s="8">
        <v>92.86</v>
      </c>
      <c r="D1707" s="8">
        <v>100</v>
      </c>
    </row>
    <row r="1708" spans="1:4">
      <c r="A1708" s="7" t="s">
        <v>3574</v>
      </c>
      <c r="B1708" s="8">
        <v>2738.91</v>
      </c>
      <c r="C1708" s="8">
        <v>1825.46</v>
      </c>
      <c r="D1708" s="8">
        <v>150.04</v>
      </c>
    </row>
    <row r="1709" spans="1:4">
      <c r="A1709" s="7" t="s">
        <v>2520</v>
      </c>
      <c r="B1709" s="8">
        <v>972.3</v>
      </c>
      <c r="C1709" s="8">
        <v>1226.8399999999999</v>
      </c>
      <c r="D1709" s="8">
        <v>79.25</v>
      </c>
    </row>
    <row r="1710" spans="1:4">
      <c r="A1710" s="7" t="s">
        <v>2517</v>
      </c>
      <c r="B1710" s="8">
        <v>806.02</v>
      </c>
      <c r="C1710" s="8">
        <v>1088.18</v>
      </c>
      <c r="D1710" s="8">
        <v>74.069999999999993</v>
      </c>
    </row>
    <row r="1711" spans="1:4">
      <c r="A1711" s="7" t="s">
        <v>2525</v>
      </c>
      <c r="B1711" s="8">
        <v>830.81</v>
      </c>
      <c r="C1711" s="8">
        <v>955.24</v>
      </c>
      <c r="D1711" s="8">
        <v>86.97</v>
      </c>
    </row>
    <row r="1712" spans="1:4">
      <c r="A1712" s="7" t="s">
        <v>2522</v>
      </c>
      <c r="B1712" s="8">
        <v>620.39</v>
      </c>
      <c r="C1712" s="8">
        <v>816.58</v>
      </c>
      <c r="D1712" s="8">
        <v>75.97</v>
      </c>
    </row>
    <row r="1713" spans="1:4">
      <c r="A1713" s="7" t="s">
        <v>3575</v>
      </c>
      <c r="B1713" s="8">
        <v>4735.4399999999996</v>
      </c>
      <c r="C1713" s="8">
        <v>5374.53</v>
      </c>
      <c r="D1713" s="8">
        <v>88.11</v>
      </c>
    </row>
    <row r="1714" spans="1:4">
      <c r="A1714" s="7" t="s">
        <v>3576</v>
      </c>
      <c r="B1714" s="8">
        <v>4462.01</v>
      </c>
      <c r="C1714" s="8">
        <v>5065.87</v>
      </c>
      <c r="D1714" s="8">
        <v>88.08</v>
      </c>
    </row>
    <row r="1715" spans="1:4">
      <c r="A1715" s="7" t="s">
        <v>3577</v>
      </c>
      <c r="B1715" s="8">
        <v>3046.54</v>
      </c>
      <c r="C1715" s="8">
        <v>3024.53</v>
      </c>
      <c r="D1715" s="8">
        <v>100.73</v>
      </c>
    </row>
    <row r="1716" spans="1:4">
      <c r="A1716" s="7" t="s">
        <v>3578</v>
      </c>
      <c r="B1716" s="8">
        <v>3002.61</v>
      </c>
      <c r="C1716" s="8">
        <v>2715.87</v>
      </c>
      <c r="D1716" s="8">
        <v>110.56</v>
      </c>
    </row>
    <row r="1717" spans="1:4">
      <c r="A1717" s="7" t="s">
        <v>3579</v>
      </c>
      <c r="B1717" s="8">
        <v>2525.94</v>
      </c>
      <c r="C1717" s="8">
        <v>2674.53</v>
      </c>
      <c r="D1717" s="8">
        <v>94.44</v>
      </c>
    </row>
    <row r="1718" spans="1:4">
      <c r="A1718" s="7" t="s">
        <v>3580</v>
      </c>
      <c r="B1718" s="8">
        <v>2269.2399999999998</v>
      </c>
      <c r="C1718" s="8">
        <v>2365.87</v>
      </c>
      <c r="D1718" s="8">
        <v>95.92</v>
      </c>
    </row>
    <row r="1719" spans="1:4">
      <c r="A1719" s="7" t="s">
        <v>723</v>
      </c>
      <c r="B1719" s="8">
        <v>3029.64</v>
      </c>
      <c r="C1719" s="8">
        <v>3124.44</v>
      </c>
      <c r="D1719" s="8">
        <v>96.97</v>
      </c>
    </row>
    <row r="1720" spans="1:4">
      <c r="A1720" s="7" t="s">
        <v>3581</v>
      </c>
      <c r="B1720" s="8">
        <v>2781.89</v>
      </c>
      <c r="C1720" s="8">
        <v>2815.78</v>
      </c>
      <c r="D1720" s="8">
        <v>98.8</v>
      </c>
    </row>
    <row r="1721" spans="1:4">
      <c r="A1721" s="7" t="s">
        <v>3582</v>
      </c>
      <c r="B1721" s="8">
        <v>185.43</v>
      </c>
      <c r="C1721" s="8">
        <v>185.43</v>
      </c>
      <c r="D1721" s="8">
        <v>100</v>
      </c>
    </row>
    <row r="1722" spans="1:4">
      <c r="A1722" s="7" t="s">
        <v>3583</v>
      </c>
      <c r="B1722" s="8">
        <v>185.43</v>
      </c>
      <c r="C1722" s="8">
        <v>185.43</v>
      </c>
      <c r="D1722" s="8">
        <v>100</v>
      </c>
    </row>
    <row r="1723" spans="1:4">
      <c r="A1723" s="7" t="s">
        <v>3584</v>
      </c>
      <c r="B1723" s="8">
        <v>2292.0100000000002</v>
      </c>
      <c r="C1723" s="8">
        <v>2574.44</v>
      </c>
      <c r="D1723" s="8">
        <v>89.03</v>
      </c>
    </row>
    <row r="1724" spans="1:4">
      <c r="A1724" s="7" t="s">
        <v>3585</v>
      </c>
      <c r="B1724" s="8">
        <v>2234.0500000000002</v>
      </c>
      <c r="C1724" s="8">
        <v>2265.7800000000002</v>
      </c>
      <c r="D1724" s="8">
        <v>98.6</v>
      </c>
    </row>
    <row r="1725" spans="1:4">
      <c r="A1725" s="7" t="s">
        <v>724</v>
      </c>
      <c r="B1725" s="8">
        <v>139.75</v>
      </c>
      <c r="C1725" s="8">
        <v>139.75</v>
      </c>
      <c r="D1725" s="8">
        <v>100</v>
      </c>
    </row>
    <row r="1726" spans="1:4">
      <c r="A1726" s="7" t="s">
        <v>725</v>
      </c>
      <c r="B1726" s="8">
        <v>90</v>
      </c>
      <c r="C1726" s="8">
        <v>90</v>
      </c>
      <c r="D1726" s="8">
        <v>100</v>
      </c>
    </row>
    <row r="1727" spans="1:4">
      <c r="A1727" s="7" t="s">
        <v>3586</v>
      </c>
      <c r="B1727" s="8">
        <v>90</v>
      </c>
      <c r="C1727" s="8">
        <v>90</v>
      </c>
      <c r="D1727" s="8">
        <v>100</v>
      </c>
    </row>
    <row r="1728" spans="1:4">
      <c r="A1728" s="7" t="s">
        <v>3587</v>
      </c>
      <c r="B1728" s="8">
        <v>90</v>
      </c>
      <c r="C1728" s="8">
        <v>90</v>
      </c>
      <c r="D1728" s="8">
        <v>100</v>
      </c>
    </row>
    <row r="1729" spans="1:4">
      <c r="A1729" s="7" t="s">
        <v>3588</v>
      </c>
      <c r="B1729" s="8">
        <v>90</v>
      </c>
      <c r="C1729" s="8">
        <v>90</v>
      </c>
      <c r="D1729" s="8">
        <v>100</v>
      </c>
    </row>
    <row r="1730" spans="1:4">
      <c r="A1730" s="7" t="s">
        <v>726</v>
      </c>
      <c r="B1730" s="8">
        <v>90</v>
      </c>
      <c r="C1730" s="8">
        <v>90</v>
      </c>
      <c r="D1730" s="8">
        <v>100</v>
      </c>
    </row>
    <row r="1731" spans="1:4">
      <c r="A1731" s="7" t="s">
        <v>3589</v>
      </c>
      <c r="B1731" s="8">
        <v>90</v>
      </c>
      <c r="C1731" s="8">
        <v>90</v>
      </c>
      <c r="D1731" s="8">
        <v>100</v>
      </c>
    </row>
    <row r="1732" spans="1:4">
      <c r="A1732" s="7" t="s">
        <v>3590</v>
      </c>
      <c r="B1732" s="8">
        <v>90</v>
      </c>
      <c r="C1732" s="8">
        <v>90</v>
      </c>
      <c r="D1732" s="8">
        <v>100</v>
      </c>
    </row>
    <row r="1733" spans="1:4">
      <c r="A1733" s="7" t="s">
        <v>3591</v>
      </c>
      <c r="B1733" s="8">
        <v>90</v>
      </c>
      <c r="C1733" s="8">
        <v>90</v>
      </c>
      <c r="D1733" s="8">
        <v>100</v>
      </c>
    </row>
    <row r="1734" spans="1:4">
      <c r="A1734" s="7" t="s">
        <v>3592</v>
      </c>
      <c r="B1734" s="8">
        <v>90</v>
      </c>
      <c r="C1734" s="8">
        <v>90</v>
      </c>
      <c r="D1734" s="8">
        <v>100</v>
      </c>
    </row>
    <row r="1735" spans="1:4">
      <c r="A1735" s="7" t="s">
        <v>3593</v>
      </c>
      <c r="B1735" s="8">
        <v>90</v>
      </c>
      <c r="C1735" s="8">
        <v>90</v>
      </c>
      <c r="D1735" s="8">
        <v>100</v>
      </c>
    </row>
    <row r="1736" spans="1:4">
      <c r="A1736" s="7" t="s">
        <v>3594</v>
      </c>
      <c r="B1736" s="8">
        <v>90</v>
      </c>
      <c r="C1736" s="8">
        <v>90</v>
      </c>
      <c r="D1736" s="8">
        <v>100</v>
      </c>
    </row>
    <row r="1737" spans="1:4">
      <c r="A1737" s="7" t="s">
        <v>3595</v>
      </c>
      <c r="B1737" s="8">
        <v>90</v>
      </c>
      <c r="C1737" s="8">
        <v>90</v>
      </c>
      <c r="D1737" s="8">
        <v>100</v>
      </c>
    </row>
    <row r="1738" spans="1:4">
      <c r="A1738" s="7" t="s">
        <v>727</v>
      </c>
      <c r="B1738" s="8">
        <v>90</v>
      </c>
      <c r="C1738" s="8">
        <v>90</v>
      </c>
      <c r="D1738" s="8">
        <v>100</v>
      </c>
    </row>
    <row r="1739" spans="1:4">
      <c r="A1739" s="7" t="s">
        <v>728</v>
      </c>
      <c r="B1739" s="8">
        <v>90</v>
      </c>
      <c r="C1739" s="8">
        <v>90</v>
      </c>
      <c r="D1739" s="8">
        <v>100</v>
      </c>
    </row>
    <row r="1740" spans="1:4">
      <c r="A1740" s="7" t="s">
        <v>3596</v>
      </c>
      <c r="B1740" s="8">
        <v>90</v>
      </c>
      <c r="C1740" s="8">
        <v>90</v>
      </c>
      <c r="D1740" s="8">
        <v>100</v>
      </c>
    </row>
    <row r="1741" spans="1:4">
      <c r="A1741" s="7" t="s">
        <v>3597</v>
      </c>
      <c r="B1741" s="8">
        <v>90</v>
      </c>
      <c r="C1741" s="8">
        <v>90</v>
      </c>
      <c r="D1741" s="8">
        <v>100</v>
      </c>
    </row>
    <row r="1742" spans="1:4">
      <c r="A1742" s="7" t="s">
        <v>729</v>
      </c>
      <c r="B1742" s="8">
        <v>90</v>
      </c>
      <c r="C1742" s="8">
        <v>90</v>
      </c>
      <c r="D1742" s="8">
        <v>100</v>
      </c>
    </row>
    <row r="1743" spans="1:4">
      <c r="A1743" s="7" t="s">
        <v>3598</v>
      </c>
      <c r="B1743" s="8">
        <v>90</v>
      </c>
      <c r="C1743" s="8">
        <v>90</v>
      </c>
      <c r="D1743" s="8">
        <v>100</v>
      </c>
    </row>
    <row r="1744" spans="1:4">
      <c r="A1744" s="7" t="s">
        <v>3599</v>
      </c>
      <c r="B1744" s="8">
        <v>90</v>
      </c>
      <c r="C1744" s="8">
        <v>90</v>
      </c>
      <c r="D1744" s="8">
        <v>100</v>
      </c>
    </row>
    <row r="1745" spans="1:4">
      <c r="A1745" s="7" t="s">
        <v>3600</v>
      </c>
      <c r="B1745" s="8">
        <v>90</v>
      </c>
      <c r="C1745" s="8">
        <v>90</v>
      </c>
      <c r="D1745" s="8">
        <v>100</v>
      </c>
    </row>
    <row r="1746" spans="1:4">
      <c r="A1746" s="7" t="s">
        <v>721</v>
      </c>
      <c r="B1746" s="8">
        <v>99.97</v>
      </c>
      <c r="C1746" s="8">
        <v>99.97</v>
      </c>
      <c r="D1746" s="8">
        <v>100</v>
      </c>
    </row>
    <row r="1747" spans="1:4">
      <c r="A1747" s="7" t="s">
        <v>3601</v>
      </c>
      <c r="B1747" s="8">
        <v>3700.5</v>
      </c>
      <c r="C1747" s="8">
        <v>4026.42</v>
      </c>
      <c r="D1747" s="8">
        <v>91.91</v>
      </c>
    </row>
    <row r="1748" spans="1:4">
      <c r="A1748" s="7" t="s">
        <v>3602</v>
      </c>
      <c r="B1748" s="8">
        <v>685.25</v>
      </c>
      <c r="C1748" s="8">
        <v>776.85</v>
      </c>
      <c r="D1748" s="8">
        <v>88.21</v>
      </c>
    </row>
    <row r="1749" spans="1:4">
      <c r="A1749" s="7" t="s">
        <v>2618</v>
      </c>
      <c r="B1749" s="8">
        <v>14954.64</v>
      </c>
      <c r="C1749" s="8">
        <v>9728.0499999999993</v>
      </c>
      <c r="D1749" s="8">
        <v>153.72999999999999</v>
      </c>
    </row>
    <row r="1750" spans="1:4">
      <c r="A1750" s="7" t="s">
        <v>2617</v>
      </c>
      <c r="B1750" s="8">
        <v>631.70000000000005</v>
      </c>
      <c r="C1750" s="8">
        <v>781.42</v>
      </c>
      <c r="D1750" s="8">
        <v>80.84</v>
      </c>
    </row>
    <row r="1751" spans="1:4">
      <c r="A1751" s="7" t="s">
        <v>3603</v>
      </c>
      <c r="B1751" s="8">
        <v>7192.8</v>
      </c>
      <c r="C1751" s="8">
        <v>6828.62</v>
      </c>
      <c r="D1751" s="8">
        <v>105.33</v>
      </c>
    </row>
    <row r="1752" spans="1:4">
      <c r="A1752" s="7" t="s">
        <v>3604</v>
      </c>
      <c r="B1752" s="8">
        <v>423.74</v>
      </c>
      <c r="C1752" s="8">
        <v>415.91</v>
      </c>
      <c r="D1752" s="8">
        <v>101.88</v>
      </c>
    </row>
    <row r="1753" spans="1:4">
      <c r="A1753" s="7" t="s">
        <v>2610</v>
      </c>
      <c r="B1753" s="8">
        <v>17313.900000000001</v>
      </c>
      <c r="C1753" s="8">
        <v>9886.84</v>
      </c>
      <c r="D1753" s="8">
        <v>175.12</v>
      </c>
    </row>
    <row r="1754" spans="1:4">
      <c r="A1754" s="7" t="s">
        <v>2609</v>
      </c>
      <c r="B1754" s="8">
        <v>592.80999999999995</v>
      </c>
      <c r="C1754" s="8">
        <v>610.48</v>
      </c>
      <c r="D1754" s="8">
        <v>97.11</v>
      </c>
    </row>
    <row r="1755" spans="1:4">
      <c r="A1755" s="7" t="s">
        <v>3605</v>
      </c>
      <c r="B1755" s="8">
        <v>11397.47</v>
      </c>
      <c r="C1755" s="8">
        <v>4717.28</v>
      </c>
      <c r="D1755" s="8">
        <v>241.61</v>
      </c>
    </row>
    <row r="1756" spans="1:4">
      <c r="A1756" s="7" t="s">
        <v>3606</v>
      </c>
      <c r="B1756" s="8">
        <v>445.89</v>
      </c>
      <c r="C1756" s="8">
        <v>476.22</v>
      </c>
      <c r="D1756" s="8">
        <v>93.63</v>
      </c>
    </row>
    <row r="1757" spans="1:4">
      <c r="A1757" s="7" t="s">
        <v>2612</v>
      </c>
      <c r="B1757" s="8">
        <v>14229.46</v>
      </c>
      <c r="C1757" s="8">
        <v>9687.49</v>
      </c>
      <c r="D1757" s="8">
        <v>146.88</v>
      </c>
    </row>
    <row r="1758" spans="1:4">
      <c r="A1758" s="7" t="s">
        <v>2611</v>
      </c>
      <c r="B1758" s="8">
        <v>617.79</v>
      </c>
      <c r="C1758" s="8">
        <v>670.79</v>
      </c>
      <c r="D1758" s="8">
        <v>92.1</v>
      </c>
    </row>
    <row r="1759" spans="1:4">
      <c r="A1759" s="7" t="s">
        <v>3607</v>
      </c>
      <c r="B1759" s="8">
        <v>5121.58</v>
      </c>
      <c r="C1759" s="8">
        <v>5306.42</v>
      </c>
      <c r="D1759" s="8">
        <v>96.52</v>
      </c>
    </row>
    <row r="1760" spans="1:4">
      <c r="A1760" s="7" t="s">
        <v>3608</v>
      </c>
      <c r="B1760" s="8">
        <v>454.54</v>
      </c>
      <c r="C1760" s="8">
        <v>476.22</v>
      </c>
      <c r="D1760" s="8">
        <v>95.45</v>
      </c>
    </row>
    <row r="1761" spans="1:4">
      <c r="A1761" s="7" t="s">
        <v>3609</v>
      </c>
      <c r="B1761" s="8">
        <v>13985.01</v>
      </c>
      <c r="C1761" s="8">
        <v>7725.72</v>
      </c>
      <c r="D1761" s="8">
        <v>181.02</v>
      </c>
    </row>
    <row r="1762" spans="1:4">
      <c r="A1762" s="7" t="s">
        <v>3610</v>
      </c>
      <c r="B1762" s="8">
        <v>617.79</v>
      </c>
      <c r="C1762" s="8">
        <v>670.79</v>
      </c>
      <c r="D1762" s="8">
        <v>92.1</v>
      </c>
    </row>
    <row r="1763" spans="1:4">
      <c r="A1763" s="7" t="s">
        <v>3611</v>
      </c>
      <c r="B1763" s="8">
        <v>454.3</v>
      </c>
      <c r="C1763" s="8">
        <v>476.22</v>
      </c>
      <c r="D1763" s="8">
        <v>95.4</v>
      </c>
    </row>
    <row r="1764" spans="1:4">
      <c r="A1764" s="7" t="s">
        <v>3612</v>
      </c>
      <c r="B1764" s="8">
        <v>1514.05</v>
      </c>
      <c r="C1764" s="8">
        <v>1805.07</v>
      </c>
      <c r="D1764" s="8">
        <v>83.88</v>
      </c>
    </row>
    <row r="1765" spans="1:4">
      <c r="A1765" s="7" t="s">
        <v>3613</v>
      </c>
      <c r="B1765" s="8">
        <v>617.79</v>
      </c>
      <c r="C1765" s="8">
        <v>670.79</v>
      </c>
      <c r="D1765" s="8">
        <v>92.1</v>
      </c>
    </row>
    <row r="1766" spans="1:4">
      <c r="A1766" s="7" t="s">
        <v>3614</v>
      </c>
      <c r="B1766" s="8">
        <v>468.51</v>
      </c>
      <c r="C1766" s="8">
        <v>536.54</v>
      </c>
      <c r="D1766" s="8">
        <v>87.32</v>
      </c>
    </row>
    <row r="1767" spans="1:4">
      <c r="A1767" s="7" t="s">
        <v>3615</v>
      </c>
      <c r="B1767" s="8">
        <v>1851.13</v>
      </c>
      <c r="C1767" s="8">
        <v>1935.07</v>
      </c>
      <c r="D1767" s="8">
        <v>95.66</v>
      </c>
    </row>
    <row r="1768" spans="1:4">
      <c r="A1768" s="7" t="s">
        <v>3616</v>
      </c>
      <c r="B1768" s="8">
        <v>642.78</v>
      </c>
      <c r="C1768" s="8">
        <v>731.11</v>
      </c>
      <c r="D1768" s="8">
        <v>87.92</v>
      </c>
    </row>
    <row r="1769" spans="1:4">
      <c r="A1769" s="7" t="s">
        <v>3617</v>
      </c>
      <c r="B1769" s="8">
        <v>479.52</v>
      </c>
      <c r="C1769" s="8">
        <v>536.54</v>
      </c>
      <c r="D1769" s="8">
        <v>89.37</v>
      </c>
    </row>
    <row r="1770" spans="1:4">
      <c r="A1770" s="7" t="s">
        <v>3618</v>
      </c>
      <c r="B1770" s="8">
        <v>2825.76</v>
      </c>
      <c r="C1770" s="8">
        <v>2675.07</v>
      </c>
      <c r="D1770" s="8">
        <v>105.63</v>
      </c>
    </row>
    <row r="1771" spans="1:4">
      <c r="A1771" s="7" t="s">
        <v>3619</v>
      </c>
      <c r="B1771" s="8">
        <v>642.78</v>
      </c>
      <c r="C1771" s="8">
        <v>731.11</v>
      </c>
      <c r="D1771" s="8">
        <v>87.92</v>
      </c>
    </row>
    <row r="1772" spans="1:4">
      <c r="A1772" s="7" t="s">
        <v>3620</v>
      </c>
      <c r="B1772" s="8">
        <v>421.59</v>
      </c>
      <c r="C1772" s="8">
        <v>415.91</v>
      </c>
      <c r="D1772" s="8">
        <v>101.37</v>
      </c>
    </row>
    <row r="1773" spans="1:4">
      <c r="A1773" s="7" t="s">
        <v>3621</v>
      </c>
      <c r="B1773" s="8">
        <v>1971.78</v>
      </c>
      <c r="C1773" s="8">
        <v>1921.47</v>
      </c>
      <c r="D1773" s="8">
        <v>102.62</v>
      </c>
    </row>
    <row r="1774" spans="1:4">
      <c r="A1774" s="7" t="s">
        <v>3622</v>
      </c>
      <c r="B1774" s="8">
        <v>592.80999999999995</v>
      </c>
      <c r="C1774" s="8">
        <v>610.48</v>
      </c>
      <c r="D1774" s="8">
        <v>97.11</v>
      </c>
    </row>
    <row r="1775" spans="1:4">
      <c r="A1775" s="7" t="s">
        <v>3623</v>
      </c>
      <c r="B1775" s="8">
        <v>5396.51</v>
      </c>
      <c r="C1775" s="8">
        <v>5226.9799999999996</v>
      </c>
      <c r="D1775" s="8">
        <v>103.24</v>
      </c>
    </row>
    <row r="1776" spans="1:4">
      <c r="A1776" s="7" t="s">
        <v>3624</v>
      </c>
      <c r="B1776" s="8">
        <v>419.49</v>
      </c>
      <c r="C1776" s="8">
        <v>415.91</v>
      </c>
      <c r="D1776" s="8">
        <v>100.86</v>
      </c>
    </row>
    <row r="1777" spans="1:4">
      <c r="A1777" s="7" t="s">
        <v>2333</v>
      </c>
      <c r="B1777" s="8">
        <v>5716.11</v>
      </c>
      <c r="C1777" s="8">
        <v>5560.82</v>
      </c>
      <c r="D1777" s="8">
        <v>102.79</v>
      </c>
    </row>
    <row r="1778" spans="1:4">
      <c r="A1778" s="7" t="s">
        <v>2332</v>
      </c>
      <c r="B1778" s="8">
        <v>592.80999999999995</v>
      </c>
      <c r="C1778" s="8">
        <v>610.48</v>
      </c>
      <c r="D1778" s="8">
        <v>97.11</v>
      </c>
    </row>
    <row r="1779" spans="1:4">
      <c r="A1779" s="7" t="s">
        <v>3625</v>
      </c>
      <c r="B1779" s="8">
        <v>5629.73</v>
      </c>
      <c r="C1779" s="8">
        <v>5286.98</v>
      </c>
      <c r="D1779" s="8">
        <v>106.48</v>
      </c>
    </row>
    <row r="1780" spans="1:4">
      <c r="A1780" s="7" t="s">
        <v>3626</v>
      </c>
      <c r="B1780" s="8">
        <v>480.16</v>
      </c>
      <c r="C1780" s="8">
        <v>536.54</v>
      </c>
      <c r="D1780" s="8">
        <v>89.49</v>
      </c>
    </row>
    <row r="1781" spans="1:4">
      <c r="A1781" s="7" t="s">
        <v>2335</v>
      </c>
      <c r="B1781" s="8">
        <v>6481.36</v>
      </c>
      <c r="C1781" s="8">
        <v>6000.82</v>
      </c>
      <c r="D1781" s="8">
        <v>108.01</v>
      </c>
    </row>
    <row r="1782" spans="1:4">
      <c r="A1782" s="7" t="s">
        <v>2334</v>
      </c>
      <c r="B1782" s="8">
        <v>642.78</v>
      </c>
      <c r="C1782" s="8">
        <v>731.11</v>
      </c>
      <c r="D1782" s="8">
        <v>87.92</v>
      </c>
    </row>
    <row r="1783" spans="1:4">
      <c r="A1783" s="7" t="s">
        <v>3627</v>
      </c>
      <c r="B1783" s="8">
        <v>5262.25</v>
      </c>
      <c r="C1783" s="8">
        <v>5986.98</v>
      </c>
      <c r="D1783" s="8">
        <v>87.89</v>
      </c>
    </row>
    <row r="1784" spans="1:4">
      <c r="A1784" s="7" t="s">
        <v>3628</v>
      </c>
      <c r="B1784" s="8">
        <v>480.25</v>
      </c>
      <c r="C1784" s="8">
        <v>536.54</v>
      </c>
      <c r="D1784" s="8">
        <v>89.51</v>
      </c>
    </row>
    <row r="1785" spans="1:4">
      <c r="A1785" s="7" t="s">
        <v>3629</v>
      </c>
      <c r="B1785" s="8">
        <v>6032.48</v>
      </c>
      <c r="C1785" s="8">
        <v>5820.82</v>
      </c>
      <c r="D1785" s="8">
        <v>103.64</v>
      </c>
    </row>
    <row r="1786" spans="1:4">
      <c r="A1786" s="7" t="s">
        <v>3630</v>
      </c>
      <c r="B1786" s="8">
        <v>642.78</v>
      </c>
      <c r="C1786" s="8">
        <v>731.11</v>
      </c>
      <c r="D1786" s="8">
        <v>87.92</v>
      </c>
    </row>
    <row r="1787" spans="1:4">
      <c r="A1787" s="7" t="s">
        <v>3631</v>
      </c>
      <c r="B1787" s="8">
        <v>7385.05</v>
      </c>
      <c r="C1787" s="8">
        <v>7166.42</v>
      </c>
      <c r="D1787" s="8">
        <v>103.05</v>
      </c>
    </row>
    <row r="1788" spans="1:4">
      <c r="A1788" s="7" t="s">
        <v>3632</v>
      </c>
      <c r="B1788" s="8">
        <v>685.42</v>
      </c>
      <c r="C1788" s="8">
        <v>776.85</v>
      </c>
      <c r="D1788" s="8">
        <v>88.23</v>
      </c>
    </row>
    <row r="1789" spans="1:4">
      <c r="A1789" s="7" t="s">
        <v>3633</v>
      </c>
      <c r="B1789" s="8">
        <v>7512.22</v>
      </c>
      <c r="C1789" s="8">
        <v>7296.84</v>
      </c>
      <c r="D1789" s="8">
        <v>102.95</v>
      </c>
    </row>
    <row r="1790" spans="1:4">
      <c r="A1790" s="7" t="s">
        <v>3634</v>
      </c>
      <c r="B1790" s="8">
        <v>634.46</v>
      </c>
      <c r="C1790" s="8">
        <v>781.42</v>
      </c>
      <c r="D1790" s="8">
        <v>81.19</v>
      </c>
    </row>
    <row r="1791" spans="1:4">
      <c r="A1791" s="7" t="s">
        <v>3635</v>
      </c>
      <c r="B1791" s="8">
        <v>451.43</v>
      </c>
      <c r="C1791" s="8">
        <v>441.22</v>
      </c>
      <c r="D1791" s="8">
        <v>102.31</v>
      </c>
    </row>
    <row r="1792" spans="1:4">
      <c r="A1792" s="7" t="s">
        <v>3636</v>
      </c>
      <c r="B1792" s="8">
        <v>8637.51</v>
      </c>
      <c r="C1792" s="8">
        <v>8635.6299999999992</v>
      </c>
      <c r="D1792" s="8">
        <v>100.02</v>
      </c>
    </row>
    <row r="1793" spans="1:4">
      <c r="A1793" s="7" t="s">
        <v>3637</v>
      </c>
      <c r="B1793" s="8">
        <v>592.80999999999995</v>
      </c>
      <c r="C1793" s="8">
        <v>610.48</v>
      </c>
      <c r="D1793" s="8">
        <v>97.11</v>
      </c>
    </row>
    <row r="1794" spans="1:4">
      <c r="A1794" s="7" t="s">
        <v>3638</v>
      </c>
      <c r="B1794" s="8">
        <v>483.33</v>
      </c>
      <c r="C1794" s="8">
        <v>536.54</v>
      </c>
      <c r="D1794" s="8">
        <v>90.08</v>
      </c>
    </row>
    <row r="1795" spans="1:4">
      <c r="A1795" s="7" t="s">
        <v>3639</v>
      </c>
      <c r="B1795" s="8">
        <v>11653.49</v>
      </c>
      <c r="C1795" s="8">
        <v>8160.3</v>
      </c>
      <c r="D1795" s="8">
        <v>142.81</v>
      </c>
    </row>
    <row r="1796" spans="1:4">
      <c r="A1796" s="7" t="s">
        <v>3640</v>
      </c>
      <c r="B1796" s="8">
        <v>642.78</v>
      </c>
      <c r="C1796" s="8">
        <v>731.11</v>
      </c>
      <c r="D1796" s="8">
        <v>87.92</v>
      </c>
    </row>
    <row r="1797" spans="1:4">
      <c r="A1797" s="7" t="s">
        <v>3641</v>
      </c>
      <c r="B1797" s="8">
        <v>480.34</v>
      </c>
      <c r="C1797" s="8">
        <v>501.53</v>
      </c>
      <c r="D1797" s="8">
        <v>95.77</v>
      </c>
    </row>
    <row r="1798" spans="1:4">
      <c r="A1798" s="7" t="s">
        <v>3642</v>
      </c>
      <c r="B1798" s="8">
        <v>7215.02</v>
      </c>
      <c r="C1798" s="8">
        <v>5680.82</v>
      </c>
      <c r="D1798" s="8">
        <v>127.01</v>
      </c>
    </row>
    <row r="1799" spans="1:4">
      <c r="A1799" s="7" t="s">
        <v>3643</v>
      </c>
      <c r="B1799" s="8">
        <v>617.79</v>
      </c>
      <c r="C1799" s="8">
        <v>670.79</v>
      </c>
      <c r="D1799" s="8">
        <v>92.1</v>
      </c>
    </row>
    <row r="1800" spans="1:4">
      <c r="A1800" s="7" t="s">
        <v>2460</v>
      </c>
      <c r="B1800" s="8">
        <v>7680.99</v>
      </c>
      <c r="C1800" s="8">
        <v>4642.28</v>
      </c>
      <c r="D1800" s="8">
        <v>165.46</v>
      </c>
    </row>
    <row r="1801" spans="1:4">
      <c r="A1801" s="7" t="s">
        <v>2459</v>
      </c>
      <c r="B1801" s="8">
        <v>428.28</v>
      </c>
      <c r="C1801" s="8">
        <v>415.91</v>
      </c>
      <c r="D1801" s="8">
        <v>102.97</v>
      </c>
    </row>
    <row r="1802" spans="1:4">
      <c r="A1802" s="7" t="s">
        <v>2329</v>
      </c>
      <c r="B1802" s="8">
        <v>11936.15</v>
      </c>
      <c r="C1802" s="8">
        <v>4800.3599999999997</v>
      </c>
      <c r="D1802" s="8">
        <v>248.65</v>
      </c>
    </row>
    <row r="1803" spans="1:4">
      <c r="A1803" s="7" t="s">
        <v>2328</v>
      </c>
      <c r="B1803" s="8">
        <v>592.80999999999995</v>
      </c>
      <c r="C1803" s="8">
        <v>610.48</v>
      </c>
      <c r="D1803" s="8">
        <v>97.11</v>
      </c>
    </row>
    <row r="1804" spans="1:4">
      <c r="A1804" s="7" t="s">
        <v>3644</v>
      </c>
      <c r="B1804" s="8">
        <v>7639.1</v>
      </c>
      <c r="C1804" s="8">
        <v>1864.36</v>
      </c>
      <c r="D1804" s="8">
        <v>409.74</v>
      </c>
    </row>
    <row r="1805" spans="1:4">
      <c r="A1805" s="7" t="s">
        <v>3645</v>
      </c>
      <c r="B1805" s="8">
        <v>470.15</v>
      </c>
      <c r="C1805" s="8">
        <v>536.54</v>
      </c>
      <c r="D1805" s="8">
        <v>87.63</v>
      </c>
    </row>
    <row r="1806" spans="1:4">
      <c r="A1806" s="7" t="s">
        <v>2323</v>
      </c>
      <c r="B1806" s="8">
        <v>4540.53</v>
      </c>
      <c r="C1806" s="8">
        <v>3204.65</v>
      </c>
      <c r="D1806" s="8">
        <v>141.69</v>
      </c>
    </row>
    <row r="1807" spans="1:4">
      <c r="A1807" s="7" t="s">
        <v>2322</v>
      </c>
      <c r="B1807" s="8">
        <v>642.78</v>
      </c>
      <c r="C1807" s="8">
        <v>731.11</v>
      </c>
      <c r="D1807" s="8">
        <v>87.92</v>
      </c>
    </row>
    <row r="1808" spans="1:4">
      <c r="A1808" s="7" t="s">
        <v>3646</v>
      </c>
      <c r="B1808" s="8">
        <v>7663.34</v>
      </c>
      <c r="C1808" s="8">
        <v>4182.28</v>
      </c>
      <c r="D1808" s="8">
        <v>183.23</v>
      </c>
    </row>
    <row r="1809" spans="1:4">
      <c r="A1809" s="7" t="s">
        <v>3647</v>
      </c>
      <c r="B1809" s="8">
        <v>446.25</v>
      </c>
      <c r="C1809" s="8">
        <v>476.22</v>
      </c>
      <c r="D1809" s="8">
        <v>93.71</v>
      </c>
    </row>
    <row r="1810" spans="1:4">
      <c r="A1810" s="7" t="s">
        <v>2325</v>
      </c>
      <c r="B1810" s="8">
        <v>4150.9399999999996</v>
      </c>
      <c r="C1810" s="8">
        <v>3688.65</v>
      </c>
      <c r="D1810" s="8">
        <v>112.53</v>
      </c>
    </row>
    <row r="1811" spans="1:4">
      <c r="A1811" s="7" t="s">
        <v>2324</v>
      </c>
      <c r="B1811" s="8">
        <v>617.79</v>
      </c>
      <c r="C1811" s="8">
        <v>670.79</v>
      </c>
      <c r="D1811" s="8">
        <v>92.1</v>
      </c>
    </row>
    <row r="1812" spans="1:4">
      <c r="A1812" s="7" t="s">
        <v>2521</v>
      </c>
      <c r="B1812" s="8">
        <v>6938.82</v>
      </c>
      <c r="C1812" s="8">
        <v>6070.21</v>
      </c>
      <c r="D1812" s="8">
        <v>114.31</v>
      </c>
    </row>
    <row r="1813" spans="1:4">
      <c r="A1813" s="7" t="s">
        <v>2526</v>
      </c>
      <c r="B1813" s="8">
        <v>6369.31</v>
      </c>
      <c r="C1813" s="8">
        <v>5273.35</v>
      </c>
      <c r="D1813" s="8">
        <v>120.78</v>
      </c>
    </row>
    <row r="1814" spans="1:4">
      <c r="A1814" s="7" t="s">
        <v>3648</v>
      </c>
      <c r="B1814" s="8">
        <v>162.29</v>
      </c>
      <c r="C1814" s="8">
        <v>162.29</v>
      </c>
      <c r="D1814" s="8">
        <v>100</v>
      </c>
    </row>
    <row r="1815" spans="1:4">
      <c r="A1815" s="7" t="s">
        <v>3649</v>
      </c>
      <c r="B1815" s="8">
        <v>106.92</v>
      </c>
      <c r="C1815" s="8">
        <v>106.92</v>
      </c>
      <c r="D1815" s="8">
        <v>100</v>
      </c>
    </row>
    <row r="1816" spans="1:4">
      <c r="A1816" s="7" t="s">
        <v>3650</v>
      </c>
      <c r="B1816" s="8">
        <v>117.28</v>
      </c>
      <c r="C1816" s="8">
        <v>131.91999999999999</v>
      </c>
      <c r="D1816" s="8">
        <v>88.9</v>
      </c>
    </row>
    <row r="1817" spans="1:4">
      <c r="A1817" s="7" t="s">
        <v>3651</v>
      </c>
      <c r="B1817" s="8">
        <v>274.06</v>
      </c>
      <c r="C1817" s="8">
        <v>263.7</v>
      </c>
      <c r="D1817" s="8">
        <v>103.93</v>
      </c>
    </row>
    <row r="1818" spans="1:4">
      <c r="A1818" s="7" t="s">
        <v>3652</v>
      </c>
      <c r="B1818" s="8">
        <v>179.7</v>
      </c>
      <c r="C1818" s="8">
        <v>179.7</v>
      </c>
      <c r="D1818" s="8">
        <v>100</v>
      </c>
    </row>
    <row r="1819" spans="1:4">
      <c r="A1819" s="7" t="s">
        <v>3653</v>
      </c>
      <c r="B1819" s="8">
        <v>98.21</v>
      </c>
      <c r="C1819" s="8">
        <v>127.5</v>
      </c>
      <c r="D1819" s="8">
        <v>77.03</v>
      </c>
    </row>
    <row r="1820" spans="1:4">
      <c r="A1820" s="7" t="s">
        <v>2519</v>
      </c>
      <c r="B1820" s="8">
        <v>97</v>
      </c>
      <c r="C1820" s="8">
        <v>97</v>
      </c>
      <c r="D1820" s="8">
        <v>100</v>
      </c>
    </row>
    <row r="1821" spans="1:4">
      <c r="A1821" s="7" t="s">
        <v>3654</v>
      </c>
      <c r="B1821" s="8">
        <v>560.39</v>
      </c>
      <c r="C1821" s="8">
        <v>581.54</v>
      </c>
      <c r="D1821" s="8">
        <v>96.36</v>
      </c>
    </row>
    <row r="1822" spans="1:4">
      <c r="A1822" s="7" t="s">
        <v>2518</v>
      </c>
      <c r="B1822" s="8">
        <v>169.07</v>
      </c>
      <c r="C1822" s="8">
        <v>172</v>
      </c>
      <c r="D1822" s="8">
        <v>98.3</v>
      </c>
    </row>
    <row r="1823" spans="1:4">
      <c r="A1823" s="7" t="s">
        <v>3655</v>
      </c>
      <c r="B1823" s="8">
        <v>239.07</v>
      </c>
      <c r="C1823" s="8">
        <v>242</v>
      </c>
      <c r="D1823" s="8">
        <v>98.79</v>
      </c>
    </row>
    <row r="1824" spans="1:4">
      <c r="A1824" s="7" t="s">
        <v>3656</v>
      </c>
      <c r="B1824" s="8">
        <v>98.21</v>
      </c>
      <c r="C1824" s="8">
        <v>127.5</v>
      </c>
      <c r="D1824" s="8">
        <v>77.03</v>
      </c>
    </row>
    <row r="1825" spans="1:4">
      <c r="A1825" s="7" t="s">
        <v>2524</v>
      </c>
      <c r="B1825" s="8">
        <v>97</v>
      </c>
      <c r="C1825" s="8">
        <v>97</v>
      </c>
      <c r="D1825" s="8">
        <v>100</v>
      </c>
    </row>
    <row r="1826" spans="1:4">
      <c r="A1826" s="7" t="s">
        <v>3657</v>
      </c>
      <c r="B1826" s="8">
        <v>560.39</v>
      </c>
      <c r="C1826" s="8">
        <v>581.54</v>
      </c>
      <c r="D1826" s="8">
        <v>96.36</v>
      </c>
    </row>
    <row r="1827" spans="1:4">
      <c r="A1827" s="7" t="s">
        <v>2523</v>
      </c>
      <c r="B1827" s="8">
        <v>169.07</v>
      </c>
      <c r="C1827" s="8">
        <v>172</v>
      </c>
      <c r="D1827" s="8">
        <v>98.3</v>
      </c>
    </row>
    <row r="1828" spans="1:4">
      <c r="A1828" s="7" t="s">
        <v>3658</v>
      </c>
      <c r="B1828" s="8">
        <v>239.07</v>
      </c>
      <c r="C1828" s="8">
        <v>242</v>
      </c>
      <c r="D1828" s="8">
        <v>98.79</v>
      </c>
    </row>
    <row r="1829" spans="1:4">
      <c r="A1829" s="7" t="s">
        <v>3659</v>
      </c>
      <c r="B1829" s="8">
        <v>8379.85</v>
      </c>
      <c r="C1829" s="8">
        <v>6506.98</v>
      </c>
      <c r="D1829" s="8">
        <v>128.78</v>
      </c>
    </row>
    <row r="1830" spans="1:4">
      <c r="A1830" s="7" t="s">
        <v>3660</v>
      </c>
      <c r="B1830" s="8">
        <v>451.46</v>
      </c>
      <c r="C1830" s="8">
        <v>476.22</v>
      </c>
      <c r="D1830" s="8">
        <v>94.8</v>
      </c>
    </row>
    <row r="1831" spans="1:4">
      <c r="A1831" s="7" t="s">
        <v>2331</v>
      </c>
      <c r="B1831" s="8">
        <v>10062.799999999999</v>
      </c>
      <c r="C1831" s="8">
        <v>5740.82</v>
      </c>
      <c r="D1831" s="8">
        <v>175.29</v>
      </c>
    </row>
    <row r="1832" spans="1:4">
      <c r="A1832" s="7" t="s">
        <v>2330</v>
      </c>
      <c r="B1832" s="8">
        <v>617.79</v>
      </c>
      <c r="C1832" s="8">
        <v>670.79</v>
      </c>
      <c r="D1832" s="8">
        <v>92.1</v>
      </c>
    </row>
    <row r="1833" spans="1:4">
      <c r="A1833" s="7" t="s">
        <v>3661</v>
      </c>
      <c r="B1833" s="8">
        <v>8603.36</v>
      </c>
      <c r="C1833" s="8">
        <v>5959.68</v>
      </c>
      <c r="D1833" s="8">
        <v>144.36000000000001</v>
      </c>
    </row>
    <row r="1834" spans="1:4">
      <c r="A1834" s="7" t="s">
        <v>3662</v>
      </c>
      <c r="B1834" s="8">
        <v>477.78</v>
      </c>
      <c r="C1834" s="8">
        <v>536.54</v>
      </c>
      <c r="D1834" s="8">
        <v>89.05</v>
      </c>
    </row>
    <row r="1835" spans="1:4">
      <c r="A1835" s="7" t="s">
        <v>3663</v>
      </c>
      <c r="B1835" s="8">
        <v>10514.63</v>
      </c>
      <c r="C1835" s="8">
        <v>6445.72</v>
      </c>
      <c r="D1835" s="8">
        <v>163.13</v>
      </c>
    </row>
    <row r="1836" spans="1:4">
      <c r="A1836" s="7" t="s">
        <v>3664</v>
      </c>
      <c r="B1836" s="8">
        <v>642.78</v>
      </c>
      <c r="C1836" s="8">
        <v>731.11</v>
      </c>
      <c r="D1836" s="8">
        <v>87.92</v>
      </c>
    </row>
    <row r="1837" spans="1:4">
      <c r="A1837" s="7" t="s">
        <v>3665</v>
      </c>
      <c r="B1837" s="8">
        <v>6847.37</v>
      </c>
      <c r="C1837" s="8">
        <v>4806.42</v>
      </c>
      <c r="D1837" s="8">
        <v>142.46</v>
      </c>
    </row>
    <row r="1838" spans="1:4">
      <c r="A1838" s="7" t="s">
        <v>3666</v>
      </c>
      <c r="B1838" s="8">
        <v>685.81</v>
      </c>
      <c r="C1838" s="8">
        <v>776.85</v>
      </c>
      <c r="D1838" s="8">
        <v>88.28</v>
      </c>
    </row>
    <row r="1839" spans="1:4">
      <c r="A1839" s="7" t="s">
        <v>3667</v>
      </c>
      <c r="B1839" s="8">
        <v>6605.79</v>
      </c>
      <c r="C1839" s="8">
        <v>6263.49</v>
      </c>
      <c r="D1839" s="8">
        <v>105.46</v>
      </c>
    </row>
    <row r="1840" spans="1:4">
      <c r="A1840" s="7" t="s">
        <v>3668</v>
      </c>
      <c r="B1840" s="8">
        <v>631.24</v>
      </c>
      <c r="C1840" s="8">
        <v>781.42</v>
      </c>
      <c r="D1840" s="8">
        <v>80.78</v>
      </c>
    </row>
    <row r="1841" spans="1:4">
      <c r="A1841" s="7" t="s">
        <v>3669</v>
      </c>
      <c r="B1841" s="8">
        <v>7875.11</v>
      </c>
      <c r="C1841" s="8">
        <v>5646.42</v>
      </c>
      <c r="D1841" s="8">
        <v>139.47</v>
      </c>
    </row>
    <row r="1842" spans="1:4">
      <c r="A1842" s="7" t="s">
        <v>3670</v>
      </c>
      <c r="B1842" s="8">
        <v>457.11</v>
      </c>
      <c r="C1842" s="8">
        <v>476.22</v>
      </c>
      <c r="D1842" s="8">
        <v>95.99</v>
      </c>
    </row>
    <row r="1843" spans="1:4">
      <c r="A1843" s="7" t="s">
        <v>3671</v>
      </c>
      <c r="B1843" s="8">
        <v>12629.99</v>
      </c>
      <c r="C1843" s="8">
        <v>8188.12</v>
      </c>
      <c r="D1843" s="8">
        <v>154.25</v>
      </c>
    </row>
    <row r="1844" spans="1:4">
      <c r="A1844" s="7" t="s">
        <v>3672</v>
      </c>
      <c r="B1844" s="8">
        <v>617.79</v>
      </c>
      <c r="C1844" s="8">
        <v>670.79</v>
      </c>
      <c r="D1844" s="8">
        <v>92.1</v>
      </c>
    </row>
    <row r="1845" spans="1:4">
      <c r="A1845" s="7" t="s">
        <v>3673</v>
      </c>
      <c r="B1845" s="8">
        <v>13474.18</v>
      </c>
      <c r="C1845" s="8">
        <v>6046.98</v>
      </c>
      <c r="D1845" s="8">
        <v>222.82</v>
      </c>
    </row>
    <row r="1846" spans="1:4">
      <c r="A1846" s="7" t="s">
        <v>3674</v>
      </c>
      <c r="B1846" s="8">
        <v>680.96</v>
      </c>
      <c r="C1846" s="8">
        <v>776.85</v>
      </c>
      <c r="D1846" s="8">
        <v>87.66</v>
      </c>
    </row>
    <row r="1847" spans="1:4">
      <c r="A1847" s="7" t="s">
        <v>3675</v>
      </c>
      <c r="B1847" s="8">
        <v>12539.08</v>
      </c>
      <c r="C1847" s="8">
        <v>6450.82</v>
      </c>
      <c r="D1847" s="8">
        <v>194.38</v>
      </c>
    </row>
    <row r="1848" spans="1:4">
      <c r="A1848" s="7" t="s">
        <v>3676</v>
      </c>
      <c r="B1848" s="8">
        <v>630.87</v>
      </c>
      <c r="C1848" s="8">
        <v>781.42</v>
      </c>
      <c r="D1848" s="8">
        <v>80.73</v>
      </c>
    </row>
    <row r="1849" spans="1:4">
      <c r="A1849" s="7" t="s">
        <v>3677</v>
      </c>
      <c r="B1849" s="8">
        <v>10146.709999999999</v>
      </c>
      <c r="C1849" s="8">
        <v>7206.98</v>
      </c>
      <c r="D1849" s="8">
        <v>140.79</v>
      </c>
    </row>
    <row r="1850" spans="1:4">
      <c r="A1850" s="7" t="s">
        <v>3678</v>
      </c>
      <c r="B1850" s="8">
        <v>677.94</v>
      </c>
      <c r="C1850" s="8">
        <v>776.85</v>
      </c>
      <c r="D1850" s="8">
        <v>87.27</v>
      </c>
    </row>
    <row r="1851" spans="1:4">
      <c r="A1851" s="7" t="s">
        <v>3679</v>
      </c>
      <c r="B1851" s="8">
        <v>11279.56</v>
      </c>
      <c r="C1851" s="8">
        <v>7390.82</v>
      </c>
      <c r="D1851" s="8">
        <v>152.62</v>
      </c>
    </row>
    <row r="1852" spans="1:4">
      <c r="A1852" s="7" t="s">
        <v>3680</v>
      </c>
      <c r="B1852" s="8">
        <v>632.91999999999996</v>
      </c>
      <c r="C1852" s="8">
        <v>781.42</v>
      </c>
      <c r="D1852" s="8">
        <v>81</v>
      </c>
    </row>
    <row r="1853" spans="1:4">
      <c r="A1853" s="7" t="s">
        <v>2458</v>
      </c>
      <c r="B1853" s="8">
        <v>7680.85</v>
      </c>
      <c r="C1853" s="8">
        <v>2424.4499999999998</v>
      </c>
      <c r="D1853" s="8">
        <v>316.81</v>
      </c>
    </row>
    <row r="1854" spans="1:4">
      <c r="A1854" s="7" t="s">
        <v>2457</v>
      </c>
      <c r="B1854" s="8">
        <v>428.62</v>
      </c>
      <c r="C1854" s="8">
        <v>415.91</v>
      </c>
      <c r="D1854" s="8">
        <v>103.06</v>
      </c>
    </row>
    <row r="1855" spans="1:4">
      <c r="A1855" s="7" t="s">
        <v>2327</v>
      </c>
      <c r="B1855" s="8">
        <v>4356.26</v>
      </c>
      <c r="C1855" s="8">
        <v>3665.3</v>
      </c>
      <c r="D1855" s="8">
        <v>118.85</v>
      </c>
    </row>
    <row r="1856" spans="1:4">
      <c r="A1856" s="7" t="s">
        <v>2326</v>
      </c>
      <c r="B1856" s="8">
        <v>592.80999999999995</v>
      </c>
      <c r="C1856" s="8">
        <v>610.48</v>
      </c>
      <c r="D1856" s="8">
        <v>97.11</v>
      </c>
    </row>
    <row r="1857" spans="1:4">
      <c r="A1857" s="7" t="s">
        <v>3681</v>
      </c>
      <c r="B1857" s="8">
        <v>1662.22</v>
      </c>
      <c r="C1857" s="8">
        <v>1356.67</v>
      </c>
      <c r="D1857" s="8">
        <v>122.52</v>
      </c>
    </row>
    <row r="1858" spans="1:4">
      <c r="A1858" s="7" t="s">
        <v>3682</v>
      </c>
      <c r="B1858" s="8">
        <v>505.09</v>
      </c>
      <c r="C1858" s="8">
        <v>561.85</v>
      </c>
      <c r="D1858" s="8">
        <v>89.9</v>
      </c>
    </row>
    <row r="1859" spans="1:4">
      <c r="A1859" s="7" t="s">
        <v>3683</v>
      </c>
      <c r="B1859" s="8">
        <v>3873.44</v>
      </c>
      <c r="C1859" s="8">
        <v>2402.5500000000002</v>
      </c>
      <c r="D1859" s="8">
        <v>161.22</v>
      </c>
    </row>
    <row r="1860" spans="1:4">
      <c r="A1860" s="7" t="s">
        <v>3684</v>
      </c>
      <c r="B1860" s="8">
        <v>642.78</v>
      </c>
      <c r="C1860" s="8">
        <v>731.11</v>
      </c>
      <c r="D1860" s="8">
        <v>87.92</v>
      </c>
    </row>
    <row r="1861" spans="1:4">
      <c r="A1861" s="7" t="s">
        <v>3685</v>
      </c>
      <c r="B1861" s="8">
        <v>84.76</v>
      </c>
      <c r="C1861" s="8">
        <v>84.76</v>
      </c>
      <c r="D1861" s="8">
        <v>100</v>
      </c>
    </row>
    <row r="1862" spans="1:4">
      <c r="A1862" s="7" t="s">
        <v>3686</v>
      </c>
      <c r="B1862" s="8">
        <v>5544.46</v>
      </c>
      <c r="C1862" s="8">
        <v>5589.18</v>
      </c>
      <c r="D1862" s="8">
        <v>99.2</v>
      </c>
    </row>
    <row r="1863" spans="1:4">
      <c r="A1863" s="7" t="s">
        <v>3687</v>
      </c>
      <c r="B1863" s="8">
        <v>681.46</v>
      </c>
      <c r="C1863" s="8">
        <v>776.85</v>
      </c>
      <c r="D1863" s="8">
        <v>87.72</v>
      </c>
    </row>
    <row r="1864" spans="1:4">
      <c r="A1864" s="7" t="s">
        <v>3688</v>
      </c>
      <c r="B1864" s="8">
        <v>13476.76</v>
      </c>
      <c r="C1864" s="8">
        <v>7745.21</v>
      </c>
      <c r="D1864" s="8">
        <v>174</v>
      </c>
    </row>
    <row r="1865" spans="1:4">
      <c r="A1865" s="7" t="s">
        <v>3689</v>
      </c>
      <c r="B1865" s="8">
        <v>637.1</v>
      </c>
      <c r="C1865" s="8">
        <v>781.42</v>
      </c>
      <c r="D1865" s="8">
        <v>81.53</v>
      </c>
    </row>
    <row r="1866" spans="1:4">
      <c r="A1866" s="7" t="s">
        <v>3690</v>
      </c>
      <c r="B1866" s="8">
        <v>8955.9599999999991</v>
      </c>
      <c r="C1866" s="8">
        <v>6826.96</v>
      </c>
      <c r="D1866" s="8">
        <v>131.19</v>
      </c>
    </row>
    <row r="1867" spans="1:4">
      <c r="A1867" s="7" t="s">
        <v>3691</v>
      </c>
      <c r="B1867" s="8">
        <v>421.38</v>
      </c>
      <c r="C1867" s="8">
        <v>415.91</v>
      </c>
      <c r="D1867" s="8">
        <v>101.32</v>
      </c>
    </row>
    <row r="1868" spans="1:4">
      <c r="A1868" s="7" t="s">
        <v>3692</v>
      </c>
      <c r="B1868" s="8">
        <v>6478.87</v>
      </c>
      <c r="C1868" s="8">
        <v>6366.96</v>
      </c>
      <c r="D1868" s="8">
        <v>101.76</v>
      </c>
    </row>
    <row r="1869" spans="1:4">
      <c r="A1869" s="7" t="s">
        <v>3693</v>
      </c>
      <c r="B1869" s="8">
        <v>592.80999999999995</v>
      </c>
      <c r="C1869" s="8">
        <v>610.48</v>
      </c>
      <c r="D1869" s="8">
        <v>97.11</v>
      </c>
    </row>
    <row r="1870" spans="1:4">
      <c r="A1870" s="7" t="s">
        <v>3694</v>
      </c>
      <c r="B1870" s="8">
        <v>4090.39</v>
      </c>
      <c r="C1870" s="8">
        <v>3788.62</v>
      </c>
      <c r="D1870" s="8">
        <v>107.97</v>
      </c>
    </row>
    <row r="1871" spans="1:4">
      <c r="A1871" s="7" t="s">
        <v>3695</v>
      </c>
      <c r="B1871" s="8">
        <v>676.22</v>
      </c>
      <c r="C1871" s="8">
        <v>776.85</v>
      </c>
      <c r="D1871" s="8">
        <v>87.05</v>
      </c>
    </row>
    <row r="1872" spans="1:4">
      <c r="A1872" s="7" t="s">
        <v>2624</v>
      </c>
      <c r="B1872" s="8">
        <v>10681.12</v>
      </c>
      <c r="C1872" s="8">
        <v>6958.99</v>
      </c>
      <c r="D1872" s="8">
        <v>153.49</v>
      </c>
    </row>
    <row r="1873" spans="1:4">
      <c r="A1873" s="7" t="s">
        <v>2623</v>
      </c>
      <c r="B1873" s="8">
        <v>637.22</v>
      </c>
      <c r="C1873" s="8">
        <v>781.42</v>
      </c>
      <c r="D1873" s="8">
        <v>81.55</v>
      </c>
    </row>
    <row r="1874" spans="1:4">
      <c r="A1874" s="7" t="s">
        <v>3696</v>
      </c>
      <c r="B1874" s="8">
        <v>6858.87</v>
      </c>
      <c r="C1874" s="8">
        <v>5846.96</v>
      </c>
      <c r="D1874" s="8">
        <v>117.31</v>
      </c>
    </row>
    <row r="1875" spans="1:4">
      <c r="A1875" s="7" t="s">
        <v>3697</v>
      </c>
      <c r="B1875" s="8">
        <v>419.7</v>
      </c>
      <c r="C1875" s="8">
        <v>415.91</v>
      </c>
      <c r="D1875" s="8">
        <v>100.91</v>
      </c>
    </row>
    <row r="1876" spans="1:4">
      <c r="A1876" s="7" t="s">
        <v>2626</v>
      </c>
      <c r="B1876" s="8">
        <v>14284.07</v>
      </c>
      <c r="C1876" s="8">
        <v>8315.2099999999991</v>
      </c>
      <c r="D1876" s="8">
        <v>171.78</v>
      </c>
    </row>
    <row r="1877" spans="1:4">
      <c r="A1877" s="7" t="s">
        <v>2625</v>
      </c>
      <c r="B1877" s="8">
        <v>592.80999999999995</v>
      </c>
      <c r="C1877" s="8">
        <v>610.48</v>
      </c>
      <c r="D1877" s="8">
        <v>97.11</v>
      </c>
    </row>
    <row r="1878" spans="1:4">
      <c r="A1878" s="7" t="s">
        <v>2462</v>
      </c>
      <c r="B1878" s="8">
        <v>7422.75</v>
      </c>
      <c r="C1878" s="8">
        <v>2298.5</v>
      </c>
      <c r="D1878" s="8">
        <v>322.94</v>
      </c>
    </row>
    <row r="1879" spans="1:4">
      <c r="A1879" s="7" t="s">
        <v>2461</v>
      </c>
      <c r="B1879" s="8">
        <v>686.82</v>
      </c>
      <c r="C1879" s="8">
        <v>776.85</v>
      </c>
      <c r="D1879" s="8">
        <v>88.41</v>
      </c>
    </row>
    <row r="1880" spans="1:4">
      <c r="A1880" s="7" t="s">
        <v>2337</v>
      </c>
      <c r="B1880" s="8">
        <v>10083.040000000001</v>
      </c>
      <c r="C1880" s="8">
        <v>5504.21</v>
      </c>
      <c r="D1880" s="8">
        <v>183.19</v>
      </c>
    </row>
    <row r="1881" spans="1:4">
      <c r="A1881" s="7" t="s">
        <v>2336</v>
      </c>
      <c r="B1881" s="8">
        <v>642.72</v>
      </c>
      <c r="C1881" s="8">
        <v>781.42</v>
      </c>
      <c r="D1881" s="8">
        <v>82.25</v>
      </c>
    </row>
    <row r="1882" spans="1:4">
      <c r="A1882" s="7" t="s">
        <v>3698</v>
      </c>
      <c r="B1882" s="8">
        <v>4964.82</v>
      </c>
      <c r="C1882" s="8">
        <v>4929.18</v>
      </c>
      <c r="D1882" s="8">
        <v>100.72</v>
      </c>
    </row>
    <row r="1883" spans="1:4">
      <c r="A1883" s="7" t="s">
        <v>3699</v>
      </c>
      <c r="B1883" s="8">
        <v>453.76</v>
      </c>
      <c r="C1883" s="8">
        <v>476.22</v>
      </c>
      <c r="D1883" s="8">
        <v>95.28</v>
      </c>
    </row>
    <row r="1884" spans="1:4">
      <c r="A1884" s="7" t="s">
        <v>3700</v>
      </c>
      <c r="B1884" s="8">
        <v>14820.38</v>
      </c>
      <c r="C1884" s="8">
        <v>6804.65</v>
      </c>
      <c r="D1884" s="8">
        <v>217.8</v>
      </c>
    </row>
    <row r="1885" spans="1:4">
      <c r="A1885" s="7" t="s">
        <v>3701</v>
      </c>
      <c r="B1885" s="8">
        <v>617.79</v>
      </c>
      <c r="C1885" s="8">
        <v>670.79</v>
      </c>
      <c r="D1885" s="8">
        <v>92.1</v>
      </c>
    </row>
    <row r="1886" spans="1:4">
      <c r="A1886" s="7" t="s">
        <v>3702</v>
      </c>
      <c r="B1886" s="8">
        <v>145.9</v>
      </c>
      <c r="C1886" s="8">
        <v>9291.3799999999992</v>
      </c>
      <c r="D1886" s="8">
        <v>1.57</v>
      </c>
    </row>
    <row r="1887" spans="1:4">
      <c r="A1887" s="7" t="s">
        <v>3703</v>
      </c>
      <c r="B1887" s="8">
        <v>37438.54</v>
      </c>
      <c r="C1887" s="8">
        <v>32795.06</v>
      </c>
      <c r="D1887" s="8">
        <v>114.16</v>
      </c>
    </row>
    <row r="1888" spans="1:4">
      <c r="A1888" s="7" t="s">
        <v>3704</v>
      </c>
      <c r="B1888" s="8">
        <v>131.5</v>
      </c>
      <c r="C1888" s="8">
        <v>8891.69</v>
      </c>
      <c r="D1888" s="8">
        <v>1.48</v>
      </c>
    </row>
    <row r="1889" spans="1:4">
      <c r="A1889" s="7" t="s">
        <v>3705</v>
      </c>
      <c r="B1889" s="8">
        <v>4123.3999999999996</v>
      </c>
      <c r="C1889" s="8">
        <v>2900</v>
      </c>
      <c r="D1889" s="8">
        <v>142.19</v>
      </c>
    </row>
    <row r="1890" spans="1:4">
      <c r="A1890" s="7" t="s">
        <v>3706</v>
      </c>
      <c r="B1890" s="8">
        <v>6663</v>
      </c>
      <c r="C1890" s="8">
        <v>5855.11</v>
      </c>
      <c r="D1890" s="8">
        <v>113.8</v>
      </c>
    </row>
    <row r="1891" spans="1:4">
      <c r="A1891" s="7" t="s">
        <v>3707</v>
      </c>
      <c r="B1891" s="8">
        <v>185.43</v>
      </c>
      <c r="C1891" s="8">
        <v>185.43</v>
      </c>
      <c r="D1891" s="8">
        <v>100</v>
      </c>
    </row>
    <row r="1892" spans="1:4">
      <c r="A1892" s="7" t="s">
        <v>3708</v>
      </c>
      <c r="B1892" s="8">
        <v>185.43</v>
      </c>
      <c r="C1892" s="8">
        <v>185.43</v>
      </c>
      <c r="D1892" s="8">
        <v>100</v>
      </c>
    </row>
    <row r="1893" spans="1:4">
      <c r="A1893" s="7" t="s">
        <v>3709</v>
      </c>
      <c r="B1893" s="8">
        <v>185.43</v>
      </c>
      <c r="C1893" s="8">
        <v>185.43</v>
      </c>
      <c r="D1893" s="8">
        <v>100</v>
      </c>
    </row>
    <row r="1894" spans="1:4">
      <c r="A1894" s="7" t="s">
        <v>3710</v>
      </c>
      <c r="B1894" s="8">
        <v>100.18</v>
      </c>
      <c r="C1894" s="8">
        <v>100.18</v>
      </c>
      <c r="D1894" s="8">
        <v>100</v>
      </c>
    </row>
    <row r="1895" spans="1:4">
      <c r="A1895" s="7" t="s">
        <v>3711</v>
      </c>
      <c r="B1895" s="8">
        <v>185.43</v>
      </c>
      <c r="C1895" s="8">
        <v>185.43</v>
      </c>
      <c r="D1895" s="8">
        <v>100</v>
      </c>
    </row>
    <row r="1896" spans="1:4">
      <c r="A1896" s="7" t="s">
        <v>3712</v>
      </c>
      <c r="B1896" s="8">
        <v>185.43</v>
      </c>
      <c r="C1896" s="8">
        <v>185.43</v>
      </c>
      <c r="D1896" s="8">
        <v>100</v>
      </c>
    </row>
    <row r="1897" spans="1:4">
      <c r="A1897" s="7" t="s">
        <v>3713</v>
      </c>
      <c r="B1897" s="8">
        <v>185.43</v>
      </c>
      <c r="C1897" s="8">
        <v>185.43</v>
      </c>
      <c r="D1897" s="8">
        <v>100</v>
      </c>
    </row>
    <row r="1898" spans="1:4">
      <c r="A1898" s="7" t="s">
        <v>3714</v>
      </c>
      <c r="B1898" s="8">
        <v>185.43</v>
      </c>
      <c r="C1898" s="8">
        <v>185.43</v>
      </c>
      <c r="D1898" s="8">
        <v>100</v>
      </c>
    </row>
    <row r="1899" spans="1:4">
      <c r="A1899" s="7" t="s">
        <v>3715</v>
      </c>
      <c r="B1899" s="8">
        <v>185.43</v>
      </c>
      <c r="C1899" s="8">
        <v>185.43</v>
      </c>
      <c r="D1899" s="8">
        <v>100</v>
      </c>
    </row>
    <row r="1900" spans="1:4">
      <c r="A1900" s="7" t="s">
        <v>3716</v>
      </c>
      <c r="B1900" s="8">
        <v>185.43</v>
      </c>
      <c r="C1900" s="8">
        <v>185.43</v>
      </c>
      <c r="D1900" s="8">
        <v>100</v>
      </c>
    </row>
    <row r="1901" spans="1:4">
      <c r="A1901" s="7" t="s">
        <v>3717</v>
      </c>
      <c r="B1901" s="8">
        <v>185.43</v>
      </c>
      <c r="C1901" s="8">
        <v>185.43</v>
      </c>
      <c r="D1901" s="8">
        <v>100</v>
      </c>
    </row>
    <row r="1902" spans="1:4">
      <c r="A1902" s="7" t="s">
        <v>3718</v>
      </c>
      <c r="B1902" s="8">
        <v>185.43</v>
      </c>
      <c r="C1902" s="8">
        <v>185.43</v>
      </c>
      <c r="D1902" s="8">
        <v>100</v>
      </c>
    </row>
    <row r="1903" spans="1:4">
      <c r="A1903" s="7" t="s">
        <v>3719</v>
      </c>
      <c r="B1903" s="8">
        <v>185.43</v>
      </c>
      <c r="C1903" s="8">
        <v>185.43</v>
      </c>
      <c r="D1903" s="8">
        <v>100</v>
      </c>
    </row>
    <row r="1904" spans="1:4">
      <c r="A1904" s="7" t="s">
        <v>3720</v>
      </c>
      <c r="B1904" s="8">
        <v>100</v>
      </c>
      <c r="C1904" s="8">
        <v>100</v>
      </c>
      <c r="D1904" s="8">
        <v>100</v>
      </c>
    </row>
    <row r="1905" spans="1:4">
      <c r="A1905" s="7" t="s">
        <v>3721</v>
      </c>
      <c r="B1905" s="8">
        <v>185.43</v>
      </c>
      <c r="C1905" s="8">
        <v>185.43</v>
      </c>
      <c r="D1905" s="8">
        <v>100</v>
      </c>
    </row>
    <row r="1906" spans="1:4">
      <c r="A1906" s="7" t="s">
        <v>3722</v>
      </c>
      <c r="B1906" s="8">
        <v>185.43</v>
      </c>
      <c r="C1906" s="8">
        <v>185.43</v>
      </c>
      <c r="D1906" s="8">
        <v>100</v>
      </c>
    </row>
    <row r="1907" spans="1:4">
      <c r="A1907" s="7" t="s">
        <v>3723</v>
      </c>
      <c r="B1907" s="8">
        <v>482.57</v>
      </c>
      <c r="C1907" s="8">
        <v>549.16</v>
      </c>
      <c r="D1907" s="8">
        <v>87.87</v>
      </c>
    </row>
    <row r="1908" spans="1:4">
      <c r="A1908" s="7" t="s">
        <v>740</v>
      </c>
      <c r="B1908" s="8">
        <v>100</v>
      </c>
      <c r="C1908" s="8">
        <v>100</v>
      </c>
      <c r="D1908" s="8">
        <v>100</v>
      </c>
    </row>
    <row r="1909" spans="1:4">
      <c r="A1909" s="7" t="s">
        <v>3724</v>
      </c>
      <c r="B1909" s="8">
        <v>100</v>
      </c>
      <c r="C1909" s="8">
        <v>100</v>
      </c>
      <c r="D1909" s="8">
        <v>100</v>
      </c>
    </row>
    <row r="1910" spans="1:4">
      <c r="A1910" s="7" t="s">
        <v>3725</v>
      </c>
      <c r="B1910" s="8">
        <v>2353.9899999999998</v>
      </c>
      <c r="C1910" s="8">
        <v>1188.24</v>
      </c>
      <c r="D1910" s="8">
        <v>198.11</v>
      </c>
    </row>
    <row r="1911" spans="1:4">
      <c r="A1911" s="7" t="s">
        <v>730</v>
      </c>
      <c r="B1911" s="8">
        <v>107.14</v>
      </c>
      <c r="C1911" s="8">
        <v>107.14</v>
      </c>
      <c r="D1911" s="8">
        <v>100</v>
      </c>
    </row>
    <row r="1912" spans="1:4">
      <c r="A1912" s="7" t="s">
        <v>3726</v>
      </c>
      <c r="B1912" s="8">
        <v>1172.53</v>
      </c>
      <c r="C1912" s="8">
        <v>1288.42</v>
      </c>
      <c r="D1912" s="8">
        <v>91.01</v>
      </c>
    </row>
    <row r="1913" spans="1:4">
      <c r="A1913" s="7" t="s">
        <v>2530</v>
      </c>
      <c r="B1913" s="8">
        <v>972.3</v>
      </c>
      <c r="C1913" s="8">
        <v>1226.8399999999999</v>
      </c>
      <c r="D1913" s="8">
        <v>79.25</v>
      </c>
    </row>
    <row r="1914" spans="1:4">
      <c r="A1914" s="7" t="s">
        <v>2527</v>
      </c>
      <c r="B1914" s="8">
        <v>806.02</v>
      </c>
      <c r="C1914" s="8">
        <v>1088.18</v>
      </c>
      <c r="D1914" s="8">
        <v>74.069999999999993</v>
      </c>
    </row>
    <row r="1915" spans="1:4">
      <c r="A1915" s="7" t="s">
        <v>2535</v>
      </c>
      <c r="B1915" s="8">
        <v>830.81</v>
      </c>
      <c r="C1915" s="8">
        <v>955.24</v>
      </c>
      <c r="D1915" s="8">
        <v>86.97</v>
      </c>
    </row>
    <row r="1916" spans="1:4">
      <c r="A1916" s="7" t="s">
        <v>2532</v>
      </c>
      <c r="B1916" s="8">
        <v>620.39</v>
      </c>
      <c r="C1916" s="8">
        <v>816.58</v>
      </c>
      <c r="D1916" s="8">
        <v>75.97</v>
      </c>
    </row>
    <row r="1917" spans="1:4">
      <c r="A1917" s="7" t="s">
        <v>3727</v>
      </c>
      <c r="B1917" s="8">
        <v>4925.8999999999996</v>
      </c>
      <c r="C1917" s="8">
        <v>4974.51</v>
      </c>
      <c r="D1917" s="8">
        <v>99.02</v>
      </c>
    </row>
    <row r="1918" spans="1:4">
      <c r="A1918" s="7" t="s">
        <v>3728</v>
      </c>
      <c r="B1918" s="8">
        <v>4719.9799999999996</v>
      </c>
      <c r="C1918" s="8">
        <v>4865.8500000000004</v>
      </c>
      <c r="D1918" s="8">
        <v>97</v>
      </c>
    </row>
    <row r="1919" spans="1:4">
      <c r="A1919" s="7" t="s">
        <v>3729</v>
      </c>
      <c r="B1919" s="8">
        <v>4438.4399999999996</v>
      </c>
      <c r="C1919" s="8">
        <v>3337.65</v>
      </c>
      <c r="D1919" s="8">
        <v>132.97999999999999</v>
      </c>
    </row>
    <row r="1920" spans="1:4">
      <c r="A1920" s="7" t="s">
        <v>3730</v>
      </c>
      <c r="B1920" s="8">
        <v>4490.2700000000004</v>
      </c>
      <c r="C1920" s="8">
        <v>3028.99</v>
      </c>
      <c r="D1920" s="8">
        <v>148.24</v>
      </c>
    </row>
    <row r="1921" spans="1:4">
      <c r="A1921" s="7" t="s">
        <v>3731</v>
      </c>
      <c r="B1921" s="8">
        <v>2610.79</v>
      </c>
      <c r="C1921" s="8">
        <v>2687.65</v>
      </c>
      <c r="D1921" s="8">
        <v>97.14</v>
      </c>
    </row>
    <row r="1922" spans="1:4">
      <c r="A1922" s="7" t="s">
        <v>3732</v>
      </c>
      <c r="B1922" s="8">
        <v>2409.31</v>
      </c>
      <c r="C1922" s="8">
        <v>2378.9899999999998</v>
      </c>
      <c r="D1922" s="8">
        <v>101.27</v>
      </c>
    </row>
    <row r="1923" spans="1:4">
      <c r="A1923" s="7" t="s">
        <v>801</v>
      </c>
      <c r="B1923" s="8">
        <v>3283.07</v>
      </c>
      <c r="C1923" s="8">
        <v>3437.56</v>
      </c>
      <c r="D1923" s="8">
        <v>95.51</v>
      </c>
    </row>
    <row r="1924" spans="1:4">
      <c r="A1924" s="7" t="s">
        <v>3733</v>
      </c>
      <c r="B1924" s="8">
        <v>3101.13</v>
      </c>
      <c r="C1924" s="8">
        <v>3128.9</v>
      </c>
      <c r="D1924" s="8">
        <v>99.11</v>
      </c>
    </row>
    <row r="1925" spans="1:4">
      <c r="A1925" s="7" t="s">
        <v>3734</v>
      </c>
      <c r="B1925" s="8">
        <v>185.43</v>
      </c>
      <c r="C1925" s="8">
        <v>185.43</v>
      </c>
      <c r="D1925" s="8">
        <v>100</v>
      </c>
    </row>
    <row r="1926" spans="1:4">
      <c r="A1926" s="7" t="s">
        <v>3735</v>
      </c>
      <c r="B1926" s="8">
        <v>185.43</v>
      </c>
      <c r="C1926" s="8">
        <v>185.43</v>
      </c>
      <c r="D1926" s="8">
        <v>100</v>
      </c>
    </row>
    <row r="1927" spans="1:4">
      <c r="A1927" s="7" t="s">
        <v>3736</v>
      </c>
      <c r="B1927" s="8">
        <v>2242.67</v>
      </c>
      <c r="C1927" s="8">
        <v>2174.42</v>
      </c>
      <c r="D1927" s="8">
        <v>103.14</v>
      </c>
    </row>
    <row r="1928" spans="1:4">
      <c r="A1928" s="7" t="s">
        <v>3737</v>
      </c>
      <c r="B1928" s="8">
        <v>2069.1999999999998</v>
      </c>
      <c r="C1928" s="8">
        <v>2065.7600000000002</v>
      </c>
      <c r="D1928" s="8">
        <v>100.17</v>
      </c>
    </row>
    <row r="1929" spans="1:4">
      <c r="A1929" s="7" t="s">
        <v>809</v>
      </c>
      <c r="B1929" s="8">
        <v>139.75</v>
      </c>
      <c r="C1929" s="8">
        <v>139.75</v>
      </c>
      <c r="D1929" s="8">
        <v>100</v>
      </c>
    </row>
    <row r="1930" spans="1:4">
      <c r="A1930" s="7" t="s">
        <v>810</v>
      </c>
      <c r="B1930" s="8">
        <v>90</v>
      </c>
      <c r="C1930" s="8">
        <v>90</v>
      </c>
      <c r="D1930" s="8">
        <v>100</v>
      </c>
    </row>
    <row r="1931" spans="1:4">
      <c r="A1931" s="7" t="s">
        <v>3738</v>
      </c>
      <c r="B1931" s="8">
        <v>90</v>
      </c>
      <c r="C1931" s="8">
        <v>90</v>
      </c>
      <c r="D1931" s="8">
        <v>100</v>
      </c>
    </row>
    <row r="1932" spans="1:4">
      <c r="A1932" s="7" t="s">
        <v>3739</v>
      </c>
      <c r="B1932" s="8">
        <v>90</v>
      </c>
      <c r="C1932" s="8">
        <v>90</v>
      </c>
      <c r="D1932" s="8">
        <v>100</v>
      </c>
    </row>
    <row r="1933" spans="1:4">
      <c r="A1933" s="7" t="s">
        <v>3740</v>
      </c>
      <c r="B1933" s="8">
        <v>90</v>
      </c>
      <c r="C1933" s="8">
        <v>90</v>
      </c>
      <c r="D1933" s="8">
        <v>100</v>
      </c>
    </row>
    <row r="1934" spans="1:4">
      <c r="A1934" s="7" t="s">
        <v>812</v>
      </c>
      <c r="B1934" s="8">
        <v>90</v>
      </c>
      <c r="C1934" s="8">
        <v>90</v>
      </c>
      <c r="D1934" s="8">
        <v>100</v>
      </c>
    </row>
    <row r="1935" spans="1:4">
      <c r="A1935" s="7" t="s">
        <v>3741</v>
      </c>
      <c r="B1935" s="8">
        <v>90</v>
      </c>
      <c r="C1935" s="8">
        <v>90</v>
      </c>
      <c r="D1935" s="8">
        <v>100</v>
      </c>
    </row>
    <row r="1936" spans="1:4">
      <c r="A1936" s="7" t="s">
        <v>3742</v>
      </c>
      <c r="B1936" s="8">
        <v>90</v>
      </c>
      <c r="C1936" s="8">
        <v>90</v>
      </c>
      <c r="D1936" s="8">
        <v>100</v>
      </c>
    </row>
    <row r="1937" spans="1:4">
      <c r="A1937" s="7" t="s">
        <v>3743</v>
      </c>
      <c r="B1937" s="8">
        <v>90</v>
      </c>
      <c r="C1937" s="8">
        <v>90</v>
      </c>
      <c r="D1937" s="8">
        <v>100</v>
      </c>
    </row>
    <row r="1938" spans="1:4">
      <c r="A1938" s="7" t="s">
        <v>3744</v>
      </c>
      <c r="B1938" s="8">
        <v>90</v>
      </c>
      <c r="C1938" s="8">
        <v>90</v>
      </c>
      <c r="D1938" s="8">
        <v>100</v>
      </c>
    </row>
    <row r="1939" spans="1:4">
      <c r="A1939" s="7" t="s">
        <v>3745</v>
      </c>
      <c r="B1939" s="8">
        <v>90</v>
      </c>
      <c r="C1939" s="8">
        <v>90</v>
      </c>
      <c r="D1939" s="8">
        <v>100</v>
      </c>
    </row>
    <row r="1940" spans="1:4">
      <c r="A1940" s="7" t="s">
        <v>3746</v>
      </c>
      <c r="B1940" s="8">
        <v>90</v>
      </c>
      <c r="C1940" s="8">
        <v>90</v>
      </c>
      <c r="D1940" s="8">
        <v>100</v>
      </c>
    </row>
    <row r="1941" spans="1:4">
      <c r="A1941" s="7" t="s">
        <v>3747</v>
      </c>
      <c r="B1941" s="8">
        <v>90</v>
      </c>
      <c r="C1941" s="8">
        <v>90</v>
      </c>
      <c r="D1941" s="8">
        <v>100</v>
      </c>
    </row>
    <row r="1942" spans="1:4">
      <c r="A1942" s="7" t="s">
        <v>815</v>
      </c>
      <c r="B1942" s="8">
        <v>90</v>
      </c>
      <c r="C1942" s="8">
        <v>90</v>
      </c>
      <c r="D1942" s="8">
        <v>100</v>
      </c>
    </row>
    <row r="1943" spans="1:4">
      <c r="A1943" s="7" t="s">
        <v>816</v>
      </c>
      <c r="B1943" s="8">
        <v>90</v>
      </c>
      <c r="C1943" s="8">
        <v>90</v>
      </c>
      <c r="D1943" s="8">
        <v>100</v>
      </c>
    </row>
    <row r="1944" spans="1:4">
      <c r="A1944" s="7" t="s">
        <v>3748</v>
      </c>
      <c r="B1944" s="8">
        <v>90</v>
      </c>
      <c r="C1944" s="8">
        <v>90</v>
      </c>
      <c r="D1944" s="8">
        <v>100</v>
      </c>
    </row>
    <row r="1945" spans="1:4">
      <c r="A1945" s="7" t="s">
        <v>3749</v>
      </c>
      <c r="B1945" s="8">
        <v>90</v>
      </c>
      <c r="C1945" s="8">
        <v>90</v>
      </c>
      <c r="D1945" s="8">
        <v>100</v>
      </c>
    </row>
    <row r="1946" spans="1:4">
      <c r="A1946" s="7" t="s">
        <v>817</v>
      </c>
      <c r="B1946" s="8">
        <v>90</v>
      </c>
      <c r="C1946" s="8">
        <v>90</v>
      </c>
      <c r="D1946" s="8">
        <v>100</v>
      </c>
    </row>
    <row r="1947" spans="1:4">
      <c r="A1947" s="7" t="s">
        <v>3750</v>
      </c>
      <c r="B1947" s="8">
        <v>90</v>
      </c>
      <c r="C1947" s="8">
        <v>90</v>
      </c>
      <c r="D1947" s="8">
        <v>100</v>
      </c>
    </row>
    <row r="1948" spans="1:4">
      <c r="A1948" s="7" t="s">
        <v>3751</v>
      </c>
      <c r="B1948" s="8">
        <v>90</v>
      </c>
      <c r="C1948" s="8">
        <v>90</v>
      </c>
      <c r="D1948" s="8">
        <v>100</v>
      </c>
    </row>
    <row r="1949" spans="1:4">
      <c r="A1949" s="7" t="s">
        <v>3752</v>
      </c>
      <c r="B1949" s="8">
        <v>90</v>
      </c>
      <c r="C1949" s="8">
        <v>90</v>
      </c>
      <c r="D1949" s="8">
        <v>100</v>
      </c>
    </row>
    <row r="1950" spans="1:4">
      <c r="A1950" s="7" t="s">
        <v>731</v>
      </c>
      <c r="B1950" s="8">
        <v>100.03</v>
      </c>
      <c r="C1950" s="8">
        <v>100.03</v>
      </c>
      <c r="D1950" s="8">
        <v>100</v>
      </c>
    </row>
    <row r="1951" spans="1:4">
      <c r="A1951" s="7" t="s">
        <v>3753</v>
      </c>
      <c r="B1951" s="8">
        <v>4769.2299999999996</v>
      </c>
      <c r="C1951" s="8">
        <v>5148.62</v>
      </c>
      <c r="D1951" s="8">
        <v>92.63</v>
      </c>
    </row>
    <row r="1952" spans="1:4">
      <c r="A1952" s="7" t="s">
        <v>3754</v>
      </c>
      <c r="B1952" s="8">
        <v>685.25</v>
      </c>
      <c r="C1952" s="8">
        <v>776.85</v>
      </c>
      <c r="D1952" s="8">
        <v>88.21</v>
      </c>
    </row>
    <row r="1953" spans="1:4">
      <c r="A1953" s="7" t="s">
        <v>2628</v>
      </c>
      <c r="B1953" s="8">
        <v>14954.35</v>
      </c>
      <c r="C1953" s="8">
        <v>9917.3799999999992</v>
      </c>
      <c r="D1953" s="8">
        <v>150.79</v>
      </c>
    </row>
    <row r="1954" spans="1:4">
      <c r="A1954" s="7" t="s">
        <v>2627</v>
      </c>
      <c r="B1954" s="8">
        <v>631.70000000000005</v>
      </c>
      <c r="C1954" s="8">
        <v>781.42</v>
      </c>
      <c r="D1954" s="8">
        <v>80.84</v>
      </c>
    </row>
    <row r="1955" spans="1:4">
      <c r="A1955" s="7" t="s">
        <v>3755</v>
      </c>
      <c r="B1955" s="8">
        <v>6572.01</v>
      </c>
      <c r="C1955" s="8">
        <v>6594.61</v>
      </c>
      <c r="D1955" s="8">
        <v>99.66</v>
      </c>
    </row>
    <row r="1956" spans="1:4">
      <c r="A1956" s="7" t="s">
        <v>3756</v>
      </c>
      <c r="B1956" s="8">
        <v>423.74</v>
      </c>
      <c r="C1956" s="8">
        <v>415.91</v>
      </c>
      <c r="D1956" s="8">
        <v>101.88</v>
      </c>
    </row>
    <row r="1957" spans="1:4">
      <c r="A1957" s="7" t="s">
        <v>2620</v>
      </c>
      <c r="B1957" s="8">
        <v>17313.82</v>
      </c>
      <c r="C1957" s="8">
        <v>9535.2099999999991</v>
      </c>
      <c r="D1957" s="8">
        <v>181.58</v>
      </c>
    </row>
    <row r="1958" spans="1:4">
      <c r="A1958" s="7" t="s">
        <v>2619</v>
      </c>
      <c r="B1958" s="8">
        <v>592.80999999999995</v>
      </c>
      <c r="C1958" s="8">
        <v>610.48</v>
      </c>
      <c r="D1958" s="8">
        <v>97.11</v>
      </c>
    </row>
    <row r="1959" spans="1:4">
      <c r="A1959" s="7" t="s">
        <v>3757</v>
      </c>
      <c r="B1959" s="8">
        <v>4577.8100000000004</v>
      </c>
      <c r="C1959" s="8">
        <v>3940.04</v>
      </c>
      <c r="D1959" s="8">
        <v>116.19</v>
      </c>
    </row>
    <row r="1960" spans="1:4">
      <c r="A1960" s="7" t="s">
        <v>3758</v>
      </c>
      <c r="B1960" s="8">
        <v>445.89</v>
      </c>
      <c r="C1960" s="8">
        <v>476.22</v>
      </c>
      <c r="D1960" s="8">
        <v>93.63</v>
      </c>
    </row>
    <row r="1961" spans="1:4">
      <c r="A1961" s="7" t="s">
        <v>2622</v>
      </c>
      <c r="B1961" s="8">
        <v>14229.78</v>
      </c>
      <c r="C1961" s="8">
        <v>8484.65</v>
      </c>
      <c r="D1961" s="8">
        <v>167.71</v>
      </c>
    </row>
    <row r="1962" spans="1:4">
      <c r="A1962" s="7" t="s">
        <v>2621</v>
      </c>
      <c r="B1962" s="8">
        <v>617.79</v>
      </c>
      <c r="C1962" s="8">
        <v>670.79</v>
      </c>
      <c r="D1962" s="8">
        <v>92.1</v>
      </c>
    </row>
    <row r="1963" spans="1:4">
      <c r="A1963" s="7" t="s">
        <v>3759</v>
      </c>
      <c r="B1963" s="8">
        <v>4882.71</v>
      </c>
      <c r="C1963" s="8">
        <v>4806.96</v>
      </c>
      <c r="D1963" s="8">
        <v>101.58</v>
      </c>
    </row>
    <row r="1964" spans="1:4">
      <c r="A1964" s="7" t="s">
        <v>3760</v>
      </c>
      <c r="B1964" s="8">
        <v>454.54</v>
      </c>
      <c r="C1964" s="8">
        <v>476.22</v>
      </c>
      <c r="D1964" s="8">
        <v>95.45</v>
      </c>
    </row>
    <row r="1965" spans="1:4">
      <c r="A1965" s="7" t="s">
        <v>3761</v>
      </c>
      <c r="B1965" s="8">
        <v>7393.65</v>
      </c>
      <c r="C1965" s="8">
        <v>7106.26</v>
      </c>
      <c r="D1965" s="8">
        <v>104.04</v>
      </c>
    </row>
    <row r="1966" spans="1:4">
      <c r="A1966" s="7" t="s">
        <v>3762</v>
      </c>
      <c r="B1966" s="8">
        <v>617.79</v>
      </c>
      <c r="C1966" s="8">
        <v>670.79</v>
      </c>
      <c r="D1966" s="8">
        <v>92.1</v>
      </c>
    </row>
    <row r="1967" spans="1:4">
      <c r="A1967" s="7" t="s">
        <v>3763</v>
      </c>
      <c r="B1967" s="8">
        <v>454.3</v>
      </c>
      <c r="C1967" s="8">
        <v>476.22</v>
      </c>
      <c r="D1967" s="8">
        <v>95.4</v>
      </c>
    </row>
    <row r="1968" spans="1:4">
      <c r="A1968" s="7" t="s">
        <v>3764</v>
      </c>
      <c r="B1968" s="8">
        <v>2653.24</v>
      </c>
      <c r="C1968" s="8">
        <v>2399.4699999999998</v>
      </c>
      <c r="D1968" s="8">
        <v>110.58</v>
      </c>
    </row>
    <row r="1969" spans="1:4">
      <c r="A1969" s="7" t="s">
        <v>3765</v>
      </c>
      <c r="B1969" s="8">
        <v>617.79</v>
      </c>
      <c r="C1969" s="8">
        <v>670.79</v>
      </c>
      <c r="D1969" s="8">
        <v>92.1</v>
      </c>
    </row>
    <row r="1970" spans="1:4">
      <c r="A1970" s="7" t="s">
        <v>3766</v>
      </c>
      <c r="B1970" s="8">
        <v>468.51</v>
      </c>
      <c r="C1970" s="8">
        <v>536.54</v>
      </c>
      <c r="D1970" s="8">
        <v>87.32</v>
      </c>
    </row>
    <row r="1971" spans="1:4">
      <c r="A1971" s="7" t="s">
        <v>3767</v>
      </c>
      <c r="B1971" s="8">
        <v>2429.96</v>
      </c>
      <c r="C1971" s="8">
        <v>2269.4699999999998</v>
      </c>
      <c r="D1971" s="8">
        <v>107.07</v>
      </c>
    </row>
    <row r="1972" spans="1:4">
      <c r="A1972" s="7" t="s">
        <v>3768</v>
      </c>
      <c r="B1972" s="8">
        <v>642.78</v>
      </c>
      <c r="C1972" s="8">
        <v>731.11</v>
      </c>
      <c r="D1972" s="8">
        <v>87.92</v>
      </c>
    </row>
    <row r="1973" spans="1:4">
      <c r="A1973" s="7" t="s">
        <v>3769</v>
      </c>
      <c r="B1973" s="8">
        <v>479.52</v>
      </c>
      <c r="C1973" s="8">
        <v>536.54</v>
      </c>
      <c r="D1973" s="8">
        <v>89.37</v>
      </c>
    </row>
    <row r="1974" spans="1:4">
      <c r="A1974" s="7" t="s">
        <v>3770</v>
      </c>
      <c r="B1974" s="8">
        <v>1471.99</v>
      </c>
      <c r="C1974" s="8">
        <v>1615.61</v>
      </c>
      <c r="D1974" s="8">
        <v>91.11</v>
      </c>
    </row>
    <row r="1975" spans="1:4">
      <c r="A1975" s="7" t="s">
        <v>3771</v>
      </c>
      <c r="B1975" s="8">
        <v>642.78</v>
      </c>
      <c r="C1975" s="8">
        <v>731.11</v>
      </c>
      <c r="D1975" s="8">
        <v>87.92</v>
      </c>
    </row>
    <row r="1976" spans="1:4">
      <c r="A1976" s="7" t="s">
        <v>3772</v>
      </c>
      <c r="B1976" s="8">
        <v>421.59</v>
      </c>
      <c r="C1976" s="8">
        <v>415.91</v>
      </c>
      <c r="D1976" s="8">
        <v>101.37</v>
      </c>
    </row>
    <row r="1977" spans="1:4">
      <c r="A1977" s="7" t="s">
        <v>3773</v>
      </c>
      <c r="B1977" s="8">
        <v>2900.7</v>
      </c>
      <c r="C1977" s="8">
        <v>2787.05</v>
      </c>
      <c r="D1977" s="8">
        <v>104.08</v>
      </c>
    </row>
    <row r="1978" spans="1:4">
      <c r="A1978" s="7" t="s">
        <v>3774</v>
      </c>
      <c r="B1978" s="8">
        <v>592.80999999999995</v>
      </c>
      <c r="C1978" s="8">
        <v>610.48</v>
      </c>
      <c r="D1978" s="8">
        <v>97.11</v>
      </c>
    </row>
    <row r="1979" spans="1:4">
      <c r="A1979" s="7" t="s">
        <v>3775</v>
      </c>
      <c r="B1979" s="8">
        <v>5240.13</v>
      </c>
      <c r="C1979" s="8">
        <v>5486.4</v>
      </c>
      <c r="D1979" s="8">
        <v>95.51</v>
      </c>
    </row>
    <row r="1980" spans="1:4">
      <c r="A1980" s="7" t="s">
        <v>3776</v>
      </c>
      <c r="B1980" s="8">
        <v>419.49</v>
      </c>
      <c r="C1980" s="8">
        <v>415.91</v>
      </c>
      <c r="D1980" s="8">
        <v>100.86</v>
      </c>
    </row>
    <row r="1981" spans="1:4">
      <c r="A1981" s="7" t="s">
        <v>2349</v>
      </c>
      <c r="B1981" s="8">
        <v>6481.61</v>
      </c>
      <c r="C1981" s="8">
        <v>6686.82</v>
      </c>
      <c r="D1981" s="8">
        <v>96.93</v>
      </c>
    </row>
    <row r="1982" spans="1:4">
      <c r="A1982" s="7" t="s">
        <v>2348</v>
      </c>
      <c r="B1982" s="8">
        <v>592.80999999999995</v>
      </c>
      <c r="C1982" s="8">
        <v>610.48</v>
      </c>
      <c r="D1982" s="8">
        <v>97.11</v>
      </c>
    </row>
    <row r="1983" spans="1:4">
      <c r="A1983" s="7" t="s">
        <v>3777</v>
      </c>
      <c r="B1983" s="8">
        <v>6454.74</v>
      </c>
      <c r="C1983" s="8">
        <v>6026.4</v>
      </c>
      <c r="D1983" s="8">
        <v>107.11</v>
      </c>
    </row>
    <row r="1984" spans="1:4">
      <c r="A1984" s="7" t="s">
        <v>3778</v>
      </c>
      <c r="B1984" s="8">
        <v>480.16</v>
      </c>
      <c r="C1984" s="8">
        <v>536.54</v>
      </c>
      <c r="D1984" s="8">
        <v>89.49</v>
      </c>
    </row>
    <row r="1985" spans="1:4">
      <c r="A1985" s="7" t="s">
        <v>2351</v>
      </c>
      <c r="B1985" s="8">
        <v>7351.66</v>
      </c>
      <c r="C1985" s="8">
        <v>6986.4</v>
      </c>
      <c r="D1985" s="8">
        <v>105.23</v>
      </c>
    </row>
    <row r="1986" spans="1:4">
      <c r="A1986" s="7" t="s">
        <v>2350</v>
      </c>
      <c r="B1986" s="8">
        <v>642.78</v>
      </c>
      <c r="C1986" s="8">
        <v>731.11</v>
      </c>
      <c r="D1986" s="8">
        <v>87.92</v>
      </c>
    </row>
    <row r="1987" spans="1:4">
      <c r="A1987" s="7" t="s">
        <v>3779</v>
      </c>
      <c r="B1987" s="8">
        <v>6617.92</v>
      </c>
      <c r="C1987" s="8">
        <v>5926.4</v>
      </c>
      <c r="D1987" s="8">
        <v>111.67</v>
      </c>
    </row>
    <row r="1988" spans="1:4">
      <c r="A1988" s="7" t="s">
        <v>3780</v>
      </c>
      <c r="B1988" s="8">
        <v>480.25</v>
      </c>
      <c r="C1988" s="8">
        <v>536.54</v>
      </c>
      <c r="D1988" s="8">
        <v>89.51</v>
      </c>
    </row>
    <row r="1989" spans="1:4">
      <c r="A1989" s="7" t="s">
        <v>3781</v>
      </c>
      <c r="B1989" s="8">
        <v>9354.33</v>
      </c>
      <c r="C1989" s="8">
        <v>6386.4</v>
      </c>
      <c r="D1989" s="8">
        <v>146.47</v>
      </c>
    </row>
    <row r="1990" spans="1:4">
      <c r="A1990" s="7" t="s">
        <v>3782</v>
      </c>
      <c r="B1990" s="8">
        <v>642.78</v>
      </c>
      <c r="C1990" s="8">
        <v>731.11</v>
      </c>
      <c r="D1990" s="8">
        <v>87.92</v>
      </c>
    </row>
    <row r="1991" spans="1:4">
      <c r="A1991" s="7" t="s">
        <v>3783</v>
      </c>
      <c r="B1991" s="8">
        <v>4755.41</v>
      </c>
      <c r="C1991" s="8">
        <v>5146.96</v>
      </c>
      <c r="D1991" s="8">
        <v>92.39</v>
      </c>
    </row>
    <row r="1992" spans="1:4">
      <c r="A1992" s="7" t="s">
        <v>3784</v>
      </c>
      <c r="B1992" s="8">
        <v>685.42</v>
      </c>
      <c r="C1992" s="8">
        <v>776.85</v>
      </c>
      <c r="D1992" s="8">
        <v>88.23</v>
      </c>
    </row>
    <row r="1993" spans="1:4">
      <c r="A1993" s="7" t="s">
        <v>3785</v>
      </c>
      <c r="B1993" s="8">
        <v>10264.69</v>
      </c>
      <c r="C1993" s="8">
        <v>6025.21</v>
      </c>
      <c r="D1993" s="8">
        <v>170.36</v>
      </c>
    </row>
    <row r="1994" spans="1:4">
      <c r="A1994" s="7" t="s">
        <v>3786</v>
      </c>
      <c r="B1994" s="8">
        <v>634.46</v>
      </c>
      <c r="C1994" s="8">
        <v>781.42</v>
      </c>
      <c r="D1994" s="8">
        <v>81.19</v>
      </c>
    </row>
    <row r="1995" spans="1:4">
      <c r="A1995" s="7" t="s">
        <v>3787</v>
      </c>
      <c r="B1995" s="8">
        <v>451.43</v>
      </c>
      <c r="C1995" s="8">
        <v>441.22</v>
      </c>
      <c r="D1995" s="8">
        <v>102.31</v>
      </c>
    </row>
    <row r="1996" spans="1:4">
      <c r="A1996" s="7" t="s">
        <v>3788</v>
      </c>
      <c r="B1996" s="8">
        <v>11799.29</v>
      </c>
      <c r="C1996" s="8">
        <v>7568.43</v>
      </c>
      <c r="D1996" s="8">
        <v>155.9</v>
      </c>
    </row>
    <row r="1997" spans="1:4">
      <c r="A1997" s="7" t="s">
        <v>3789</v>
      </c>
      <c r="B1997" s="8">
        <v>592.80999999999995</v>
      </c>
      <c r="C1997" s="8">
        <v>610.48</v>
      </c>
      <c r="D1997" s="8">
        <v>97.11</v>
      </c>
    </row>
    <row r="1998" spans="1:4">
      <c r="A1998" s="7" t="s">
        <v>3790</v>
      </c>
      <c r="B1998" s="8">
        <v>483.33</v>
      </c>
      <c r="C1998" s="8">
        <v>536.54</v>
      </c>
      <c r="D1998" s="8">
        <v>90.08</v>
      </c>
    </row>
    <row r="1999" spans="1:4">
      <c r="A1999" s="7" t="s">
        <v>3791</v>
      </c>
      <c r="B1999" s="8">
        <v>7603.24</v>
      </c>
      <c r="C1999" s="8">
        <v>6353.17</v>
      </c>
      <c r="D1999" s="8">
        <v>119.68</v>
      </c>
    </row>
    <row r="2000" spans="1:4">
      <c r="A2000" s="7" t="s">
        <v>3792</v>
      </c>
      <c r="B2000" s="8">
        <v>662.27</v>
      </c>
      <c r="C2000" s="8">
        <v>731.11</v>
      </c>
      <c r="D2000" s="8">
        <v>90.58</v>
      </c>
    </row>
    <row r="2001" spans="1:4">
      <c r="A2001" s="7" t="s">
        <v>3793</v>
      </c>
      <c r="B2001" s="8">
        <v>480.34</v>
      </c>
      <c r="C2001" s="8">
        <v>501.53</v>
      </c>
      <c r="D2001" s="8">
        <v>95.77</v>
      </c>
    </row>
    <row r="2002" spans="1:4">
      <c r="A2002" s="7" t="s">
        <v>3794</v>
      </c>
      <c r="B2002" s="8">
        <v>7326.99</v>
      </c>
      <c r="C2002" s="8">
        <v>7265.7</v>
      </c>
      <c r="D2002" s="8">
        <v>100.84</v>
      </c>
    </row>
    <row r="2003" spans="1:4">
      <c r="A2003" s="7" t="s">
        <v>3795</v>
      </c>
      <c r="B2003" s="8">
        <v>617.79</v>
      </c>
      <c r="C2003" s="8">
        <v>670.79</v>
      </c>
      <c r="D2003" s="8">
        <v>92.1</v>
      </c>
    </row>
    <row r="2004" spans="1:4">
      <c r="A2004" s="7" t="s">
        <v>2466</v>
      </c>
      <c r="B2004" s="8">
        <v>7681.06</v>
      </c>
      <c r="C2004" s="8">
        <v>3722.82</v>
      </c>
      <c r="D2004" s="8">
        <v>206.32</v>
      </c>
    </row>
    <row r="2005" spans="1:4">
      <c r="A2005" s="7" t="s">
        <v>2465</v>
      </c>
      <c r="B2005" s="8">
        <v>428.28</v>
      </c>
      <c r="C2005" s="8">
        <v>415.91</v>
      </c>
      <c r="D2005" s="8">
        <v>102.97</v>
      </c>
    </row>
    <row r="2006" spans="1:4">
      <c r="A2006" s="7" t="s">
        <v>2345</v>
      </c>
      <c r="B2006" s="8">
        <v>11936.01</v>
      </c>
      <c r="C2006" s="8">
        <v>4994.76</v>
      </c>
      <c r="D2006" s="8">
        <v>238.97</v>
      </c>
    </row>
    <row r="2007" spans="1:4">
      <c r="A2007" s="7" t="s">
        <v>2344</v>
      </c>
      <c r="B2007" s="8">
        <v>592.80999999999995</v>
      </c>
      <c r="C2007" s="8">
        <v>610.48</v>
      </c>
      <c r="D2007" s="8">
        <v>97.11</v>
      </c>
    </row>
    <row r="2008" spans="1:4">
      <c r="A2008" s="7" t="s">
        <v>3796</v>
      </c>
      <c r="B2008" s="8">
        <v>7639.45</v>
      </c>
      <c r="C2008" s="8">
        <v>1588.5</v>
      </c>
      <c r="D2008" s="8">
        <v>480.92</v>
      </c>
    </row>
    <row r="2009" spans="1:4">
      <c r="A2009" s="7" t="s">
        <v>3797</v>
      </c>
      <c r="B2009" s="8">
        <v>470.15</v>
      </c>
      <c r="C2009" s="8">
        <v>536.54</v>
      </c>
      <c r="D2009" s="8">
        <v>87.63</v>
      </c>
    </row>
    <row r="2010" spans="1:4">
      <c r="A2010" s="7" t="s">
        <v>2339</v>
      </c>
      <c r="B2010" s="8">
        <v>11665.05</v>
      </c>
      <c r="C2010" s="8">
        <v>4788.21</v>
      </c>
      <c r="D2010" s="8">
        <v>243.62</v>
      </c>
    </row>
    <row r="2011" spans="1:4">
      <c r="A2011" s="7" t="s">
        <v>2338</v>
      </c>
      <c r="B2011" s="8">
        <v>642.78</v>
      </c>
      <c r="C2011" s="8">
        <v>731.11</v>
      </c>
      <c r="D2011" s="8">
        <v>87.92</v>
      </c>
    </row>
    <row r="2012" spans="1:4">
      <c r="A2012" s="7" t="s">
        <v>3798</v>
      </c>
      <c r="B2012" s="8">
        <v>7662.96</v>
      </c>
      <c r="C2012" s="8">
        <v>3969.18</v>
      </c>
      <c r="D2012" s="8">
        <v>193.06</v>
      </c>
    </row>
    <row r="2013" spans="1:4">
      <c r="A2013" s="7" t="s">
        <v>3799</v>
      </c>
      <c r="B2013" s="8">
        <v>446.25</v>
      </c>
      <c r="C2013" s="8">
        <v>476.22</v>
      </c>
      <c r="D2013" s="8">
        <v>93.71</v>
      </c>
    </row>
    <row r="2014" spans="1:4">
      <c r="A2014" s="7" t="s">
        <v>2341</v>
      </c>
      <c r="B2014" s="8">
        <v>10071.969999999999</v>
      </c>
      <c r="C2014" s="8">
        <v>4168.63</v>
      </c>
      <c r="D2014" s="8">
        <v>241.61</v>
      </c>
    </row>
    <row r="2015" spans="1:4">
      <c r="A2015" s="7" t="s">
        <v>2340</v>
      </c>
      <c r="B2015" s="8">
        <v>617.79</v>
      </c>
      <c r="C2015" s="8">
        <v>670.79</v>
      </c>
      <c r="D2015" s="8">
        <v>92.1</v>
      </c>
    </row>
    <row r="2016" spans="1:4">
      <c r="A2016" s="7" t="s">
        <v>2531</v>
      </c>
      <c r="B2016" s="8">
        <v>6938.99</v>
      </c>
      <c r="C2016" s="8">
        <v>5481.99</v>
      </c>
      <c r="D2016" s="8">
        <v>126.58</v>
      </c>
    </row>
    <row r="2017" spans="1:4">
      <c r="A2017" s="7" t="s">
        <v>2536</v>
      </c>
      <c r="B2017" s="8">
        <v>6369.16</v>
      </c>
      <c r="C2017" s="8">
        <v>4629.2299999999996</v>
      </c>
      <c r="D2017" s="8">
        <v>137.59</v>
      </c>
    </row>
    <row r="2018" spans="1:4">
      <c r="A2018" s="7" t="s">
        <v>3800</v>
      </c>
      <c r="B2018" s="8">
        <v>162.29</v>
      </c>
      <c r="C2018" s="8">
        <v>162.29</v>
      </c>
      <c r="D2018" s="8">
        <v>100</v>
      </c>
    </row>
    <row r="2019" spans="1:4">
      <c r="A2019" s="7" t="s">
        <v>3801</v>
      </c>
      <c r="B2019" s="8">
        <v>106.92</v>
      </c>
      <c r="C2019" s="8">
        <v>106.92</v>
      </c>
      <c r="D2019" s="8">
        <v>100</v>
      </c>
    </row>
    <row r="2020" spans="1:4">
      <c r="A2020" s="7" t="s">
        <v>3802</v>
      </c>
      <c r="B2020" s="8">
        <v>117.28</v>
      </c>
      <c r="C2020" s="8">
        <v>131.91999999999999</v>
      </c>
      <c r="D2020" s="8">
        <v>88.9</v>
      </c>
    </row>
    <row r="2021" spans="1:4">
      <c r="A2021" s="7" t="s">
        <v>3803</v>
      </c>
      <c r="B2021" s="8">
        <v>274.06</v>
      </c>
      <c r="C2021" s="8">
        <v>263.7</v>
      </c>
      <c r="D2021" s="8">
        <v>103.93</v>
      </c>
    </row>
    <row r="2022" spans="1:4">
      <c r="A2022" s="7" t="s">
        <v>3804</v>
      </c>
      <c r="B2022" s="8">
        <v>179.7</v>
      </c>
      <c r="C2022" s="8">
        <v>179.7</v>
      </c>
      <c r="D2022" s="8">
        <v>100</v>
      </c>
    </row>
    <row r="2023" spans="1:4">
      <c r="A2023" s="7" t="s">
        <v>3805</v>
      </c>
      <c r="B2023" s="8">
        <v>98.21</v>
      </c>
      <c r="C2023" s="8">
        <v>127.5</v>
      </c>
      <c r="D2023" s="8">
        <v>77.03</v>
      </c>
    </row>
    <row r="2024" spans="1:4">
      <c r="A2024" s="7" t="s">
        <v>2529</v>
      </c>
      <c r="B2024" s="8">
        <v>97</v>
      </c>
      <c r="C2024" s="8">
        <v>97</v>
      </c>
      <c r="D2024" s="8">
        <v>100</v>
      </c>
    </row>
    <row r="2025" spans="1:4">
      <c r="A2025" s="7" t="s">
        <v>3806</v>
      </c>
      <c r="B2025" s="8">
        <v>560.39</v>
      </c>
      <c r="C2025" s="8">
        <v>581.54</v>
      </c>
      <c r="D2025" s="8">
        <v>96.36</v>
      </c>
    </row>
    <row r="2026" spans="1:4">
      <c r="A2026" s="7" t="s">
        <v>2528</v>
      </c>
      <c r="B2026" s="8">
        <v>169.07</v>
      </c>
      <c r="C2026" s="8">
        <v>172</v>
      </c>
      <c r="D2026" s="8">
        <v>98.3</v>
      </c>
    </row>
    <row r="2027" spans="1:4">
      <c r="A2027" s="7" t="s">
        <v>3807</v>
      </c>
      <c r="B2027" s="8">
        <v>239.07</v>
      </c>
      <c r="C2027" s="8">
        <v>242</v>
      </c>
      <c r="D2027" s="8">
        <v>98.79</v>
      </c>
    </row>
    <row r="2028" spans="1:4">
      <c r="A2028" s="7" t="s">
        <v>3808</v>
      </c>
      <c r="B2028" s="8">
        <v>98.21</v>
      </c>
      <c r="C2028" s="8">
        <v>127.5</v>
      </c>
      <c r="D2028" s="8">
        <v>77.03</v>
      </c>
    </row>
    <row r="2029" spans="1:4">
      <c r="A2029" s="7" t="s">
        <v>2534</v>
      </c>
      <c r="B2029" s="8">
        <v>97</v>
      </c>
      <c r="C2029" s="8">
        <v>97</v>
      </c>
      <c r="D2029" s="8">
        <v>100</v>
      </c>
    </row>
    <row r="2030" spans="1:4">
      <c r="A2030" s="7" t="s">
        <v>3809</v>
      </c>
      <c r="B2030" s="8">
        <v>560.39</v>
      </c>
      <c r="C2030" s="8">
        <v>581.54</v>
      </c>
      <c r="D2030" s="8">
        <v>96.36</v>
      </c>
    </row>
    <row r="2031" spans="1:4">
      <c r="A2031" s="7" t="s">
        <v>2533</v>
      </c>
      <c r="B2031" s="8">
        <v>169.07</v>
      </c>
      <c r="C2031" s="8">
        <v>172</v>
      </c>
      <c r="D2031" s="8">
        <v>98.3</v>
      </c>
    </row>
    <row r="2032" spans="1:4">
      <c r="A2032" s="7" t="s">
        <v>3810</v>
      </c>
      <c r="B2032" s="8">
        <v>239.07</v>
      </c>
      <c r="C2032" s="8">
        <v>242</v>
      </c>
      <c r="D2032" s="8">
        <v>98.79</v>
      </c>
    </row>
    <row r="2033" spans="1:4">
      <c r="A2033" s="7" t="s">
        <v>3811</v>
      </c>
      <c r="B2033" s="8">
        <v>7943.69</v>
      </c>
      <c r="C2033" s="8">
        <v>6706.4</v>
      </c>
      <c r="D2033" s="8">
        <v>118.45</v>
      </c>
    </row>
    <row r="2034" spans="1:4">
      <c r="A2034" s="7" t="s">
        <v>3812</v>
      </c>
      <c r="B2034" s="8">
        <v>451.46</v>
      </c>
      <c r="C2034" s="8">
        <v>476.22</v>
      </c>
      <c r="D2034" s="8">
        <v>94.8</v>
      </c>
    </row>
    <row r="2035" spans="1:4">
      <c r="A2035" s="7" t="s">
        <v>2347</v>
      </c>
      <c r="B2035" s="8">
        <v>6697.33</v>
      </c>
      <c r="C2035" s="8">
        <v>6773.7</v>
      </c>
      <c r="D2035" s="8">
        <v>98.87</v>
      </c>
    </row>
    <row r="2036" spans="1:4">
      <c r="A2036" s="7" t="s">
        <v>2346</v>
      </c>
      <c r="B2036" s="8">
        <v>617.79</v>
      </c>
      <c r="C2036" s="8">
        <v>670.79</v>
      </c>
      <c r="D2036" s="8">
        <v>92.1</v>
      </c>
    </row>
    <row r="2037" spans="1:4">
      <c r="A2037" s="7" t="s">
        <v>3813</v>
      </c>
      <c r="B2037" s="8">
        <v>4924.93</v>
      </c>
      <c r="C2037" s="8">
        <v>4886.96</v>
      </c>
      <c r="D2037" s="8">
        <v>100.78</v>
      </c>
    </row>
    <row r="2038" spans="1:4">
      <c r="A2038" s="7" t="s">
        <v>3814</v>
      </c>
      <c r="B2038" s="8">
        <v>477.78</v>
      </c>
      <c r="C2038" s="8">
        <v>536.54</v>
      </c>
      <c r="D2038" s="8">
        <v>89.05</v>
      </c>
    </row>
    <row r="2039" spans="1:4">
      <c r="A2039" s="7" t="s">
        <v>3815</v>
      </c>
      <c r="B2039" s="8">
        <v>10785.53</v>
      </c>
      <c r="C2039" s="8">
        <v>7232.43</v>
      </c>
      <c r="D2039" s="8">
        <v>149.13</v>
      </c>
    </row>
    <row r="2040" spans="1:4">
      <c r="A2040" s="7" t="s">
        <v>3816</v>
      </c>
      <c r="B2040" s="8">
        <v>642.78</v>
      </c>
      <c r="C2040" s="8">
        <v>731.11</v>
      </c>
      <c r="D2040" s="8">
        <v>87.92</v>
      </c>
    </row>
    <row r="2041" spans="1:4">
      <c r="A2041" s="7" t="s">
        <v>3817</v>
      </c>
      <c r="B2041" s="8">
        <v>3456.54</v>
      </c>
      <c r="C2041" s="8">
        <v>3706.96</v>
      </c>
      <c r="D2041" s="8">
        <v>93.24</v>
      </c>
    </row>
    <row r="2042" spans="1:4">
      <c r="A2042" s="7" t="s">
        <v>3818</v>
      </c>
      <c r="B2042" s="8">
        <v>685.81</v>
      </c>
      <c r="C2042" s="8">
        <v>776.85</v>
      </c>
      <c r="D2042" s="8">
        <v>88.28</v>
      </c>
    </row>
    <row r="2043" spans="1:4">
      <c r="A2043" s="7" t="s">
        <v>3819</v>
      </c>
      <c r="B2043" s="8">
        <v>10587.06</v>
      </c>
      <c r="C2043" s="8">
        <v>6578.43</v>
      </c>
      <c r="D2043" s="8">
        <v>160.94</v>
      </c>
    </row>
    <row r="2044" spans="1:4">
      <c r="A2044" s="7" t="s">
        <v>3820</v>
      </c>
      <c r="B2044" s="8">
        <v>631.24</v>
      </c>
      <c r="C2044" s="8">
        <v>781.42</v>
      </c>
      <c r="D2044" s="8">
        <v>80.78</v>
      </c>
    </row>
    <row r="2045" spans="1:4">
      <c r="A2045" s="7" t="s">
        <v>3821</v>
      </c>
      <c r="B2045" s="8">
        <v>4978.47</v>
      </c>
      <c r="C2045" s="8">
        <v>4568.62</v>
      </c>
      <c r="D2045" s="8">
        <v>108.97</v>
      </c>
    </row>
    <row r="2046" spans="1:4">
      <c r="A2046" s="7" t="s">
        <v>3822</v>
      </c>
      <c r="B2046" s="8">
        <v>457.11</v>
      </c>
      <c r="C2046" s="8">
        <v>476.22</v>
      </c>
      <c r="D2046" s="8">
        <v>95.99</v>
      </c>
    </row>
    <row r="2047" spans="1:4">
      <c r="A2047" s="7" t="s">
        <v>3823</v>
      </c>
      <c r="B2047" s="8">
        <v>9549.5499999999993</v>
      </c>
      <c r="C2047" s="8">
        <v>6248.65</v>
      </c>
      <c r="D2047" s="8">
        <v>152.83000000000001</v>
      </c>
    </row>
    <row r="2048" spans="1:4">
      <c r="A2048" s="7" t="s">
        <v>3824</v>
      </c>
      <c r="B2048" s="8">
        <v>651.84</v>
      </c>
      <c r="C2048" s="8">
        <v>670.79</v>
      </c>
      <c r="D2048" s="8">
        <v>97.18</v>
      </c>
    </row>
    <row r="2049" spans="1:4">
      <c r="A2049" s="7" t="s">
        <v>3825</v>
      </c>
      <c r="B2049" s="8">
        <v>8095.59</v>
      </c>
      <c r="C2049" s="8">
        <v>7866.4</v>
      </c>
      <c r="D2049" s="8">
        <v>102.91</v>
      </c>
    </row>
    <row r="2050" spans="1:4">
      <c r="A2050" s="7" t="s">
        <v>3826</v>
      </c>
      <c r="B2050" s="8">
        <v>680.96</v>
      </c>
      <c r="C2050" s="8">
        <v>776.85</v>
      </c>
      <c r="D2050" s="8">
        <v>87.66</v>
      </c>
    </row>
    <row r="2051" spans="1:4">
      <c r="A2051" s="7" t="s">
        <v>3827</v>
      </c>
      <c r="B2051" s="8">
        <v>8536.5300000000007</v>
      </c>
      <c r="C2051" s="8">
        <v>7756.4</v>
      </c>
      <c r="D2051" s="8">
        <v>110.06</v>
      </c>
    </row>
    <row r="2052" spans="1:4">
      <c r="A2052" s="7" t="s">
        <v>3828</v>
      </c>
      <c r="B2052" s="8">
        <v>630.87</v>
      </c>
      <c r="C2052" s="8">
        <v>781.42</v>
      </c>
      <c r="D2052" s="8">
        <v>80.73</v>
      </c>
    </row>
    <row r="2053" spans="1:4">
      <c r="A2053" s="7" t="s">
        <v>3829</v>
      </c>
      <c r="B2053" s="8">
        <v>10728.65</v>
      </c>
      <c r="C2053" s="8">
        <v>7706.4</v>
      </c>
      <c r="D2053" s="8">
        <v>139.22</v>
      </c>
    </row>
    <row r="2054" spans="1:4">
      <c r="A2054" s="7" t="s">
        <v>3830</v>
      </c>
      <c r="B2054" s="8">
        <v>677.94</v>
      </c>
      <c r="C2054" s="8">
        <v>776.85</v>
      </c>
      <c r="D2054" s="8">
        <v>87.27</v>
      </c>
    </row>
    <row r="2055" spans="1:4">
      <c r="A2055" s="7" t="s">
        <v>3831</v>
      </c>
      <c r="B2055" s="8">
        <v>9004.85</v>
      </c>
      <c r="C2055" s="8">
        <v>7636.4</v>
      </c>
      <c r="D2055" s="8">
        <v>117.92</v>
      </c>
    </row>
    <row r="2056" spans="1:4">
      <c r="A2056" s="7" t="s">
        <v>3832</v>
      </c>
      <c r="B2056" s="8">
        <v>632.91999999999996</v>
      </c>
      <c r="C2056" s="8">
        <v>781.42</v>
      </c>
      <c r="D2056" s="8">
        <v>81</v>
      </c>
    </row>
    <row r="2057" spans="1:4">
      <c r="A2057" s="7" t="s">
        <v>2464</v>
      </c>
      <c r="B2057" s="8">
        <v>7680.98</v>
      </c>
      <c r="C2057" s="8">
        <v>1828.59</v>
      </c>
      <c r="D2057" s="8">
        <v>420.05</v>
      </c>
    </row>
    <row r="2058" spans="1:4">
      <c r="A2058" s="7" t="s">
        <v>2463</v>
      </c>
      <c r="B2058" s="8">
        <v>428.62</v>
      </c>
      <c r="C2058" s="8">
        <v>415.91</v>
      </c>
      <c r="D2058" s="8">
        <v>103.06</v>
      </c>
    </row>
    <row r="2059" spans="1:4">
      <c r="A2059" s="7" t="s">
        <v>2343</v>
      </c>
      <c r="B2059" s="8">
        <v>9990.94</v>
      </c>
      <c r="C2059" s="8">
        <v>4608.8599999999997</v>
      </c>
      <c r="D2059" s="8">
        <v>216.78</v>
      </c>
    </row>
    <row r="2060" spans="1:4">
      <c r="A2060" s="7" t="s">
        <v>2342</v>
      </c>
      <c r="B2060" s="8">
        <v>592.80999999999995</v>
      </c>
      <c r="C2060" s="8">
        <v>610.48</v>
      </c>
      <c r="D2060" s="8">
        <v>97.11</v>
      </c>
    </row>
    <row r="2061" spans="1:4">
      <c r="A2061" s="7" t="s">
        <v>3833</v>
      </c>
      <c r="B2061" s="8">
        <v>940.08</v>
      </c>
      <c r="C2061" s="8">
        <v>1212.57</v>
      </c>
      <c r="D2061" s="8">
        <v>77.53</v>
      </c>
    </row>
    <row r="2062" spans="1:4">
      <c r="A2062" s="7" t="s">
        <v>3834</v>
      </c>
      <c r="B2062" s="8">
        <v>505.09</v>
      </c>
      <c r="C2062" s="8">
        <v>561.85</v>
      </c>
      <c r="D2062" s="8">
        <v>89.9</v>
      </c>
    </row>
    <row r="2063" spans="1:4">
      <c r="A2063" s="7" t="s">
        <v>3835</v>
      </c>
      <c r="B2063" s="8">
        <v>3397.47</v>
      </c>
      <c r="C2063" s="8">
        <v>2530.3000000000002</v>
      </c>
      <c r="D2063" s="8">
        <v>134.27000000000001</v>
      </c>
    </row>
    <row r="2064" spans="1:4">
      <c r="A2064" s="7" t="s">
        <v>3836</v>
      </c>
      <c r="B2064" s="8">
        <v>642.78</v>
      </c>
      <c r="C2064" s="8">
        <v>731.11</v>
      </c>
      <c r="D2064" s="8">
        <v>87.92</v>
      </c>
    </row>
    <row r="2065" spans="1:4">
      <c r="A2065" s="7" t="s">
        <v>3837</v>
      </c>
      <c r="B2065" s="8">
        <v>84.76</v>
      </c>
      <c r="C2065" s="8">
        <v>84.76</v>
      </c>
      <c r="D2065" s="8">
        <v>100</v>
      </c>
    </row>
    <row r="2066" spans="1:4">
      <c r="A2066" s="7" t="s">
        <v>3838</v>
      </c>
      <c r="B2066" s="8">
        <v>9676.56</v>
      </c>
      <c r="C2066" s="8">
        <v>8330.35</v>
      </c>
      <c r="D2066" s="8">
        <v>116.16</v>
      </c>
    </row>
    <row r="2067" spans="1:4">
      <c r="A2067" s="7" t="s">
        <v>3839</v>
      </c>
      <c r="B2067" s="8">
        <v>681.46</v>
      </c>
      <c r="C2067" s="8">
        <v>776.85</v>
      </c>
      <c r="D2067" s="8">
        <v>87.72</v>
      </c>
    </row>
    <row r="2068" spans="1:4">
      <c r="A2068" s="7" t="s">
        <v>3840</v>
      </c>
      <c r="B2068" s="8">
        <v>9397.41</v>
      </c>
      <c r="C2068" s="8">
        <v>9405.15</v>
      </c>
      <c r="D2068" s="8">
        <v>99.92</v>
      </c>
    </row>
    <row r="2069" spans="1:4">
      <c r="A2069" s="7" t="s">
        <v>3841</v>
      </c>
      <c r="B2069" s="8">
        <v>637.1</v>
      </c>
      <c r="C2069" s="8">
        <v>781.42</v>
      </c>
      <c r="D2069" s="8">
        <v>81.53</v>
      </c>
    </row>
    <row r="2070" spans="1:4">
      <c r="A2070" s="7" t="s">
        <v>3842</v>
      </c>
      <c r="B2070" s="8">
        <v>17572.919999999998</v>
      </c>
      <c r="C2070" s="8">
        <v>5467.43</v>
      </c>
      <c r="D2070" s="8">
        <v>321.41000000000003</v>
      </c>
    </row>
    <row r="2071" spans="1:4">
      <c r="A2071" s="7" t="s">
        <v>3843</v>
      </c>
      <c r="B2071" s="8">
        <v>421.38</v>
      </c>
      <c r="C2071" s="8">
        <v>415.91</v>
      </c>
      <c r="D2071" s="8">
        <v>101.32</v>
      </c>
    </row>
    <row r="2072" spans="1:4">
      <c r="A2072" s="7" t="s">
        <v>3844</v>
      </c>
      <c r="B2072" s="8">
        <v>11113.11</v>
      </c>
      <c r="C2072" s="8">
        <v>6362.63</v>
      </c>
      <c r="D2072" s="8">
        <v>174.66</v>
      </c>
    </row>
    <row r="2073" spans="1:4">
      <c r="A2073" s="7" t="s">
        <v>3845</v>
      </c>
      <c r="B2073" s="8">
        <v>592.80999999999995</v>
      </c>
      <c r="C2073" s="8">
        <v>610.48</v>
      </c>
      <c r="D2073" s="8">
        <v>97.11</v>
      </c>
    </row>
    <row r="2074" spans="1:4">
      <c r="A2074" s="7" t="s">
        <v>3846</v>
      </c>
      <c r="B2074" s="8">
        <v>5728.09</v>
      </c>
      <c r="C2074" s="8">
        <v>4672.63</v>
      </c>
      <c r="D2074" s="8">
        <v>122.59</v>
      </c>
    </row>
    <row r="2075" spans="1:4">
      <c r="A2075" s="7" t="s">
        <v>3847</v>
      </c>
      <c r="B2075" s="8">
        <v>676.22</v>
      </c>
      <c r="C2075" s="8">
        <v>776.85</v>
      </c>
      <c r="D2075" s="8">
        <v>87.05</v>
      </c>
    </row>
    <row r="2076" spans="1:4">
      <c r="A2076" s="7" t="s">
        <v>2634</v>
      </c>
      <c r="B2076" s="8">
        <v>10681.36</v>
      </c>
      <c r="C2076" s="8">
        <v>7290.69</v>
      </c>
      <c r="D2076" s="8">
        <v>146.51</v>
      </c>
    </row>
    <row r="2077" spans="1:4">
      <c r="A2077" s="7" t="s">
        <v>2633</v>
      </c>
      <c r="B2077" s="8">
        <v>637.22</v>
      </c>
      <c r="C2077" s="8">
        <v>781.42</v>
      </c>
      <c r="D2077" s="8">
        <v>81.55</v>
      </c>
    </row>
    <row r="2078" spans="1:4">
      <c r="A2078" s="7" t="s">
        <v>3848</v>
      </c>
      <c r="B2078" s="8">
        <v>7206.55</v>
      </c>
      <c r="C2078" s="8">
        <v>6792.63</v>
      </c>
      <c r="D2078" s="8">
        <v>106.09</v>
      </c>
    </row>
    <row r="2079" spans="1:4">
      <c r="A2079" s="7" t="s">
        <v>3849</v>
      </c>
      <c r="B2079" s="8">
        <v>419.7</v>
      </c>
      <c r="C2079" s="8">
        <v>415.91</v>
      </c>
      <c r="D2079" s="8">
        <v>100.91</v>
      </c>
    </row>
    <row r="2080" spans="1:4">
      <c r="A2080" s="7" t="s">
        <v>2636</v>
      </c>
      <c r="B2080" s="8">
        <v>14284.73</v>
      </c>
      <c r="C2080" s="8">
        <v>6755.71</v>
      </c>
      <c r="D2080" s="8">
        <v>211.45</v>
      </c>
    </row>
    <row r="2081" spans="1:4">
      <c r="A2081" s="7" t="s">
        <v>2635</v>
      </c>
      <c r="B2081" s="8">
        <v>592.80999999999995</v>
      </c>
      <c r="C2081" s="8">
        <v>610.48</v>
      </c>
      <c r="D2081" s="8">
        <v>97.11</v>
      </c>
    </row>
    <row r="2082" spans="1:4">
      <c r="A2082" s="7" t="s">
        <v>2468</v>
      </c>
      <c r="B2082" s="8">
        <v>7422.71</v>
      </c>
      <c r="C2082" s="8">
        <v>2948.06</v>
      </c>
      <c r="D2082" s="8">
        <v>251.78</v>
      </c>
    </row>
    <row r="2083" spans="1:4">
      <c r="A2083" s="7" t="s">
        <v>2467</v>
      </c>
      <c r="B2083" s="8">
        <v>686.82</v>
      </c>
      <c r="C2083" s="8">
        <v>776.85</v>
      </c>
      <c r="D2083" s="8">
        <v>88.41</v>
      </c>
    </row>
    <row r="2084" spans="1:4">
      <c r="A2084" s="7" t="s">
        <v>2353</v>
      </c>
      <c r="B2084" s="8">
        <v>4921.16</v>
      </c>
      <c r="C2084" s="8">
        <v>3326.72</v>
      </c>
      <c r="D2084" s="8">
        <v>147.93</v>
      </c>
    </row>
    <row r="2085" spans="1:4">
      <c r="A2085" s="7" t="s">
        <v>2352</v>
      </c>
      <c r="B2085" s="8">
        <v>642.72</v>
      </c>
      <c r="C2085" s="8">
        <v>781.42</v>
      </c>
      <c r="D2085" s="8">
        <v>82.25</v>
      </c>
    </row>
    <row r="2086" spans="1:4">
      <c r="A2086" s="7" t="s">
        <v>3850</v>
      </c>
      <c r="B2086" s="8">
        <v>7477.58</v>
      </c>
      <c r="C2086" s="8">
        <v>7310.35</v>
      </c>
      <c r="D2086" s="8">
        <v>102.29</v>
      </c>
    </row>
    <row r="2087" spans="1:4">
      <c r="A2087" s="7" t="s">
        <v>3851</v>
      </c>
      <c r="B2087" s="8">
        <v>453.76</v>
      </c>
      <c r="C2087" s="8">
        <v>476.22</v>
      </c>
      <c r="D2087" s="8">
        <v>95.28</v>
      </c>
    </row>
    <row r="2088" spans="1:4">
      <c r="A2088" s="7" t="s">
        <v>3852</v>
      </c>
      <c r="B2088" s="8">
        <v>8769.8799999999992</v>
      </c>
      <c r="C2088" s="8">
        <v>8255.15</v>
      </c>
      <c r="D2088" s="8">
        <v>106.24</v>
      </c>
    </row>
    <row r="2089" spans="1:4">
      <c r="A2089" s="7" t="s">
        <v>3853</v>
      </c>
      <c r="B2089" s="8">
        <v>617.79</v>
      </c>
      <c r="C2089" s="8">
        <v>670.79</v>
      </c>
      <c r="D2089" s="8">
        <v>92.1</v>
      </c>
    </row>
    <row r="2090" spans="1:4">
      <c r="A2090" s="7" t="s">
        <v>3854</v>
      </c>
      <c r="B2090" s="8">
        <v>171.76</v>
      </c>
      <c r="C2090" s="8">
        <v>12318.35</v>
      </c>
      <c r="D2090" s="8">
        <v>1.39</v>
      </c>
    </row>
    <row r="2091" spans="1:4">
      <c r="A2091" s="7" t="s">
        <v>3855</v>
      </c>
      <c r="B2091" s="8">
        <v>32717.98</v>
      </c>
      <c r="C2091" s="8">
        <v>30995.08</v>
      </c>
      <c r="D2091" s="8">
        <v>105.56</v>
      </c>
    </row>
    <row r="2092" spans="1:4">
      <c r="A2092" s="7" t="s">
        <v>3856</v>
      </c>
      <c r="B2092" s="8">
        <v>144.43</v>
      </c>
      <c r="C2092" s="8">
        <v>12319.83</v>
      </c>
      <c r="D2092" s="8">
        <v>1.17</v>
      </c>
    </row>
    <row r="2093" spans="1:4">
      <c r="A2093" s="7" t="s">
        <v>3857</v>
      </c>
      <c r="B2093" s="8">
        <v>4486.2</v>
      </c>
      <c r="C2093" s="8">
        <v>3100</v>
      </c>
      <c r="D2093" s="8">
        <v>144.72</v>
      </c>
    </row>
    <row r="2094" spans="1:4">
      <c r="A2094" s="7" t="s">
        <v>3858</v>
      </c>
      <c r="B2094" s="8">
        <v>6969.24</v>
      </c>
      <c r="C2094" s="8">
        <v>6359.48</v>
      </c>
      <c r="D2094" s="8">
        <v>109.59</v>
      </c>
    </row>
    <row r="2095" spans="1:4">
      <c r="A2095" s="7" t="s">
        <v>3859</v>
      </c>
      <c r="B2095" s="8">
        <v>185.43</v>
      </c>
      <c r="C2095" s="8">
        <v>185.43</v>
      </c>
      <c r="D2095" s="8">
        <v>100</v>
      </c>
    </row>
    <row r="2096" spans="1:4">
      <c r="A2096" s="7" t="s">
        <v>3860</v>
      </c>
      <c r="B2096" s="8">
        <v>185.43</v>
      </c>
      <c r="C2096" s="8">
        <v>185.43</v>
      </c>
      <c r="D2096" s="8">
        <v>100</v>
      </c>
    </row>
    <row r="2097" spans="1:4">
      <c r="A2097" s="7" t="s">
        <v>3861</v>
      </c>
      <c r="B2097" s="8">
        <v>185.43</v>
      </c>
      <c r="C2097" s="8">
        <v>185.43</v>
      </c>
      <c r="D2097" s="8">
        <v>100</v>
      </c>
    </row>
    <row r="2098" spans="1:4">
      <c r="A2098" s="7" t="s">
        <v>3862</v>
      </c>
      <c r="B2098" s="8">
        <v>100.18</v>
      </c>
      <c r="C2098" s="8">
        <v>100.18</v>
      </c>
      <c r="D2098" s="8">
        <v>100</v>
      </c>
    </row>
    <row r="2099" spans="1:4">
      <c r="A2099" s="7" t="s">
        <v>3863</v>
      </c>
      <c r="B2099" s="8">
        <v>185.43</v>
      </c>
      <c r="C2099" s="8">
        <v>185.43</v>
      </c>
      <c r="D2099" s="8">
        <v>100</v>
      </c>
    </row>
    <row r="2100" spans="1:4">
      <c r="A2100" s="7" t="s">
        <v>3864</v>
      </c>
      <c r="B2100" s="8">
        <v>185.43</v>
      </c>
      <c r="C2100" s="8">
        <v>185.43</v>
      </c>
      <c r="D2100" s="8">
        <v>100</v>
      </c>
    </row>
    <row r="2101" spans="1:4">
      <c r="A2101" s="7" t="s">
        <v>3865</v>
      </c>
      <c r="B2101" s="8">
        <v>185.43</v>
      </c>
      <c r="C2101" s="8">
        <v>185.43</v>
      </c>
      <c r="D2101" s="8">
        <v>100</v>
      </c>
    </row>
    <row r="2102" spans="1:4">
      <c r="A2102" s="7" t="s">
        <v>3866</v>
      </c>
      <c r="B2102" s="8">
        <v>185.43</v>
      </c>
      <c r="C2102" s="8">
        <v>185.43</v>
      </c>
      <c r="D2102" s="8">
        <v>100</v>
      </c>
    </row>
    <row r="2103" spans="1:4">
      <c r="A2103" s="7" t="s">
        <v>3867</v>
      </c>
      <c r="B2103" s="8">
        <v>185.43</v>
      </c>
      <c r="C2103" s="8">
        <v>185.43</v>
      </c>
      <c r="D2103" s="8">
        <v>100</v>
      </c>
    </row>
    <row r="2104" spans="1:4">
      <c r="A2104" s="7" t="s">
        <v>3868</v>
      </c>
      <c r="B2104" s="8">
        <v>185.43</v>
      </c>
      <c r="C2104" s="8">
        <v>185.43</v>
      </c>
      <c r="D2104" s="8">
        <v>100</v>
      </c>
    </row>
    <row r="2105" spans="1:4">
      <c r="A2105" s="7" t="s">
        <v>3869</v>
      </c>
      <c r="B2105" s="8">
        <v>185.43</v>
      </c>
      <c r="C2105" s="8">
        <v>185.43</v>
      </c>
      <c r="D2105" s="8">
        <v>100</v>
      </c>
    </row>
    <row r="2106" spans="1:4">
      <c r="A2106" s="7" t="s">
        <v>3870</v>
      </c>
      <c r="B2106" s="8">
        <v>185.43</v>
      </c>
      <c r="C2106" s="8">
        <v>185.43</v>
      </c>
      <c r="D2106" s="8">
        <v>100</v>
      </c>
    </row>
    <row r="2107" spans="1:4">
      <c r="A2107" s="7" t="s">
        <v>3871</v>
      </c>
      <c r="B2107" s="8">
        <v>185.43</v>
      </c>
      <c r="C2107" s="8">
        <v>185.43</v>
      </c>
      <c r="D2107" s="8">
        <v>100</v>
      </c>
    </row>
    <row r="2108" spans="1:4">
      <c r="A2108" s="7" t="s">
        <v>3872</v>
      </c>
      <c r="B2108" s="8">
        <v>100</v>
      </c>
      <c r="C2108" s="8">
        <v>100</v>
      </c>
      <c r="D2108" s="8">
        <v>100</v>
      </c>
    </row>
    <row r="2109" spans="1:4">
      <c r="A2109" s="7" t="s">
        <v>3873</v>
      </c>
      <c r="B2109" s="8">
        <v>185.43</v>
      </c>
      <c r="C2109" s="8">
        <v>185.43</v>
      </c>
      <c r="D2109" s="8">
        <v>100</v>
      </c>
    </row>
    <row r="2110" spans="1:4">
      <c r="A2110" s="7" t="s">
        <v>3874</v>
      </c>
      <c r="B2110" s="8">
        <v>185.43</v>
      </c>
      <c r="C2110" s="8">
        <v>185.43</v>
      </c>
      <c r="D2110" s="8">
        <v>100</v>
      </c>
    </row>
    <row r="2111" spans="1:4">
      <c r="A2111" s="7" t="s">
        <v>3875</v>
      </c>
      <c r="B2111" s="8">
        <v>604.27</v>
      </c>
      <c r="C2111" s="8">
        <v>701.54</v>
      </c>
      <c r="D2111" s="8">
        <v>86.13</v>
      </c>
    </row>
    <row r="2112" spans="1:4">
      <c r="A2112" s="7" t="s">
        <v>1157</v>
      </c>
      <c r="B2112" s="8">
        <v>100</v>
      </c>
      <c r="C2112" s="8">
        <v>100</v>
      </c>
      <c r="D2112" s="8">
        <v>100</v>
      </c>
    </row>
    <row r="2113" spans="1:4">
      <c r="A2113" s="7" t="s">
        <v>3876</v>
      </c>
      <c r="B2113" s="8">
        <v>100</v>
      </c>
      <c r="C2113" s="8">
        <v>100</v>
      </c>
      <c r="D2113" s="8">
        <v>100</v>
      </c>
    </row>
    <row r="2114" spans="1:4">
      <c r="A2114" s="7" t="s">
        <v>3877</v>
      </c>
      <c r="B2114" s="8">
        <v>1699.42</v>
      </c>
      <c r="C2114" s="8">
        <v>1722.43</v>
      </c>
      <c r="D2114" s="8">
        <v>98.66</v>
      </c>
    </row>
    <row r="2115" spans="1:4">
      <c r="A2115" s="7" t="s">
        <v>1017</v>
      </c>
      <c r="B2115" s="8">
        <v>100</v>
      </c>
      <c r="C2115" s="8">
        <v>100</v>
      </c>
      <c r="D2115" s="8">
        <v>100</v>
      </c>
    </row>
    <row r="2116" spans="1:4">
      <c r="A2116" s="7" t="s">
        <v>3878</v>
      </c>
      <c r="B2116" s="8">
        <v>907.54</v>
      </c>
      <c r="C2116" s="8">
        <v>1122.43</v>
      </c>
      <c r="D2116" s="8">
        <v>80.849999999999994</v>
      </c>
    </row>
    <row r="2117" spans="1:4">
      <c r="A2117" s="7" t="s">
        <v>2540</v>
      </c>
      <c r="B2117" s="8">
        <v>972.3</v>
      </c>
      <c r="C2117" s="8">
        <v>1226.8399999999999</v>
      </c>
      <c r="D2117" s="8">
        <v>79.25</v>
      </c>
    </row>
    <row r="2118" spans="1:4">
      <c r="A2118" s="7" t="s">
        <v>2537</v>
      </c>
      <c r="B2118" s="8">
        <v>806.02</v>
      </c>
      <c r="C2118" s="8">
        <v>1088.18</v>
      </c>
      <c r="D2118" s="8">
        <v>74.069999999999993</v>
      </c>
    </row>
    <row r="2119" spans="1:4">
      <c r="A2119" s="7" t="s">
        <v>2545</v>
      </c>
      <c r="B2119" s="8">
        <v>830.81</v>
      </c>
      <c r="C2119" s="8">
        <v>955.24</v>
      </c>
      <c r="D2119" s="8">
        <v>86.97</v>
      </c>
    </row>
    <row r="2120" spans="1:4">
      <c r="A2120" s="7" t="s">
        <v>2542</v>
      </c>
      <c r="B2120" s="8">
        <v>620.39</v>
      </c>
      <c r="C2120" s="8">
        <v>816.58</v>
      </c>
      <c r="D2120" s="8">
        <v>75.97</v>
      </c>
    </row>
    <row r="2121" spans="1:4">
      <c r="A2121" s="7" t="s">
        <v>3879</v>
      </c>
      <c r="B2121" s="8">
        <v>5855.76</v>
      </c>
      <c r="C2121" s="8">
        <v>3808.68</v>
      </c>
      <c r="D2121" s="8">
        <v>153.75</v>
      </c>
    </row>
    <row r="2122" spans="1:4">
      <c r="A2122" s="7" t="s">
        <v>3880</v>
      </c>
      <c r="B2122" s="8">
        <v>5632.96</v>
      </c>
      <c r="C2122" s="8">
        <v>3647.02</v>
      </c>
      <c r="D2122" s="8">
        <v>154.44999999999999</v>
      </c>
    </row>
    <row r="2123" spans="1:4">
      <c r="A2123" s="7" t="s">
        <v>3881</v>
      </c>
      <c r="B2123" s="8">
        <v>4886.82</v>
      </c>
      <c r="C2123" s="8">
        <v>4105.68</v>
      </c>
      <c r="D2123" s="8">
        <v>119.03</v>
      </c>
    </row>
    <row r="2124" spans="1:4">
      <c r="A2124" s="7" t="s">
        <v>3882</v>
      </c>
      <c r="B2124" s="8">
        <v>4723.99</v>
      </c>
      <c r="C2124" s="8">
        <v>3997.02</v>
      </c>
      <c r="D2124" s="8">
        <v>118.19</v>
      </c>
    </row>
    <row r="2125" spans="1:4">
      <c r="A2125" s="7" t="s">
        <v>3883</v>
      </c>
      <c r="B2125" s="8">
        <v>2980.54</v>
      </c>
      <c r="C2125" s="8">
        <v>3455.68</v>
      </c>
      <c r="D2125" s="8">
        <v>86.25</v>
      </c>
    </row>
    <row r="2126" spans="1:4">
      <c r="A2126" s="7" t="s">
        <v>3884</v>
      </c>
      <c r="B2126" s="8">
        <v>2800.7</v>
      </c>
      <c r="C2126" s="8">
        <v>3347.02</v>
      </c>
      <c r="D2126" s="8">
        <v>83.68</v>
      </c>
    </row>
    <row r="2127" spans="1:4">
      <c r="A2127" s="7" t="s">
        <v>1218</v>
      </c>
      <c r="B2127" s="8">
        <v>4120.9799999999996</v>
      </c>
      <c r="C2127" s="8">
        <v>4205.5600000000004</v>
      </c>
      <c r="D2127" s="8">
        <v>97.99</v>
      </c>
    </row>
    <row r="2128" spans="1:4">
      <c r="A2128" s="7" t="s">
        <v>3885</v>
      </c>
      <c r="B2128" s="8">
        <v>3956.42</v>
      </c>
      <c r="C2128" s="8">
        <v>4096.8999999999996</v>
      </c>
      <c r="D2128" s="8">
        <v>96.57</v>
      </c>
    </row>
    <row r="2129" spans="1:4">
      <c r="A2129" s="7" t="s">
        <v>3886</v>
      </c>
      <c r="B2129" s="8">
        <v>185.43</v>
      </c>
      <c r="C2129" s="8">
        <v>185.43</v>
      </c>
      <c r="D2129" s="8">
        <v>100</v>
      </c>
    </row>
    <row r="2130" spans="1:4">
      <c r="A2130" s="7" t="s">
        <v>3887</v>
      </c>
      <c r="B2130" s="8">
        <v>185.43</v>
      </c>
      <c r="C2130" s="8">
        <v>185.43</v>
      </c>
      <c r="D2130" s="8">
        <v>100</v>
      </c>
    </row>
    <row r="2131" spans="1:4">
      <c r="A2131" s="7" t="s">
        <v>3888</v>
      </c>
      <c r="B2131" s="8">
        <v>2458.04</v>
      </c>
      <c r="C2131" s="8">
        <v>2755.59</v>
      </c>
      <c r="D2131" s="8">
        <v>89.2</v>
      </c>
    </row>
    <row r="2132" spans="1:4">
      <c r="A2132" s="7" t="s">
        <v>3889</v>
      </c>
      <c r="B2132" s="8">
        <v>2284.39</v>
      </c>
      <c r="C2132" s="8">
        <v>2646.93</v>
      </c>
      <c r="D2132" s="8">
        <v>86.3</v>
      </c>
    </row>
    <row r="2133" spans="1:4">
      <c r="A2133" s="7" t="s">
        <v>1226</v>
      </c>
      <c r="B2133" s="8">
        <v>139.75</v>
      </c>
      <c r="C2133" s="8">
        <v>139.75</v>
      </c>
      <c r="D2133" s="8">
        <v>100</v>
      </c>
    </row>
    <row r="2134" spans="1:4">
      <c r="A2134" s="7" t="s">
        <v>1227</v>
      </c>
      <c r="B2134" s="8">
        <v>90</v>
      </c>
      <c r="C2134" s="8">
        <v>90</v>
      </c>
      <c r="D2134" s="8">
        <v>100</v>
      </c>
    </row>
    <row r="2135" spans="1:4">
      <c r="A2135" s="7" t="s">
        <v>3890</v>
      </c>
      <c r="B2135" s="8">
        <v>90</v>
      </c>
      <c r="C2135" s="8">
        <v>90</v>
      </c>
      <c r="D2135" s="8">
        <v>100</v>
      </c>
    </row>
    <row r="2136" spans="1:4">
      <c r="A2136" s="7" t="s">
        <v>3891</v>
      </c>
      <c r="B2136" s="8">
        <v>90</v>
      </c>
      <c r="C2136" s="8">
        <v>90</v>
      </c>
      <c r="D2136" s="8">
        <v>100</v>
      </c>
    </row>
    <row r="2137" spans="1:4">
      <c r="A2137" s="7" t="s">
        <v>3892</v>
      </c>
      <c r="B2137" s="8">
        <v>90</v>
      </c>
      <c r="C2137" s="8">
        <v>90</v>
      </c>
      <c r="D2137" s="8">
        <v>100</v>
      </c>
    </row>
    <row r="2138" spans="1:4">
      <c r="A2138" s="7" t="s">
        <v>1229</v>
      </c>
      <c r="B2138" s="8">
        <v>90</v>
      </c>
      <c r="C2138" s="8">
        <v>90</v>
      </c>
      <c r="D2138" s="8">
        <v>100</v>
      </c>
    </row>
    <row r="2139" spans="1:4">
      <c r="A2139" s="7" t="s">
        <v>3893</v>
      </c>
      <c r="B2139" s="8">
        <v>90</v>
      </c>
      <c r="C2139" s="8">
        <v>90</v>
      </c>
      <c r="D2139" s="8">
        <v>100</v>
      </c>
    </row>
    <row r="2140" spans="1:4">
      <c r="A2140" s="7" t="s">
        <v>3894</v>
      </c>
      <c r="B2140" s="8">
        <v>90</v>
      </c>
      <c r="C2140" s="8">
        <v>90</v>
      </c>
      <c r="D2140" s="8">
        <v>100</v>
      </c>
    </row>
    <row r="2141" spans="1:4">
      <c r="A2141" s="7" t="s">
        <v>3895</v>
      </c>
      <c r="B2141" s="8">
        <v>90</v>
      </c>
      <c r="C2141" s="8">
        <v>90</v>
      </c>
      <c r="D2141" s="8">
        <v>100</v>
      </c>
    </row>
    <row r="2142" spans="1:4">
      <c r="A2142" s="7" t="s">
        <v>3896</v>
      </c>
      <c r="B2142" s="8">
        <v>90</v>
      </c>
      <c r="C2142" s="8">
        <v>90</v>
      </c>
      <c r="D2142" s="8">
        <v>100</v>
      </c>
    </row>
    <row r="2143" spans="1:4">
      <c r="A2143" s="7" t="s">
        <v>3897</v>
      </c>
      <c r="B2143" s="8">
        <v>90</v>
      </c>
      <c r="C2143" s="8">
        <v>90</v>
      </c>
      <c r="D2143" s="8">
        <v>100</v>
      </c>
    </row>
    <row r="2144" spans="1:4">
      <c r="A2144" s="7" t="s">
        <v>3898</v>
      </c>
      <c r="B2144" s="8">
        <v>90</v>
      </c>
      <c r="C2144" s="8">
        <v>90</v>
      </c>
      <c r="D2144" s="8">
        <v>100</v>
      </c>
    </row>
    <row r="2145" spans="1:4">
      <c r="A2145" s="7" t="s">
        <v>3899</v>
      </c>
      <c r="B2145" s="8">
        <v>90</v>
      </c>
      <c r="C2145" s="8">
        <v>90</v>
      </c>
      <c r="D2145" s="8">
        <v>100</v>
      </c>
    </row>
    <row r="2146" spans="1:4">
      <c r="A2146" s="7" t="s">
        <v>1232</v>
      </c>
      <c r="B2146" s="8">
        <v>90</v>
      </c>
      <c r="C2146" s="8">
        <v>90</v>
      </c>
      <c r="D2146" s="8">
        <v>100</v>
      </c>
    </row>
    <row r="2147" spans="1:4">
      <c r="A2147" s="7" t="s">
        <v>1233</v>
      </c>
      <c r="B2147" s="8">
        <v>90</v>
      </c>
      <c r="C2147" s="8">
        <v>90</v>
      </c>
      <c r="D2147" s="8">
        <v>100</v>
      </c>
    </row>
    <row r="2148" spans="1:4">
      <c r="A2148" s="7" t="s">
        <v>3900</v>
      </c>
      <c r="B2148" s="8">
        <v>90</v>
      </c>
      <c r="C2148" s="8">
        <v>90</v>
      </c>
      <c r="D2148" s="8">
        <v>100</v>
      </c>
    </row>
    <row r="2149" spans="1:4">
      <c r="A2149" s="7" t="s">
        <v>3901</v>
      </c>
      <c r="B2149" s="8">
        <v>90</v>
      </c>
      <c r="C2149" s="8">
        <v>90</v>
      </c>
      <c r="D2149" s="8">
        <v>100</v>
      </c>
    </row>
    <row r="2150" spans="1:4">
      <c r="A2150" s="7" t="s">
        <v>1234</v>
      </c>
      <c r="B2150" s="8">
        <v>90</v>
      </c>
      <c r="C2150" s="8">
        <v>90</v>
      </c>
      <c r="D2150" s="8">
        <v>100</v>
      </c>
    </row>
    <row r="2151" spans="1:4">
      <c r="A2151" s="7" t="s">
        <v>3902</v>
      </c>
      <c r="B2151" s="8">
        <v>90</v>
      </c>
      <c r="C2151" s="8">
        <v>90</v>
      </c>
      <c r="D2151" s="8">
        <v>100</v>
      </c>
    </row>
    <row r="2152" spans="1:4">
      <c r="A2152" s="7" t="s">
        <v>3903</v>
      </c>
      <c r="B2152" s="8">
        <v>90</v>
      </c>
      <c r="C2152" s="8">
        <v>90</v>
      </c>
      <c r="D2152" s="8">
        <v>100</v>
      </c>
    </row>
    <row r="2153" spans="1:4">
      <c r="A2153" s="7" t="s">
        <v>3904</v>
      </c>
      <c r="B2153" s="8">
        <v>90</v>
      </c>
      <c r="C2153" s="8">
        <v>90</v>
      </c>
      <c r="D2153" s="8">
        <v>100</v>
      </c>
    </row>
    <row r="2154" spans="1:4">
      <c r="A2154" s="7" t="s">
        <v>1025</v>
      </c>
      <c r="B2154" s="8">
        <v>100</v>
      </c>
      <c r="C2154" s="8">
        <v>100</v>
      </c>
      <c r="D2154" s="8">
        <v>100</v>
      </c>
    </row>
    <row r="2155" spans="1:4">
      <c r="A2155" s="7" t="s">
        <v>3905</v>
      </c>
      <c r="B2155" s="8">
        <v>5382.06</v>
      </c>
      <c r="C2155" s="8">
        <v>5839.8</v>
      </c>
      <c r="D2155" s="8">
        <v>92.16</v>
      </c>
    </row>
    <row r="2156" spans="1:4">
      <c r="A2156" s="7" t="s">
        <v>3906</v>
      </c>
      <c r="B2156" s="8">
        <v>685.25</v>
      </c>
      <c r="C2156" s="8">
        <v>776.85</v>
      </c>
      <c r="D2156" s="8">
        <v>88.21</v>
      </c>
    </row>
    <row r="2157" spans="1:4">
      <c r="A2157" s="7" t="s">
        <v>2638</v>
      </c>
      <c r="B2157" s="8">
        <v>14954</v>
      </c>
      <c r="C2157" s="8">
        <v>9266.57</v>
      </c>
      <c r="D2157" s="8">
        <v>161.38</v>
      </c>
    </row>
    <row r="2158" spans="1:4">
      <c r="A2158" s="7" t="s">
        <v>2637</v>
      </c>
      <c r="B2158" s="8">
        <v>631.70000000000005</v>
      </c>
      <c r="C2158" s="8">
        <v>781.42</v>
      </c>
      <c r="D2158" s="8">
        <v>80.84</v>
      </c>
    </row>
    <row r="2159" spans="1:4">
      <c r="A2159" s="7" t="s">
        <v>3907</v>
      </c>
      <c r="B2159" s="8">
        <v>9855.0400000000009</v>
      </c>
      <c r="C2159" s="8">
        <v>8287.2000000000007</v>
      </c>
      <c r="D2159" s="8">
        <v>118.92</v>
      </c>
    </row>
    <row r="2160" spans="1:4">
      <c r="A2160" s="7" t="s">
        <v>3908</v>
      </c>
      <c r="B2160" s="8">
        <v>423.74</v>
      </c>
      <c r="C2160" s="8">
        <v>415.91</v>
      </c>
      <c r="D2160" s="8">
        <v>101.88</v>
      </c>
    </row>
    <row r="2161" spans="1:4">
      <c r="A2161" s="7" t="s">
        <v>2630</v>
      </c>
      <c r="B2161" s="8">
        <v>17313.099999999999</v>
      </c>
      <c r="C2161" s="8">
        <v>9355.1200000000008</v>
      </c>
      <c r="D2161" s="8">
        <v>185.07</v>
      </c>
    </row>
    <row r="2162" spans="1:4">
      <c r="A2162" s="7" t="s">
        <v>2629</v>
      </c>
      <c r="B2162" s="8">
        <v>592.80999999999995</v>
      </c>
      <c r="C2162" s="8">
        <v>610.48</v>
      </c>
      <c r="D2162" s="8">
        <v>97.11</v>
      </c>
    </row>
    <row r="2163" spans="1:4">
      <c r="A2163" s="7" t="s">
        <v>3909</v>
      </c>
      <c r="B2163" s="8">
        <v>10515.39</v>
      </c>
      <c r="C2163" s="8">
        <v>5312.63</v>
      </c>
      <c r="D2163" s="8">
        <v>197.93</v>
      </c>
    </row>
    <row r="2164" spans="1:4">
      <c r="A2164" s="7" t="s">
        <v>3910</v>
      </c>
      <c r="B2164" s="8">
        <v>445.89</v>
      </c>
      <c r="C2164" s="8">
        <v>476.22</v>
      </c>
      <c r="D2164" s="8">
        <v>93.63</v>
      </c>
    </row>
    <row r="2165" spans="1:4">
      <c r="A2165" s="7" t="s">
        <v>2632</v>
      </c>
      <c r="B2165" s="8">
        <v>14229.49</v>
      </c>
      <c r="C2165" s="8">
        <v>9375.15</v>
      </c>
      <c r="D2165" s="8">
        <v>151.78</v>
      </c>
    </row>
    <row r="2166" spans="1:4">
      <c r="A2166" s="7" t="s">
        <v>2631</v>
      </c>
      <c r="B2166" s="8">
        <v>617.79</v>
      </c>
      <c r="C2166" s="8">
        <v>670.79</v>
      </c>
      <c r="D2166" s="8">
        <v>92.1</v>
      </c>
    </row>
    <row r="2167" spans="1:4">
      <c r="A2167" s="7" t="s">
        <v>3911</v>
      </c>
      <c r="B2167" s="8">
        <v>10001.35</v>
      </c>
      <c r="C2167" s="8">
        <v>4810.91</v>
      </c>
      <c r="D2167" s="8">
        <v>207.89</v>
      </c>
    </row>
    <row r="2168" spans="1:4">
      <c r="A2168" s="7" t="s">
        <v>3912</v>
      </c>
      <c r="B2168" s="8">
        <v>454.54</v>
      </c>
      <c r="C2168" s="8">
        <v>476.22</v>
      </c>
      <c r="D2168" s="8">
        <v>95.45</v>
      </c>
    </row>
    <row r="2169" spans="1:4">
      <c r="A2169" s="7" t="s">
        <v>3913</v>
      </c>
      <c r="B2169" s="8">
        <v>17539.810000000001</v>
      </c>
      <c r="C2169" s="8">
        <v>5943.74</v>
      </c>
      <c r="D2169" s="8">
        <v>295.10000000000002</v>
      </c>
    </row>
    <row r="2170" spans="1:4">
      <c r="A2170" s="7" t="s">
        <v>3914</v>
      </c>
      <c r="B2170" s="8">
        <v>617.79</v>
      </c>
      <c r="C2170" s="8">
        <v>670.79</v>
      </c>
      <c r="D2170" s="8">
        <v>92.1</v>
      </c>
    </row>
    <row r="2171" spans="1:4">
      <c r="A2171" s="7" t="s">
        <v>3915</v>
      </c>
      <c r="B2171" s="8">
        <v>454.3</v>
      </c>
      <c r="C2171" s="8">
        <v>476.22</v>
      </c>
      <c r="D2171" s="8">
        <v>95.4</v>
      </c>
    </row>
    <row r="2172" spans="1:4">
      <c r="A2172" s="7" t="s">
        <v>3916</v>
      </c>
      <c r="B2172" s="8">
        <v>2169.59</v>
      </c>
      <c r="C2172" s="8">
        <v>2527.2199999999998</v>
      </c>
      <c r="D2172" s="8">
        <v>85.85</v>
      </c>
    </row>
    <row r="2173" spans="1:4">
      <c r="A2173" s="7" t="s">
        <v>3917</v>
      </c>
      <c r="B2173" s="8">
        <v>617.79</v>
      </c>
      <c r="C2173" s="8">
        <v>670.79</v>
      </c>
      <c r="D2173" s="8">
        <v>92.1</v>
      </c>
    </row>
    <row r="2174" spans="1:4">
      <c r="A2174" s="7" t="s">
        <v>3918</v>
      </c>
      <c r="B2174" s="8">
        <v>468.51</v>
      </c>
      <c r="C2174" s="8">
        <v>536.54</v>
      </c>
      <c r="D2174" s="8">
        <v>87.32</v>
      </c>
    </row>
    <row r="2175" spans="1:4">
      <c r="A2175" s="7" t="s">
        <v>3919</v>
      </c>
      <c r="B2175" s="8">
        <v>1977.81</v>
      </c>
      <c r="C2175" s="8">
        <v>2397.2199999999998</v>
      </c>
      <c r="D2175" s="8">
        <v>82.5</v>
      </c>
    </row>
    <row r="2176" spans="1:4">
      <c r="A2176" s="7" t="s">
        <v>3920</v>
      </c>
      <c r="B2176" s="8">
        <v>642.78</v>
      </c>
      <c r="C2176" s="8">
        <v>731.11</v>
      </c>
      <c r="D2176" s="8">
        <v>87.92</v>
      </c>
    </row>
    <row r="2177" spans="1:4">
      <c r="A2177" s="7" t="s">
        <v>3921</v>
      </c>
      <c r="B2177" s="8">
        <v>479.52</v>
      </c>
      <c r="C2177" s="8">
        <v>536.54</v>
      </c>
      <c r="D2177" s="8">
        <v>89.37</v>
      </c>
    </row>
    <row r="2178" spans="1:4">
      <c r="A2178" s="7" t="s">
        <v>3922</v>
      </c>
      <c r="B2178" s="8">
        <v>3155.34</v>
      </c>
      <c r="C2178" s="8">
        <v>1472.98</v>
      </c>
      <c r="D2178" s="8">
        <v>214.21</v>
      </c>
    </row>
    <row r="2179" spans="1:4">
      <c r="A2179" s="7" t="s">
        <v>3923</v>
      </c>
      <c r="B2179" s="8">
        <v>642.78</v>
      </c>
      <c r="C2179" s="8">
        <v>731.11</v>
      </c>
      <c r="D2179" s="8">
        <v>87.92</v>
      </c>
    </row>
    <row r="2180" spans="1:4">
      <c r="A2180" s="7" t="s">
        <v>3924</v>
      </c>
      <c r="B2180" s="8">
        <v>421.59</v>
      </c>
      <c r="C2180" s="8">
        <v>415.91</v>
      </c>
      <c r="D2180" s="8">
        <v>101.37</v>
      </c>
    </row>
    <row r="2181" spans="1:4">
      <c r="A2181" s="7" t="s">
        <v>3925</v>
      </c>
      <c r="B2181" s="8">
        <v>2758.07</v>
      </c>
      <c r="C2181" s="8">
        <v>2644.42</v>
      </c>
      <c r="D2181" s="8">
        <v>104.3</v>
      </c>
    </row>
    <row r="2182" spans="1:4">
      <c r="A2182" s="7" t="s">
        <v>3926</v>
      </c>
      <c r="B2182" s="8">
        <v>592.80999999999995</v>
      </c>
      <c r="C2182" s="8">
        <v>610.48</v>
      </c>
      <c r="D2182" s="8">
        <v>97.11</v>
      </c>
    </row>
    <row r="2183" spans="1:4">
      <c r="A2183" s="7" t="s">
        <v>3927</v>
      </c>
      <c r="B2183" s="8">
        <v>4871.7700000000004</v>
      </c>
      <c r="C2183" s="8">
        <v>4490.3500000000004</v>
      </c>
      <c r="D2183" s="8">
        <v>108.49</v>
      </c>
    </row>
    <row r="2184" spans="1:4">
      <c r="A2184" s="7" t="s">
        <v>3928</v>
      </c>
      <c r="B2184" s="8">
        <v>419.49</v>
      </c>
      <c r="C2184" s="8">
        <v>415.91</v>
      </c>
      <c r="D2184" s="8">
        <v>100.86</v>
      </c>
    </row>
    <row r="2185" spans="1:4">
      <c r="A2185" s="7" t="s">
        <v>2365</v>
      </c>
      <c r="B2185" s="8">
        <v>5894.62</v>
      </c>
      <c r="C2185" s="8">
        <v>6062.07</v>
      </c>
      <c r="D2185" s="8">
        <v>97.24</v>
      </c>
    </row>
    <row r="2186" spans="1:4">
      <c r="A2186" s="7" t="s">
        <v>2364</v>
      </c>
      <c r="B2186" s="8">
        <v>592.80999999999995</v>
      </c>
      <c r="C2186" s="8">
        <v>610.48</v>
      </c>
      <c r="D2186" s="8">
        <v>97.11</v>
      </c>
    </row>
    <row r="2187" spans="1:4">
      <c r="A2187" s="7" t="s">
        <v>3929</v>
      </c>
      <c r="B2187" s="8">
        <v>5295.5</v>
      </c>
      <c r="C2187" s="8">
        <v>4430.3500000000004</v>
      </c>
      <c r="D2187" s="8">
        <v>119.53</v>
      </c>
    </row>
    <row r="2188" spans="1:4">
      <c r="A2188" s="7" t="s">
        <v>3930</v>
      </c>
      <c r="B2188" s="8">
        <v>480.16</v>
      </c>
      <c r="C2188" s="8">
        <v>536.54</v>
      </c>
      <c r="D2188" s="8">
        <v>89.49</v>
      </c>
    </row>
    <row r="2189" spans="1:4">
      <c r="A2189" s="7" t="s">
        <v>2367</v>
      </c>
      <c r="B2189" s="8">
        <v>11920.14</v>
      </c>
      <c r="C2189" s="8">
        <v>6222.07</v>
      </c>
      <c r="D2189" s="8">
        <v>191.58</v>
      </c>
    </row>
    <row r="2190" spans="1:4">
      <c r="A2190" s="7" t="s">
        <v>2366</v>
      </c>
      <c r="B2190" s="8">
        <v>642.78</v>
      </c>
      <c r="C2190" s="8">
        <v>731.11</v>
      </c>
      <c r="D2190" s="8">
        <v>87.92</v>
      </c>
    </row>
    <row r="2191" spans="1:4">
      <c r="A2191" s="7" t="s">
        <v>3931</v>
      </c>
      <c r="B2191" s="8">
        <v>5050.9399999999996</v>
      </c>
      <c r="C2191" s="8">
        <v>4472.07</v>
      </c>
      <c r="D2191" s="8">
        <v>112.94</v>
      </c>
    </row>
    <row r="2192" spans="1:4">
      <c r="A2192" s="7" t="s">
        <v>3932</v>
      </c>
      <c r="B2192" s="8">
        <v>480.25</v>
      </c>
      <c r="C2192" s="8">
        <v>536.54</v>
      </c>
      <c r="D2192" s="8">
        <v>89.51</v>
      </c>
    </row>
    <row r="2193" spans="1:4">
      <c r="A2193" s="7" t="s">
        <v>3933</v>
      </c>
      <c r="B2193" s="8">
        <v>11575.89</v>
      </c>
      <c r="C2193" s="8">
        <v>6002.07</v>
      </c>
      <c r="D2193" s="8">
        <v>192.86</v>
      </c>
    </row>
    <row r="2194" spans="1:4">
      <c r="A2194" s="7" t="s">
        <v>3934</v>
      </c>
      <c r="B2194" s="8">
        <v>642.78</v>
      </c>
      <c r="C2194" s="8">
        <v>731.11</v>
      </c>
      <c r="D2194" s="8">
        <v>87.92</v>
      </c>
    </row>
    <row r="2195" spans="1:4">
      <c r="A2195" s="7" t="s">
        <v>3935</v>
      </c>
      <c r="B2195" s="8">
        <v>5115.04</v>
      </c>
      <c r="C2195" s="8">
        <v>5185.1499999999996</v>
      </c>
      <c r="D2195" s="8">
        <v>98.65</v>
      </c>
    </row>
    <row r="2196" spans="1:4">
      <c r="A2196" s="7" t="s">
        <v>3936</v>
      </c>
      <c r="B2196" s="8">
        <v>685.42</v>
      </c>
      <c r="C2196" s="8">
        <v>776.85</v>
      </c>
      <c r="D2196" s="8">
        <v>88.23</v>
      </c>
    </row>
    <row r="2197" spans="1:4">
      <c r="A2197" s="7" t="s">
        <v>3937</v>
      </c>
      <c r="B2197" s="8">
        <v>7070.94</v>
      </c>
      <c r="C2197" s="8">
        <v>7282.13</v>
      </c>
      <c r="D2197" s="8">
        <v>97.1</v>
      </c>
    </row>
    <row r="2198" spans="1:4">
      <c r="A2198" s="7" t="s">
        <v>3938</v>
      </c>
      <c r="B2198" s="8">
        <v>634.46</v>
      </c>
      <c r="C2198" s="8">
        <v>781.42</v>
      </c>
      <c r="D2198" s="8">
        <v>81.19</v>
      </c>
    </row>
    <row r="2199" spans="1:4">
      <c r="A2199" s="7" t="s">
        <v>3939</v>
      </c>
      <c r="B2199" s="8">
        <v>451.43</v>
      </c>
      <c r="C2199" s="8">
        <v>441.22</v>
      </c>
      <c r="D2199" s="8">
        <v>102.31</v>
      </c>
    </row>
    <row r="2200" spans="1:4">
      <c r="A2200" s="7" t="s">
        <v>3940</v>
      </c>
      <c r="B2200" s="8">
        <v>7871.6</v>
      </c>
      <c r="C2200" s="8">
        <v>8855.1200000000008</v>
      </c>
      <c r="D2200" s="8">
        <v>88.89</v>
      </c>
    </row>
    <row r="2201" spans="1:4">
      <c r="A2201" s="7" t="s">
        <v>3941</v>
      </c>
      <c r="B2201" s="8">
        <v>592.80999999999995</v>
      </c>
      <c r="C2201" s="8">
        <v>610.48</v>
      </c>
      <c r="D2201" s="8">
        <v>97.11</v>
      </c>
    </row>
    <row r="2202" spans="1:4">
      <c r="A2202" s="7" t="s">
        <v>3942</v>
      </c>
      <c r="B2202" s="8">
        <v>483.33</v>
      </c>
      <c r="C2202" s="8">
        <v>536.54</v>
      </c>
      <c r="D2202" s="8">
        <v>90.08</v>
      </c>
    </row>
    <row r="2203" spans="1:4">
      <c r="A2203" s="7" t="s">
        <v>3943</v>
      </c>
      <c r="B2203" s="8">
        <v>7092.88</v>
      </c>
      <c r="C2203" s="8">
        <v>6684.87</v>
      </c>
      <c r="D2203" s="8">
        <v>106.1</v>
      </c>
    </row>
    <row r="2204" spans="1:4">
      <c r="A2204" s="7" t="s">
        <v>3944</v>
      </c>
      <c r="B2204" s="8">
        <v>642.78</v>
      </c>
      <c r="C2204" s="8">
        <v>731.11</v>
      </c>
      <c r="D2204" s="8">
        <v>87.92</v>
      </c>
    </row>
    <row r="2205" spans="1:4">
      <c r="A2205" s="7" t="s">
        <v>3945</v>
      </c>
      <c r="B2205" s="8">
        <v>480.34</v>
      </c>
      <c r="C2205" s="8">
        <v>501.53</v>
      </c>
      <c r="D2205" s="8">
        <v>95.77</v>
      </c>
    </row>
    <row r="2206" spans="1:4">
      <c r="A2206" s="7" t="s">
        <v>3946</v>
      </c>
      <c r="B2206" s="8">
        <v>14371.7</v>
      </c>
      <c r="C2206" s="8">
        <v>5842.07</v>
      </c>
      <c r="D2206" s="8">
        <v>246</v>
      </c>
    </row>
    <row r="2207" spans="1:4">
      <c r="A2207" s="7" t="s">
        <v>3947</v>
      </c>
      <c r="B2207" s="8">
        <v>617.79</v>
      </c>
      <c r="C2207" s="8">
        <v>670.79</v>
      </c>
      <c r="D2207" s="8">
        <v>92.1</v>
      </c>
    </row>
    <row r="2208" spans="1:4">
      <c r="A2208" s="7" t="s">
        <v>2472</v>
      </c>
      <c r="B2208" s="8">
        <v>7680.89</v>
      </c>
      <c r="C2208" s="8">
        <v>5961.21</v>
      </c>
      <c r="D2208" s="8">
        <v>128.85</v>
      </c>
    </row>
    <row r="2209" spans="1:4">
      <c r="A2209" s="7" t="s">
        <v>2471</v>
      </c>
      <c r="B2209" s="8">
        <v>428.28</v>
      </c>
      <c r="C2209" s="8">
        <v>415.91</v>
      </c>
      <c r="D2209" s="8">
        <v>102.97</v>
      </c>
    </row>
    <row r="2210" spans="1:4">
      <c r="A2210" s="7" t="s">
        <v>2361</v>
      </c>
      <c r="B2210" s="8">
        <v>11936.24</v>
      </c>
      <c r="C2210" s="8">
        <v>4971.2299999999996</v>
      </c>
      <c r="D2210" s="8">
        <v>240.11</v>
      </c>
    </row>
    <row r="2211" spans="1:4">
      <c r="A2211" s="7" t="s">
        <v>2360</v>
      </c>
      <c r="B2211" s="8">
        <v>592.80999999999995</v>
      </c>
      <c r="C2211" s="8">
        <v>610.48</v>
      </c>
      <c r="D2211" s="8">
        <v>97.11</v>
      </c>
    </row>
    <row r="2212" spans="1:4">
      <c r="A2212" s="7" t="s">
        <v>3948</v>
      </c>
      <c r="B2212" s="8">
        <v>7639.27</v>
      </c>
      <c r="C2212" s="8">
        <v>3138.06</v>
      </c>
      <c r="D2212" s="8">
        <v>243.44</v>
      </c>
    </row>
    <row r="2213" spans="1:4">
      <c r="A2213" s="7" t="s">
        <v>3949</v>
      </c>
      <c r="B2213" s="8">
        <v>470.15</v>
      </c>
      <c r="C2213" s="8">
        <v>536.54</v>
      </c>
      <c r="D2213" s="8">
        <v>87.63</v>
      </c>
    </row>
    <row r="2214" spans="1:4">
      <c r="A2214" s="7" t="s">
        <v>2355</v>
      </c>
      <c r="B2214" s="8">
        <v>5085.21</v>
      </c>
      <c r="C2214" s="8">
        <v>3706.72</v>
      </c>
      <c r="D2214" s="8">
        <v>137.19</v>
      </c>
    </row>
    <row r="2215" spans="1:4">
      <c r="A2215" s="7" t="s">
        <v>2354</v>
      </c>
      <c r="B2215" s="8">
        <v>642.78</v>
      </c>
      <c r="C2215" s="8">
        <v>731.11</v>
      </c>
      <c r="D2215" s="8">
        <v>87.92</v>
      </c>
    </row>
    <row r="2216" spans="1:4">
      <c r="A2216" s="7" t="s">
        <v>3950</v>
      </c>
      <c r="B2216" s="8">
        <v>7663.39</v>
      </c>
      <c r="C2216" s="8">
        <v>6421.21</v>
      </c>
      <c r="D2216" s="8">
        <v>119.34</v>
      </c>
    </row>
    <row r="2217" spans="1:4">
      <c r="A2217" s="7" t="s">
        <v>3951</v>
      </c>
      <c r="B2217" s="8">
        <v>446.25</v>
      </c>
      <c r="C2217" s="8">
        <v>476.22</v>
      </c>
      <c r="D2217" s="8">
        <v>93.71</v>
      </c>
    </row>
    <row r="2218" spans="1:4">
      <c r="A2218" s="7" t="s">
        <v>2357</v>
      </c>
      <c r="B2218" s="8">
        <v>5799.72</v>
      </c>
      <c r="C2218" s="8">
        <v>4076.72</v>
      </c>
      <c r="D2218" s="8">
        <v>142.26</v>
      </c>
    </row>
    <row r="2219" spans="1:4">
      <c r="A2219" s="7" t="s">
        <v>2356</v>
      </c>
      <c r="B2219" s="8">
        <v>617.79</v>
      </c>
      <c r="C2219" s="8">
        <v>670.79</v>
      </c>
      <c r="D2219" s="8">
        <v>92.1</v>
      </c>
    </row>
    <row r="2220" spans="1:4">
      <c r="A2220" s="7" t="s">
        <v>2541</v>
      </c>
      <c r="B2220" s="8">
        <v>6938.84</v>
      </c>
      <c r="C2220" s="8">
        <v>5438.05</v>
      </c>
      <c r="D2220" s="8">
        <v>127.6</v>
      </c>
    </row>
    <row r="2221" spans="1:4">
      <c r="A2221" s="7" t="s">
        <v>2546</v>
      </c>
      <c r="B2221" s="8">
        <v>6369.35</v>
      </c>
      <c r="C2221" s="8">
        <v>4407.5</v>
      </c>
      <c r="D2221" s="8">
        <v>144.51</v>
      </c>
    </row>
    <row r="2222" spans="1:4">
      <c r="A2222" s="7" t="s">
        <v>3952</v>
      </c>
      <c r="B2222" s="8">
        <v>162.29</v>
      </c>
      <c r="C2222" s="8">
        <v>162.29</v>
      </c>
      <c r="D2222" s="8">
        <v>100</v>
      </c>
    </row>
    <row r="2223" spans="1:4">
      <c r="A2223" s="7" t="s">
        <v>3953</v>
      </c>
      <c r="B2223" s="8">
        <v>106.92</v>
      </c>
      <c r="C2223" s="8">
        <v>106.92</v>
      </c>
      <c r="D2223" s="8">
        <v>100</v>
      </c>
    </row>
    <row r="2224" spans="1:4">
      <c r="A2224" s="7" t="s">
        <v>3954</v>
      </c>
      <c r="B2224" s="8">
        <v>117.28</v>
      </c>
      <c r="C2224" s="8">
        <v>131.91999999999999</v>
      </c>
      <c r="D2224" s="8">
        <v>88.9</v>
      </c>
    </row>
    <row r="2225" spans="1:4">
      <c r="A2225" s="7" t="s">
        <v>3955</v>
      </c>
      <c r="B2225" s="8">
        <v>274.06</v>
      </c>
      <c r="C2225" s="8">
        <v>263.7</v>
      </c>
      <c r="D2225" s="8">
        <v>103.93</v>
      </c>
    </row>
    <row r="2226" spans="1:4">
      <c r="A2226" s="7" t="s">
        <v>3956</v>
      </c>
      <c r="B2226" s="8">
        <v>179.7</v>
      </c>
      <c r="C2226" s="8">
        <v>179.7</v>
      </c>
      <c r="D2226" s="8">
        <v>100</v>
      </c>
    </row>
    <row r="2227" spans="1:4">
      <c r="A2227" s="7" t="s">
        <v>3957</v>
      </c>
      <c r="B2227" s="8">
        <v>98.21</v>
      </c>
      <c r="C2227" s="8">
        <v>127.5</v>
      </c>
      <c r="D2227" s="8">
        <v>77.03</v>
      </c>
    </row>
    <row r="2228" spans="1:4">
      <c r="A2228" s="7" t="s">
        <v>2539</v>
      </c>
      <c r="B2228" s="8">
        <v>97</v>
      </c>
      <c r="C2228" s="8">
        <v>97</v>
      </c>
      <c r="D2228" s="8">
        <v>100</v>
      </c>
    </row>
    <row r="2229" spans="1:4">
      <c r="A2229" s="7" t="s">
        <v>3958</v>
      </c>
      <c r="B2229" s="8">
        <v>560.39</v>
      </c>
      <c r="C2229" s="8">
        <v>581.54</v>
      </c>
      <c r="D2229" s="8">
        <v>96.36</v>
      </c>
    </row>
    <row r="2230" spans="1:4">
      <c r="A2230" s="7" t="s">
        <v>2538</v>
      </c>
      <c r="B2230" s="8">
        <v>169.07</v>
      </c>
      <c r="C2230" s="8">
        <v>172</v>
      </c>
      <c r="D2230" s="8">
        <v>98.3</v>
      </c>
    </row>
    <row r="2231" spans="1:4">
      <c r="A2231" s="7" t="s">
        <v>3959</v>
      </c>
      <c r="B2231" s="8">
        <v>239.07</v>
      </c>
      <c r="C2231" s="8">
        <v>242</v>
      </c>
      <c r="D2231" s="8">
        <v>98.79</v>
      </c>
    </row>
    <row r="2232" spans="1:4">
      <c r="A2232" s="7" t="s">
        <v>3960</v>
      </c>
      <c r="B2232" s="8">
        <v>98.21</v>
      </c>
      <c r="C2232" s="8">
        <v>127.5</v>
      </c>
      <c r="D2232" s="8">
        <v>77.03</v>
      </c>
    </row>
    <row r="2233" spans="1:4">
      <c r="A2233" s="7" t="s">
        <v>2544</v>
      </c>
      <c r="B2233" s="8">
        <v>97</v>
      </c>
      <c r="C2233" s="8">
        <v>97</v>
      </c>
      <c r="D2233" s="8">
        <v>100</v>
      </c>
    </row>
    <row r="2234" spans="1:4">
      <c r="A2234" s="7" t="s">
        <v>3961</v>
      </c>
      <c r="B2234" s="8">
        <v>560.39</v>
      </c>
      <c r="C2234" s="8">
        <v>581.54</v>
      </c>
      <c r="D2234" s="8">
        <v>96.36</v>
      </c>
    </row>
    <row r="2235" spans="1:4">
      <c r="A2235" s="7" t="s">
        <v>2543</v>
      </c>
      <c r="B2235" s="8">
        <v>169.07</v>
      </c>
      <c r="C2235" s="8">
        <v>172</v>
      </c>
      <c r="D2235" s="8">
        <v>98.3</v>
      </c>
    </row>
    <row r="2236" spans="1:4">
      <c r="A2236" s="7" t="s">
        <v>3962</v>
      </c>
      <c r="B2236" s="8">
        <v>239.07</v>
      </c>
      <c r="C2236" s="8">
        <v>242</v>
      </c>
      <c r="D2236" s="8">
        <v>98.79</v>
      </c>
    </row>
    <row r="2237" spans="1:4">
      <c r="A2237" s="7" t="s">
        <v>3963</v>
      </c>
      <c r="B2237" s="8">
        <v>5126.09</v>
      </c>
      <c r="C2237" s="8">
        <v>4945.71</v>
      </c>
      <c r="D2237" s="8">
        <v>103.65</v>
      </c>
    </row>
    <row r="2238" spans="1:4">
      <c r="A2238" s="7" t="s">
        <v>3964</v>
      </c>
      <c r="B2238" s="8">
        <v>451.46</v>
      </c>
      <c r="C2238" s="8">
        <v>476.22</v>
      </c>
      <c r="D2238" s="8">
        <v>94.8</v>
      </c>
    </row>
    <row r="2239" spans="1:4">
      <c r="A2239" s="7" t="s">
        <v>2363</v>
      </c>
      <c r="B2239" s="8">
        <v>6197.77</v>
      </c>
      <c r="C2239" s="8">
        <v>6140.35</v>
      </c>
      <c r="D2239" s="8">
        <v>100.94</v>
      </c>
    </row>
    <row r="2240" spans="1:4">
      <c r="A2240" s="7" t="s">
        <v>2362</v>
      </c>
      <c r="B2240" s="8">
        <v>617.79</v>
      </c>
      <c r="C2240" s="8">
        <v>670.79</v>
      </c>
      <c r="D2240" s="8">
        <v>92.1</v>
      </c>
    </row>
    <row r="2241" spans="1:4">
      <c r="A2241" s="7" t="s">
        <v>3965</v>
      </c>
      <c r="B2241" s="8">
        <v>5740.01</v>
      </c>
      <c r="C2241" s="8">
        <v>5109.6899999999996</v>
      </c>
      <c r="D2241" s="8">
        <v>112.34</v>
      </c>
    </row>
    <row r="2242" spans="1:4">
      <c r="A2242" s="7" t="s">
        <v>3966</v>
      </c>
      <c r="B2242" s="8">
        <v>477.78</v>
      </c>
      <c r="C2242" s="8">
        <v>536.54</v>
      </c>
      <c r="D2242" s="8">
        <v>89.05</v>
      </c>
    </row>
    <row r="2243" spans="1:4">
      <c r="A2243" s="7" t="s">
        <v>3967</v>
      </c>
      <c r="B2243" s="8">
        <v>6454.19</v>
      </c>
      <c r="C2243" s="8">
        <v>6915.15</v>
      </c>
      <c r="D2243" s="8">
        <v>93.33</v>
      </c>
    </row>
    <row r="2244" spans="1:4">
      <c r="A2244" s="7" t="s">
        <v>3968</v>
      </c>
      <c r="B2244" s="8">
        <v>642.78</v>
      </c>
      <c r="C2244" s="8">
        <v>731.11</v>
      </c>
      <c r="D2244" s="8">
        <v>87.92</v>
      </c>
    </row>
    <row r="2245" spans="1:4">
      <c r="A2245" s="7" t="s">
        <v>3969</v>
      </c>
      <c r="B2245" s="8">
        <v>9944.69</v>
      </c>
      <c r="C2245" s="8">
        <v>5059.7700000000004</v>
      </c>
      <c r="D2245" s="8">
        <v>196.54</v>
      </c>
    </row>
    <row r="2246" spans="1:4">
      <c r="A2246" s="7" t="s">
        <v>3970</v>
      </c>
      <c r="B2246" s="8">
        <v>685.81</v>
      </c>
      <c r="C2246" s="8">
        <v>776.85</v>
      </c>
      <c r="D2246" s="8">
        <v>88.28</v>
      </c>
    </row>
    <row r="2247" spans="1:4">
      <c r="A2247" s="7" t="s">
        <v>3971</v>
      </c>
      <c r="B2247" s="8">
        <v>9251.59</v>
      </c>
      <c r="C2247" s="8">
        <v>7078.01</v>
      </c>
      <c r="D2247" s="8">
        <v>130.71</v>
      </c>
    </row>
    <row r="2248" spans="1:4">
      <c r="A2248" s="7" t="s">
        <v>3972</v>
      </c>
      <c r="B2248" s="8">
        <v>631.24</v>
      </c>
      <c r="C2248" s="8">
        <v>781.42</v>
      </c>
      <c r="D2248" s="8">
        <v>80.78</v>
      </c>
    </row>
    <row r="2249" spans="1:4">
      <c r="A2249" s="7" t="s">
        <v>3973</v>
      </c>
      <c r="B2249" s="8">
        <v>6159.42</v>
      </c>
      <c r="C2249" s="8">
        <v>5812.63</v>
      </c>
      <c r="D2249" s="8">
        <v>105.97</v>
      </c>
    </row>
    <row r="2250" spans="1:4">
      <c r="A2250" s="7" t="s">
        <v>3974</v>
      </c>
      <c r="B2250" s="8">
        <v>457.11</v>
      </c>
      <c r="C2250" s="8">
        <v>476.22</v>
      </c>
      <c r="D2250" s="8">
        <v>95.99</v>
      </c>
    </row>
    <row r="2251" spans="1:4">
      <c r="A2251" s="7" t="s">
        <v>3975</v>
      </c>
      <c r="B2251" s="8">
        <v>7255.47</v>
      </c>
      <c r="C2251" s="8">
        <v>6758.69</v>
      </c>
      <c r="D2251" s="8">
        <v>107.35</v>
      </c>
    </row>
    <row r="2252" spans="1:4">
      <c r="A2252" s="7" t="s">
        <v>3976</v>
      </c>
      <c r="B2252" s="8">
        <v>617.79</v>
      </c>
      <c r="C2252" s="8">
        <v>670.79</v>
      </c>
      <c r="D2252" s="8">
        <v>92.1</v>
      </c>
    </row>
    <row r="2253" spans="1:4">
      <c r="A2253" s="7" t="s">
        <v>3977</v>
      </c>
      <c r="B2253" s="8">
        <v>6760.82</v>
      </c>
      <c r="C2253" s="8">
        <v>6812.07</v>
      </c>
      <c r="D2253" s="8">
        <v>99.25</v>
      </c>
    </row>
    <row r="2254" spans="1:4">
      <c r="A2254" s="7" t="s">
        <v>3978</v>
      </c>
      <c r="B2254" s="8">
        <v>680.96</v>
      </c>
      <c r="C2254" s="8">
        <v>776.85</v>
      </c>
      <c r="D2254" s="8">
        <v>87.66</v>
      </c>
    </row>
    <row r="2255" spans="1:4">
      <c r="A2255" s="7" t="s">
        <v>3979</v>
      </c>
      <c r="B2255" s="8">
        <v>8997.49</v>
      </c>
      <c r="C2255" s="8">
        <v>6992.07</v>
      </c>
      <c r="D2255" s="8">
        <v>128.68</v>
      </c>
    </row>
    <row r="2256" spans="1:4">
      <c r="A2256" s="7" t="s">
        <v>3980</v>
      </c>
      <c r="B2256" s="8">
        <v>630.87</v>
      </c>
      <c r="C2256" s="8">
        <v>781.42</v>
      </c>
      <c r="D2256" s="8">
        <v>80.73</v>
      </c>
    </row>
    <row r="2257" spans="1:4">
      <c r="A2257" s="7" t="s">
        <v>3981</v>
      </c>
      <c r="B2257" s="8">
        <v>6255.23</v>
      </c>
      <c r="C2257" s="8">
        <v>6852.07</v>
      </c>
      <c r="D2257" s="8">
        <v>91.29</v>
      </c>
    </row>
    <row r="2258" spans="1:4">
      <c r="A2258" s="7" t="s">
        <v>3982</v>
      </c>
      <c r="B2258" s="8">
        <v>677.94</v>
      </c>
      <c r="C2258" s="8">
        <v>776.85</v>
      </c>
      <c r="D2258" s="8">
        <v>87.27</v>
      </c>
    </row>
    <row r="2259" spans="1:4">
      <c r="A2259" s="7" t="s">
        <v>3983</v>
      </c>
      <c r="B2259" s="8">
        <v>14856.44</v>
      </c>
      <c r="C2259" s="8">
        <v>7252.07</v>
      </c>
      <c r="D2259" s="8">
        <v>204.86</v>
      </c>
    </row>
    <row r="2260" spans="1:4">
      <c r="A2260" s="7" t="s">
        <v>3984</v>
      </c>
      <c r="B2260" s="8">
        <v>632.91999999999996</v>
      </c>
      <c r="C2260" s="8">
        <v>781.42</v>
      </c>
      <c r="D2260" s="8">
        <v>81</v>
      </c>
    </row>
    <row r="2261" spans="1:4">
      <c r="A2261" s="7" t="s">
        <v>2470</v>
      </c>
      <c r="B2261" s="8">
        <v>7680.97</v>
      </c>
      <c r="C2261" s="8">
        <v>3378.15</v>
      </c>
      <c r="D2261" s="8">
        <v>227.37</v>
      </c>
    </row>
    <row r="2262" spans="1:4">
      <c r="A2262" s="7" t="s">
        <v>2469</v>
      </c>
      <c r="B2262" s="8">
        <v>428.62</v>
      </c>
      <c r="C2262" s="8">
        <v>415.91</v>
      </c>
      <c r="D2262" s="8">
        <v>103.06</v>
      </c>
    </row>
    <row r="2263" spans="1:4">
      <c r="A2263" s="7" t="s">
        <v>2359</v>
      </c>
      <c r="B2263" s="8">
        <v>5417.27</v>
      </c>
      <c r="C2263" s="8">
        <v>3946.81</v>
      </c>
      <c r="D2263" s="8">
        <v>137.26</v>
      </c>
    </row>
    <row r="2264" spans="1:4">
      <c r="A2264" s="7" t="s">
        <v>2358</v>
      </c>
      <c r="B2264" s="8">
        <v>592.80999999999995</v>
      </c>
      <c r="C2264" s="8">
        <v>610.48</v>
      </c>
      <c r="D2264" s="8">
        <v>97.11</v>
      </c>
    </row>
    <row r="2265" spans="1:4">
      <c r="A2265" s="7" t="s">
        <v>3985</v>
      </c>
      <c r="B2265" s="8">
        <v>910.94</v>
      </c>
      <c r="C2265" s="8">
        <v>1183.43</v>
      </c>
      <c r="D2265" s="8">
        <v>76.97</v>
      </c>
    </row>
    <row r="2266" spans="1:4">
      <c r="A2266" s="7" t="s">
        <v>3986</v>
      </c>
      <c r="B2266" s="8">
        <v>505.09</v>
      </c>
      <c r="C2266" s="8">
        <v>561.85</v>
      </c>
      <c r="D2266" s="8">
        <v>89.9</v>
      </c>
    </row>
    <row r="2267" spans="1:4">
      <c r="A2267" s="7" t="s">
        <v>3987</v>
      </c>
      <c r="B2267" s="8">
        <v>3342.67</v>
      </c>
      <c r="C2267" s="8">
        <v>2475.5</v>
      </c>
      <c r="D2267" s="8">
        <v>135.03</v>
      </c>
    </row>
    <row r="2268" spans="1:4">
      <c r="A2268" s="7" t="s">
        <v>3988</v>
      </c>
      <c r="B2268" s="8">
        <v>642.78</v>
      </c>
      <c r="C2268" s="8">
        <v>731.11</v>
      </c>
      <c r="D2268" s="8">
        <v>87.92</v>
      </c>
    </row>
    <row r="2269" spans="1:4">
      <c r="A2269" s="7" t="s">
        <v>3989</v>
      </c>
      <c r="B2269" s="8">
        <v>84.76</v>
      </c>
      <c r="C2269" s="8">
        <v>84.76</v>
      </c>
      <c r="D2269" s="8">
        <v>100</v>
      </c>
    </row>
    <row r="2270" spans="1:4">
      <c r="A2270" s="7" t="s">
        <v>3990</v>
      </c>
      <c r="B2270" s="8">
        <v>8554.2000000000007</v>
      </c>
      <c r="C2270" s="8">
        <v>6261.21</v>
      </c>
      <c r="D2270" s="8">
        <v>136.62</v>
      </c>
    </row>
    <row r="2271" spans="1:4">
      <c r="A2271" s="7" t="s">
        <v>3991</v>
      </c>
      <c r="B2271" s="8">
        <v>681.46</v>
      </c>
      <c r="C2271" s="8">
        <v>776.85</v>
      </c>
      <c r="D2271" s="8">
        <v>87.72</v>
      </c>
    </row>
    <row r="2272" spans="1:4">
      <c r="A2272" s="7" t="s">
        <v>3992</v>
      </c>
      <c r="B2272" s="8">
        <v>8207.6299999999992</v>
      </c>
      <c r="C2272" s="8">
        <v>7041.21</v>
      </c>
      <c r="D2272" s="8">
        <v>116.57</v>
      </c>
    </row>
    <row r="2273" spans="1:4">
      <c r="A2273" s="7" t="s">
        <v>3993</v>
      </c>
      <c r="B2273" s="8">
        <v>637.1</v>
      </c>
      <c r="C2273" s="8">
        <v>781.42</v>
      </c>
      <c r="D2273" s="8">
        <v>81.53</v>
      </c>
    </row>
    <row r="2274" spans="1:4">
      <c r="A2274" s="7" t="s">
        <v>3994</v>
      </c>
      <c r="B2274" s="8">
        <v>10388.57</v>
      </c>
      <c r="C2274" s="8">
        <v>7721.77</v>
      </c>
      <c r="D2274" s="8">
        <v>134.54</v>
      </c>
    </row>
    <row r="2275" spans="1:4">
      <c r="A2275" s="7" t="s">
        <v>3995</v>
      </c>
      <c r="B2275" s="8">
        <v>421.38</v>
      </c>
      <c r="C2275" s="8">
        <v>415.91</v>
      </c>
      <c r="D2275" s="8">
        <v>101.32</v>
      </c>
    </row>
    <row r="2276" spans="1:4">
      <c r="A2276" s="7" t="s">
        <v>3996</v>
      </c>
      <c r="B2276" s="8">
        <v>14860.65</v>
      </c>
      <c r="C2276" s="8">
        <v>8726.57</v>
      </c>
      <c r="D2276" s="8">
        <v>170.29</v>
      </c>
    </row>
    <row r="2277" spans="1:4">
      <c r="A2277" s="7" t="s">
        <v>3997</v>
      </c>
      <c r="B2277" s="8">
        <v>592.80999999999995</v>
      </c>
      <c r="C2277" s="8">
        <v>610.48</v>
      </c>
      <c r="D2277" s="8">
        <v>97.11</v>
      </c>
    </row>
    <row r="2278" spans="1:4">
      <c r="A2278" s="7" t="s">
        <v>3998</v>
      </c>
      <c r="B2278" s="8">
        <v>4650.75</v>
      </c>
      <c r="C2278" s="8">
        <v>5461.77</v>
      </c>
      <c r="D2278" s="8">
        <v>85.15</v>
      </c>
    </row>
    <row r="2279" spans="1:4">
      <c r="A2279" s="7" t="s">
        <v>3999</v>
      </c>
      <c r="B2279" s="8">
        <v>676.22</v>
      </c>
      <c r="C2279" s="8">
        <v>776.85</v>
      </c>
      <c r="D2279" s="8">
        <v>87.05</v>
      </c>
    </row>
    <row r="2280" spans="1:4">
      <c r="A2280" s="7" t="s">
        <v>2644</v>
      </c>
      <c r="B2280" s="8">
        <v>10681.43</v>
      </c>
      <c r="C2280" s="8">
        <v>6751.77</v>
      </c>
      <c r="D2280" s="8">
        <v>158.19999999999999</v>
      </c>
    </row>
    <row r="2281" spans="1:4">
      <c r="A2281" s="7" t="s">
        <v>2643</v>
      </c>
      <c r="B2281" s="8">
        <v>637.22</v>
      </c>
      <c r="C2281" s="8">
        <v>781.42</v>
      </c>
      <c r="D2281" s="8">
        <v>81.55</v>
      </c>
    </row>
    <row r="2282" spans="1:4">
      <c r="A2282" s="7" t="s">
        <v>4000</v>
      </c>
      <c r="B2282" s="8">
        <v>7172.58</v>
      </c>
      <c r="C2282" s="8">
        <v>7101.77</v>
      </c>
      <c r="D2282" s="8">
        <v>101</v>
      </c>
    </row>
    <row r="2283" spans="1:4">
      <c r="A2283" s="7" t="s">
        <v>4001</v>
      </c>
      <c r="B2283" s="8">
        <v>419.7</v>
      </c>
      <c r="C2283" s="8">
        <v>415.91</v>
      </c>
      <c r="D2283" s="8">
        <v>100.91</v>
      </c>
    </row>
    <row r="2284" spans="1:4">
      <c r="A2284" s="7" t="s">
        <v>2646</v>
      </c>
      <c r="B2284" s="8">
        <v>14284.97</v>
      </c>
      <c r="C2284" s="8">
        <v>7641.77</v>
      </c>
      <c r="D2284" s="8">
        <v>186.93</v>
      </c>
    </row>
    <row r="2285" spans="1:4">
      <c r="A2285" s="7" t="s">
        <v>2645</v>
      </c>
      <c r="B2285" s="8">
        <v>592.80999999999995</v>
      </c>
      <c r="C2285" s="8">
        <v>610.48</v>
      </c>
      <c r="D2285" s="8">
        <v>97.11</v>
      </c>
    </row>
    <row r="2286" spans="1:4">
      <c r="A2286" s="7" t="s">
        <v>2474</v>
      </c>
      <c r="B2286" s="8">
        <v>7422.59</v>
      </c>
      <c r="C2286" s="8">
        <v>2612.21</v>
      </c>
      <c r="D2286" s="8">
        <v>284.14999999999998</v>
      </c>
    </row>
    <row r="2287" spans="1:4">
      <c r="A2287" s="7" t="s">
        <v>2473</v>
      </c>
      <c r="B2287" s="8">
        <v>686.82</v>
      </c>
      <c r="C2287" s="8">
        <v>776.85</v>
      </c>
      <c r="D2287" s="8">
        <v>88.41</v>
      </c>
    </row>
    <row r="2288" spans="1:4">
      <c r="A2288" s="7" t="s">
        <v>2369</v>
      </c>
      <c r="B2288" s="8">
        <v>5158.54</v>
      </c>
      <c r="C2288" s="8">
        <v>3795.67</v>
      </c>
      <c r="D2288" s="8">
        <v>135.91</v>
      </c>
    </row>
    <row r="2289" spans="1:4">
      <c r="A2289" s="7" t="s">
        <v>2368</v>
      </c>
      <c r="B2289" s="8">
        <v>642.72</v>
      </c>
      <c r="C2289" s="8">
        <v>781.42</v>
      </c>
      <c r="D2289" s="8">
        <v>82.25</v>
      </c>
    </row>
    <row r="2290" spans="1:4">
      <c r="A2290" s="7" t="s">
        <v>4002</v>
      </c>
      <c r="B2290" s="8">
        <v>6097.15</v>
      </c>
      <c r="C2290" s="8">
        <v>5056.01</v>
      </c>
      <c r="D2290" s="8">
        <v>120.59</v>
      </c>
    </row>
    <row r="2291" spans="1:4">
      <c r="A2291" s="7" t="s">
        <v>4003</v>
      </c>
      <c r="B2291" s="8">
        <v>453.76</v>
      </c>
      <c r="C2291" s="8">
        <v>476.22</v>
      </c>
      <c r="D2291" s="8">
        <v>95.28</v>
      </c>
    </row>
    <row r="2292" spans="1:4">
      <c r="A2292" s="7" t="s">
        <v>4004</v>
      </c>
      <c r="B2292" s="8">
        <v>6855.01</v>
      </c>
      <c r="C2292" s="8">
        <v>5891.21</v>
      </c>
      <c r="D2292" s="8">
        <v>116.36</v>
      </c>
    </row>
    <row r="2293" spans="1:4">
      <c r="A2293" s="7" t="s">
        <v>4005</v>
      </c>
      <c r="B2293" s="8">
        <v>617.79</v>
      </c>
      <c r="C2293" s="8">
        <v>670.79</v>
      </c>
      <c r="D2293" s="8">
        <v>92.1</v>
      </c>
    </row>
    <row r="2294" spans="1:4">
      <c r="A2294" s="7" t="s">
        <v>4006</v>
      </c>
      <c r="B2294" s="8">
        <v>171.76</v>
      </c>
      <c r="C2294" s="8">
        <v>12841.87</v>
      </c>
      <c r="D2294" s="8">
        <v>1.34</v>
      </c>
    </row>
    <row r="2295" spans="1:4">
      <c r="A2295" s="7" t="s">
        <v>4007</v>
      </c>
      <c r="B2295" s="8">
        <v>37658.43</v>
      </c>
      <c r="C2295" s="8">
        <v>33791.57</v>
      </c>
      <c r="D2295" s="8">
        <v>111.44</v>
      </c>
    </row>
    <row r="2296" spans="1:4">
      <c r="A2296" s="7" t="s">
        <v>4008</v>
      </c>
      <c r="B2296" s="8">
        <v>144.43</v>
      </c>
      <c r="C2296" s="8">
        <v>12843.35</v>
      </c>
      <c r="D2296" s="8">
        <v>1.1200000000000001</v>
      </c>
    </row>
    <row r="2297" spans="1:4">
      <c r="A2297" s="7" t="s">
        <v>4009</v>
      </c>
      <c r="B2297" s="8">
        <v>4472.2700000000004</v>
      </c>
      <c r="C2297" s="8">
        <v>3100</v>
      </c>
      <c r="D2297" s="8">
        <v>144.27000000000001</v>
      </c>
    </row>
    <row r="2298" spans="1:4">
      <c r="A2298" s="7" t="s">
        <v>4010</v>
      </c>
      <c r="B2298" s="8">
        <v>8319.33</v>
      </c>
      <c r="C2298" s="8">
        <v>6185.6</v>
      </c>
      <c r="D2298" s="8">
        <v>134.5</v>
      </c>
    </row>
    <row r="2299" spans="1:4">
      <c r="A2299" s="7" t="s">
        <v>4011</v>
      </c>
      <c r="B2299" s="8">
        <v>185.43</v>
      </c>
      <c r="C2299" s="8">
        <v>185.43</v>
      </c>
      <c r="D2299" s="8">
        <v>100</v>
      </c>
    </row>
    <row r="2300" spans="1:4">
      <c r="A2300" s="7" t="s">
        <v>4012</v>
      </c>
      <c r="B2300" s="8">
        <v>185.43</v>
      </c>
      <c r="C2300" s="8">
        <v>185.43</v>
      </c>
      <c r="D2300" s="8">
        <v>100</v>
      </c>
    </row>
    <row r="2301" spans="1:4">
      <c r="A2301" s="7" t="s">
        <v>4013</v>
      </c>
      <c r="B2301" s="8">
        <v>185.43</v>
      </c>
      <c r="C2301" s="8">
        <v>185.43</v>
      </c>
      <c r="D2301" s="8">
        <v>100</v>
      </c>
    </row>
    <row r="2302" spans="1:4">
      <c r="A2302" s="7" t="s">
        <v>4014</v>
      </c>
      <c r="B2302" s="8">
        <v>100</v>
      </c>
      <c r="C2302" s="8">
        <v>100</v>
      </c>
      <c r="D2302" s="8">
        <v>100</v>
      </c>
    </row>
    <row r="2303" spans="1:4">
      <c r="A2303" s="7" t="s">
        <v>4015</v>
      </c>
      <c r="B2303" s="8">
        <v>185.43</v>
      </c>
      <c r="C2303" s="8">
        <v>185.43</v>
      </c>
      <c r="D2303" s="8">
        <v>100</v>
      </c>
    </row>
    <row r="2304" spans="1:4">
      <c r="A2304" s="7" t="s">
        <v>4016</v>
      </c>
      <c r="B2304" s="8">
        <v>185.43</v>
      </c>
      <c r="C2304" s="8">
        <v>185.43</v>
      </c>
      <c r="D2304" s="8">
        <v>100</v>
      </c>
    </row>
    <row r="2305" spans="1:4">
      <c r="A2305" s="7" t="s">
        <v>4017</v>
      </c>
      <c r="B2305" s="8">
        <v>185.43</v>
      </c>
      <c r="C2305" s="8">
        <v>185.43</v>
      </c>
      <c r="D2305" s="8">
        <v>100</v>
      </c>
    </row>
    <row r="2306" spans="1:4">
      <c r="A2306" s="7" t="s">
        <v>4018</v>
      </c>
      <c r="B2306" s="8">
        <v>185.43</v>
      </c>
      <c r="C2306" s="8">
        <v>185.43</v>
      </c>
      <c r="D2306" s="8">
        <v>100</v>
      </c>
    </row>
    <row r="2307" spans="1:4">
      <c r="A2307" s="7" t="s">
        <v>4019</v>
      </c>
      <c r="B2307" s="8">
        <v>185.43</v>
      </c>
      <c r="C2307" s="8">
        <v>185.43</v>
      </c>
      <c r="D2307" s="8">
        <v>100</v>
      </c>
    </row>
    <row r="2308" spans="1:4">
      <c r="A2308" s="7" t="s">
        <v>4020</v>
      </c>
      <c r="B2308" s="8">
        <v>185.43</v>
      </c>
      <c r="C2308" s="8">
        <v>185.43</v>
      </c>
      <c r="D2308" s="8">
        <v>100</v>
      </c>
    </row>
    <row r="2309" spans="1:4">
      <c r="A2309" s="7" t="s">
        <v>4021</v>
      </c>
      <c r="B2309" s="8">
        <v>185.43</v>
      </c>
      <c r="C2309" s="8">
        <v>185.43</v>
      </c>
      <c r="D2309" s="8">
        <v>100</v>
      </c>
    </row>
    <row r="2310" spans="1:4">
      <c r="A2310" s="7" t="s">
        <v>4022</v>
      </c>
      <c r="B2310" s="8">
        <v>185.43</v>
      </c>
      <c r="C2310" s="8">
        <v>185.43</v>
      </c>
      <c r="D2310" s="8">
        <v>100</v>
      </c>
    </row>
    <row r="2311" spans="1:4">
      <c r="A2311" s="7" t="s">
        <v>4023</v>
      </c>
      <c r="B2311" s="8">
        <v>185.43</v>
      </c>
      <c r="C2311" s="8">
        <v>185.43</v>
      </c>
      <c r="D2311" s="8">
        <v>100</v>
      </c>
    </row>
    <row r="2312" spans="1:4">
      <c r="A2312" s="7" t="s">
        <v>4024</v>
      </c>
      <c r="B2312" s="8">
        <v>100</v>
      </c>
      <c r="C2312" s="8">
        <v>100</v>
      </c>
      <c r="D2312" s="8">
        <v>100</v>
      </c>
    </row>
    <row r="2313" spans="1:4">
      <c r="A2313" s="7" t="s">
        <v>4025</v>
      </c>
      <c r="B2313" s="8">
        <v>185.43</v>
      </c>
      <c r="C2313" s="8">
        <v>185.43</v>
      </c>
      <c r="D2313" s="8">
        <v>100</v>
      </c>
    </row>
    <row r="2314" spans="1:4">
      <c r="A2314" s="7" t="s">
        <v>4026</v>
      </c>
      <c r="B2314" s="8">
        <v>185.43</v>
      </c>
      <c r="C2314" s="8">
        <v>185.43</v>
      </c>
      <c r="D2314" s="8">
        <v>100</v>
      </c>
    </row>
    <row r="2315" spans="1:4">
      <c r="A2315" s="7" t="s">
        <v>4027</v>
      </c>
      <c r="B2315" s="8">
        <v>575.13</v>
      </c>
      <c r="C2315" s="8">
        <v>672.4</v>
      </c>
      <c r="D2315" s="8">
        <v>85.53</v>
      </c>
    </row>
    <row r="2316" spans="1:4">
      <c r="A2316" s="7" t="s">
        <v>1574</v>
      </c>
      <c r="B2316" s="8">
        <v>100</v>
      </c>
      <c r="C2316" s="8">
        <v>100</v>
      </c>
      <c r="D2316" s="8">
        <v>100</v>
      </c>
    </row>
    <row r="2317" spans="1:4">
      <c r="A2317" s="7" t="s">
        <v>4028</v>
      </c>
      <c r="B2317" s="8">
        <v>100</v>
      </c>
      <c r="C2317" s="8">
        <v>100</v>
      </c>
      <c r="D2317" s="8">
        <v>100</v>
      </c>
    </row>
    <row r="2318" spans="1:4">
      <c r="A2318" s="7" t="s">
        <v>4029</v>
      </c>
      <c r="B2318" s="8">
        <v>909.24</v>
      </c>
      <c r="C2318" s="8">
        <v>1126.54</v>
      </c>
      <c r="D2318" s="8">
        <v>80.709999999999994</v>
      </c>
    </row>
    <row r="2319" spans="1:4">
      <c r="A2319" s="7" t="s">
        <v>1434</v>
      </c>
      <c r="B2319" s="8">
        <v>100</v>
      </c>
      <c r="C2319" s="8">
        <v>100</v>
      </c>
      <c r="D2319" s="8">
        <v>100</v>
      </c>
    </row>
    <row r="2320" spans="1:4">
      <c r="A2320" s="7" t="s">
        <v>4030</v>
      </c>
      <c r="B2320" s="8">
        <v>2499.09</v>
      </c>
      <c r="C2320" s="8">
        <v>1726.54</v>
      </c>
      <c r="D2320" s="8">
        <v>144.75</v>
      </c>
    </row>
    <row r="2321" spans="1:4">
      <c r="A2321" s="7" t="s">
        <v>2550</v>
      </c>
      <c r="B2321" s="8">
        <v>972.3</v>
      </c>
      <c r="C2321" s="8">
        <v>1226.8399999999999</v>
      </c>
      <c r="D2321" s="8">
        <v>79.25</v>
      </c>
    </row>
    <row r="2322" spans="1:4">
      <c r="A2322" s="7" t="s">
        <v>2547</v>
      </c>
      <c r="B2322" s="8">
        <v>806.02</v>
      </c>
      <c r="C2322" s="8">
        <v>1088.18</v>
      </c>
      <c r="D2322" s="8">
        <v>74.069999999999993</v>
      </c>
    </row>
    <row r="2323" spans="1:4">
      <c r="A2323" s="7" t="s">
        <v>2555</v>
      </c>
      <c r="B2323" s="8">
        <v>830.81</v>
      </c>
      <c r="C2323" s="8">
        <v>955.24</v>
      </c>
      <c r="D2323" s="8">
        <v>86.97</v>
      </c>
    </row>
    <row r="2324" spans="1:4">
      <c r="A2324" s="7" t="s">
        <v>2552</v>
      </c>
      <c r="B2324" s="8">
        <v>620.39</v>
      </c>
      <c r="C2324" s="8">
        <v>816.58</v>
      </c>
      <c r="D2324" s="8">
        <v>75.97</v>
      </c>
    </row>
    <row r="2325" spans="1:4">
      <c r="A2325" s="7" t="s">
        <v>4031</v>
      </c>
      <c r="B2325" s="8">
        <v>4833.17</v>
      </c>
      <c r="C2325" s="8">
        <v>5275.61</v>
      </c>
      <c r="D2325" s="8">
        <v>91.61</v>
      </c>
    </row>
    <row r="2326" spans="1:4">
      <c r="A2326" s="7" t="s">
        <v>4032</v>
      </c>
      <c r="B2326" s="8">
        <v>4678.26</v>
      </c>
      <c r="C2326" s="8">
        <v>4966.95</v>
      </c>
      <c r="D2326" s="8">
        <v>94.19</v>
      </c>
    </row>
    <row r="2327" spans="1:4">
      <c r="A2327" s="7" t="s">
        <v>4033</v>
      </c>
      <c r="B2327" s="8">
        <v>3316.78</v>
      </c>
      <c r="C2327" s="8">
        <v>2925.61</v>
      </c>
      <c r="D2327" s="8">
        <v>113.37</v>
      </c>
    </row>
    <row r="2328" spans="1:4">
      <c r="A2328" s="7" t="s">
        <v>4034</v>
      </c>
      <c r="B2328" s="8">
        <v>3160.78</v>
      </c>
      <c r="C2328" s="8">
        <v>2616.9499999999998</v>
      </c>
      <c r="D2328" s="8">
        <v>120.78</v>
      </c>
    </row>
    <row r="2329" spans="1:4">
      <c r="A2329" s="7" t="s">
        <v>4035</v>
      </c>
      <c r="B2329" s="8">
        <v>2731.19</v>
      </c>
      <c r="C2329" s="8">
        <v>2575.61</v>
      </c>
      <c r="D2329" s="8">
        <v>106.04</v>
      </c>
    </row>
    <row r="2330" spans="1:4">
      <c r="A2330" s="7" t="s">
        <v>4036</v>
      </c>
      <c r="B2330" s="8">
        <v>2543.94</v>
      </c>
      <c r="C2330" s="8">
        <v>2266.9499999999998</v>
      </c>
      <c r="D2330" s="8">
        <v>112.22</v>
      </c>
    </row>
    <row r="2331" spans="1:4">
      <c r="A2331" s="7" t="s">
        <v>1635</v>
      </c>
      <c r="B2331" s="8">
        <v>2993.82</v>
      </c>
      <c r="C2331" s="8">
        <v>3025.52</v>
      </c>
      <c r="D2331" s="8">
        <v>98.95</v>
      </c>
    </row>
    <row r="2332" spans="1:4">
      <c r="A2332" s="7" t="s">
        <v>4037</v>
      </c>
      <c r="B2332" s="8">
        <v>2800.15</v>
      </c>
      <c r="C2332" s="8">
        <v>2716.86</v>
      </c>
      <c r="D2332" s="8">
        <v>103.07</v>
      </c>
    </row>
    <row r="2333" spans="1:4">
      <c r="A2333" s="7" t="s">
        <v>4038</v>
      </c>
      <c r="B2333" s="8">
        <v>185.43</v>
      </c>
      <c r="C2333" s="8">
        <v>185.43</v>
      </c>
      <c r="D2333" s="8">
        <v>100</v>
      </c>
    </row>
    <row r="2334" spans="1:4">
      <c r="A2334" s="7" t="s">
        <v>4039</v>
      </c>
      <c r="B2334" s="8">
        <v>185.43</v>
      </c>
      <c r="C2334" s="8">
        <v>185.43</v>
      </c>
      <c r="D2334" s="8">
        <v>100</v>
      </c>
    </row>
    <row r="2335" spans="1:4">
      <c r="A2335" s="7" t="s">
        <v>4040</v>
      </c>
      <c r="B2335" s="8">
        <v>2557.77</v>
      </c>
      <c r="C2335" s="8">
        <v>2475.52</v>
      </c>
      <c r="D2335" s="8">
        <v>103.32</v>
      </c>
    </row>
    <row r="2336" spans="1:4">
      <c r="A2336" s="7" t="s">
        <v>4041</v>
      </c>
      <c r="B2336" s="8">
        <v>2492.4899999999998</v>
      </c>
      <c r="C2336" s="8">
        <v>2166.86</v>
      </c>
      <c r="D2336" s="8">
        <v>115.03</v>
      </c>
    </row>
    <row r="2337" spans="1:4">
      <c r="A2337" s="7" t="s">
        <v>1643</v>
      </c>
      <c r="B2337" s="8">
        <v>139.75</v>
      </c>
      <c r="C2337" s="8">
        <v>139.75</v>
      </c>
      <c r="D2337" s="8">
        <v>100</v>
      </c>
    </row>
    <row r="2338" spans="1:4">
      <c r="A2338" s="7" t="s">
        <v>1644</v>
      </c>
      <c r="B2338" s="8">
        <v>90</v>
      </c>
      <c r="C2338" s="8">
        <v>90</v>
      </c>
      <c r="D2338" s="8">
        <v>100</v>
      </c>
    </row>
    <row r="2339" spans="1:4">
      <c r="A2339" s="7" t="s">
        <v>4042</v>
      </c>
      <c r="B2339" s="8">
        <v>90</v>
      </c>
      <c r="C2339" s="8">
        <v>90</v>
      </c>
      <c r="D2339" s="8">
        <v>100</v>
      </c>
    </row>
    <row r="2340" spans="1:4">
      <c r="A2340" s="7" t="s">
        <v>4043</v>
      </c>
      <c r="B2340" s="8">
        <v>90</v>
      </c>
      <c r="C2340" s="8">
        <v>90</v>
      </c>
      <c r="D2340" s="8">
        <v>100</v>
      </c>
    </row>
    <row r="2341" spans="1:4">
      <c r="A2341" s="7" t="s">
        <v>4044</v>
      </c>
      <c r="B2341" s="8">
        <v>90</v>
      </c>
      <c r="C2341" s="8">
        <v>90</v>
      </c>
      <c r="D2341" s="8">
        <v>100</v>
      </c>
    </row>
    <row r="2342" spans="1:4">
      <c r="A2342" s="7" t="s">
        <v>1646</v>
      </c>
      <c r="B2342" s="8">
        <v>90</v>
      </c>
      <c r="C2342" s="8">
        <v>90</v>
      </c>
      <c r="D2342" s="8">
        <v>100</v>
      </c>
    </row>
    <row r="2343" spans="1:4">
      <c r="A2343" s="7" t="s">
        <v>4045</v>
      </c>
      <c r="B2343" s="8">
        <v>90</v>
      </c>
      <c r="C2343" s="8">
        <v>90</v>
      </c>
      <c r="D2343" s="8">
        <v>100</v>
      </c>
    </row>
    <row r="2344" spans="1:4">
      <c r="A2344" s="7" t="s">
        <v>4046</v>
      </c>
      <c r="B2344" s="8">
        <v>90</v>
      </c>
      <c r="C2344" s="8">
        <v>90</v>
      </c>
      <c r="D2344" s="8">
        <v>100</v>
      </c>
    </row>
    <row r="2345" spans="1:4">
      <c r="A2345" s="7" t="s">
        <v>4047</v>
      </c>
      <c r="B2345" s="8">
        <v>90</v>
      </c>
      <c r="C2345" s="8">
        <v>90</v>
      </c>
      <c r="D2345" s="8">
        <v>100</v>
      </c>
    </row>
    <row r="2346" spans="1:4">
      <c r="A2346" s="7" t="s">
        <v>4048</v>
      </c>
      <c r="B2346" s="8">
        <v>90</v>
      </c>
      <c r="C2346" s="8">
        <v>90</v>
      </c>
      <c r="D2346" s="8">
        <v>100</v>
      </c>
    </row>
    <row r="2347" spans="1:4">
      <c r="A2347" s="7" t="s">
        <v>4049</v>
      </c>
      <c r="B2347" s="8">
        <v>90</v>
      </c>
      <c r="C2347" s="8">
        <v>90</v>
      </c>
      <c r="D2347" s="8">
        <v>100</v>
      </c>
    </row>
    <row r="2348" spans="1:4">
      <c r="A2348" s="7" t="s">
        <v>4050</v>
      </c>
      <c r="B2348" s="8">
        <v>90</v>
      </c>
      <c r="C2348" s="8">
        <v>90</v>
      </c>
      <c r="D2348" s="8">
        <v>100</v>
      </c>
    </row>
    <row r="2349" spans="1:4">
      <c r="A2349" s="7" t="s">
        <v>4051</v>
      </c>
      <c r="B2349" s="8">
        <v>90</v>
      </c>
      <c r="C2349" s="8">
        <v>90</v>
      </c>
      <c r="D2349" s="8">
        <v>100</v>
      </c>
    </row>
    <row r="2350" spans="1:4">
      <c r="A2350" s="7" t="s">
        <v>1649</v>
      </c>
      <c r="B2350" s="8">
        <v>90</v>
      </c>
      <c r="C2350" s="8">
        <v>90</v>
      </c>
      <c r="D2350" s="8">
        <v>100</v>
      </c>
    </row>
    <row r="2351" spans="1:4">
      <c r="A2351" s="7" t="s">
        <v>1650</v>
      </c>
      <c r="B2351" s="8">
        <v>90</v>
      </c>
      <c r="C2351" s="8">
        <v>90</v>
      </c>
      <c r="D2351" s="8">
        <v>100</v>
      </c>
    </row>
    <row r="2352" spans="1:4">
      <c r="A2352" s="7" t="s">
        <v>4052</v>
      </c>
      <c r="B2352" s="8">
        <v>90</v>
      </c>
      <c r="C2352" s="8">
        <v>90</v>
      </c>
      <c r="D2352" s="8">
        <v>100</v>
      </c>
    </row>
    <row r="2353" spans="1:4">
      <c r="A2353" s="7" t="s">
        <v>4053</v>
      </c>
      <c r="B2353" s="8">
        <v>90</v>
      </c>
      <c r="C2353" s="8">
        <v>90</v>
      </c>
      <c r="D2353" s="8">
        <v>100</v>
      </c>
    </row>
    <row r="2354" spans="1:4">
      <c r="A2354" s="7" t="s">
        <v>1651</v>
      </c>
      <c r="B2354" s="8">
        <v>90</v>
      </c>
      <c r="C2354" s="8">
        <v>90</v>
      </c>
      <c r="D2354" s="8">
        <v>100</v>
      </c>
    </row>
    <row r="2355" spans="1:4">
      <c r="A2355" s="7" t="s">
        <v>4054</v>
      </c>
      <c r="B2355" s="8">
        <v>90</v>
      </c>
      <c r="C2355" s="8">
        <v>90</v>
      </c>
      <c r="D2355" s="8">
        <v>100</v>
      </c>
    </row>
    <row r="2356" spans="1:4">
      <c r="A2356" s="7" t="s">
        <v>4055</v>
      </c>
      <c r="B2356" s="8">
        <v>90</v>
      </c>
      <c r="C2356" s="8">
        <v>90</v>
      </c>
      <c r="D2356" s="8">
        <v>100</v>
      </c>
    </row>
    <row r="2357" spans="1:4">
      <c r="A2357" s="7" t="s">
        <v>4056</v>
      </c>
      <c r="B2357" s="8">
        <v>90</v>
      </c>
      <c r="C2357" s="8">
        <v>90</v>
      </c>
      <c r="D2357" s="8">
        <v>100</v>
      </c>
    </row>
    <row r="2358" spans="1:4">
      <c r="A2358" s="7" t="s">
        <v>1442</v>
      </c>
      <c r="B2358" s="8">
        <v>100</v>
      </c>
      <c r="C2358" s="8">
        <v>100</v>
      </c>
      <c r="D2358" s="8">
        <v>100</v>
      </c>
    </row>
    <row r="2359" spans="1:4">
      <c r="A2359" s="7" t="s">
        <v>4057</v>
      </c>
      <c r="B2359" s="8">
        <v>3733.33</v>
      </c>
      <c r="C2359" s="8">
        <v>3701.77</v>
      </c>
      <c r="D2359" s="8">
        <v>100.85</v>
      </c>
    </row>
    <row r="2360" spans="1:4">
      <c r="A2360" s="7" t="s">
        <v>4058</v>
      </c>
      <c r="B2360" s="8">
        <v>685.25</v>
      </c>
      <c r="C2360" s="8">
        <v>776.85</v>
      </c>
      <c r="D2360" s="8">
        <v>88.21</v>
      </c>
    </row>
    <row r="2361" spans="1:4">
      <c r="A2361" s="7" t="s">
        <v>2648</v>
      </c>
      <c r="B2361" s="8">
        <v>14954.55</v>
      </c>
      <c r="C2361" s="8">
        <v>8678.35</v>
      </c>
      <c r="D2361" s="8">
        <v>172.32</v>
      </c>
    </row>
    <row r="2362" spans="1:4">
      <c r="A2362" s="7" t="s">
        <v>2647</v>
      </c>
      <c r="B2362" s="8">
        <v>631.70000000000005</v>
      </c>
      <c r="C2362" s="8">
        <v>781.42</v>
      </c>
      <c r="D2362" s="8">
        <v>80.84</v>
      </c>
    </row>
    <row r="2363" spans="1:4">
      <c r="A2363" s="7" t="s">
        <v>4059</v>
      </c>
      <c r="B2363" s="8">
        <v>9212.82</v>
      </c>
      <c r="C2363" s="8">
        <v>7641.21</v>
      </c>
      <c r="D2363" s="8">
        <v>120.57</v>
      </c>
    </row>
    <row r="2364" spans="1:4">
      <c r="A2364" s="7" t="s">
        <v>4060</v>
      </c>
      <c r="B2364" s="8">
        <v>423.74</v>
      </c>
      <c r="C2364" s="8">
        <v>415.91</v>
      </c>
      <c r="D2364" s="8">
        <v>101.88</v>
      </c>
    </row>
    <row r="2365" spans="1:4">
      <c r="A2365" s="7" t="s">
        <v>2640</v>
      </c>
      <c r="B2365" s="8">
        <v>17313.439999999999</v>
      </c>
      <c r="C2365" s="8">
        <v>9101.2099999999991</v>
      </c>
      <c r="D2365" s="8">
        <v>190.23</v>
      </c>
    </row>
    <row r="2366" spans="1:4">
      <c r="A2366" s="7" t="s">
        <v>2639</v>
      </c>
      <c r="B2366" s="8">
        <v>592.80999999999995</v>
      </c>
      <c r="C2366" s="8">
        <v>610.48</v>
      </c>
      <c r="D2366" s="8">
        <v>97.11</v>
      </c>
    </row>
    <row r="2367" spans="1:4">
      <c r="A2367" s="7" t="s">
        <v>4061</v>
      </c>
      <c r="B2367" s="8">
        <v>5026.1499999999996</v>
      </c>
      <c r="C2367" s="8">
        <v>5252.07</v>
      </c>
      <c r="D2367" s="8">
        <v>95.7</v>
      </c>
    </row>
    <row r="2368" spans="1:4">
      <c r="A2368" s="7" t="s">
        <v>4062</v>
      </c>
      <c r="B2368" s="8">
        <v>445.89</v>
      </c>
      <c r="C2368" s="8">
        <v>476.22</v>
      </c>
      <c r="D2368" s="8">
        <v>93.63</v>
      </c>
    </row>
    <row r="2369" spans="1:4">
      <c r="A2369" s="7" t="s">
        <v>2642</v>
      </c>
      <c r="B2369" s="8">
        <v>14229.62</v>
      </c>
      <c r="C2369" s="8">
        <v>8241.2099999999991</v>
      </c>
      <c r="D2369" s="8">
        <v>172.66</v>
      </c>
    </row>
    <row r="2370" spans="1:4">
      <c r="A2370" s="7" t="s">
        <v>2641</v>
      </c>
      <c r="B2370" s="8">
        <v>617.79</v>
      </c>
      <c r="C2370" s="8">
        <v>670.79</v>
      </c>
      <c r="D2370" s="8">
        <v>92.1</v>
      </c>
    </row>
    <row r="2371" spans="1:4">
      <c r="A2371" s="7" t="s">
        <v>4063</v>
      </c>
      <c r="B2371" s="8">
        <v>8897.76</v>
      </c>
      <c r="C2371" s="8">
        <v>5341.77</v>
      </c>
      <c r="D2371" s="8">
        <v>166.57</v>
      </c>
    </row>
    <row r="2372" spans="1:4">
      <c r="A2372" s="7" t="s">
        <v>4064</v>
      </c>
      <c r="B2372" s="8">
        <v>454.54</v>
      </c>
      <c r="C2372" s="8">
        <v>476.22</v>
      </c>
      <c r="D2372" s="8">
        <v>95.45</v>
      </c>
    </row>
    <row r="2373" spans="1:4">
      <c r="A2373" s="7" t="s">
        <v>4065</v>
      </c>
      <c r="B2373" s="8">
        <v>16694.009999999998</v>
      </c>
      <c r="C2373" s="8">
        <v>7055.55</v>
      </c>
      <c r="D2373" s="8">
        <v>236.61</v>
      </c>
    </row>
    <row r="2374" spans="1:4">
      <c r="A2374" s="7" t="s">
        <v>4066</v>
      </c>
      <c r="B2374" s="8">
        <v>617.79</v>
      </c>
      <c r="C2374" s="8">
        <v>670.79</v>
      </c>
      <c r="D2374" s="8">
        <v>92.1</v>
      </c>
    </row>
    <row r="2375" spans="1:4">
      <c r="A2375" s="7" t="s">
        <v>4067</v>
      </c>
      <c r="B2375" s="8">
        <v>454.3</v>
      </c>
      <c r="C2375" s="8">
        <v>476.22</v>
      </c>
      <c r="D2375" s="8">
        <v>95.4</v>
      </c>
    </row>
    <row r="2376" spans="1:4">
      <c r="A2376" s="7" t="s">
        <v>4068</v>
      </c>
      <c r="B2376" s="8">
        <v>2114.79</v>
      </c>
      <c r="C2376" s="8">
        <v>2472.42</v>
      </c>
      <c r="D2376" s="8">
        <v>85.54</v>
      </c>
    </row>
    <row r="2377" spans="1:4">
      <c r="A2377" s="7" t="s">
        <v>4069</v>
      </c>
      <c r="B2377" s="8">
        <v>617.79</v>
      </c>
      <c r="C2377" s="8">
        <v>670.79</v>
      </c>
      <c r="D2377" s="8">
        <v>92.1</v>
      </c>
    </row>
    <row r="2378" spans="1:4">
      <c r="A2378" s="7" t="s">
        <v>4070</v>
      </c>
      <c r="B2378" s="8">
        <v>468.51</v>
      </c>
      <c r="C2378" s="8">
        <v>536.54</v>
      </c>
      <c r="D2378" s="8">
        <v>87.32</v>
      </c>
    </row>
    <row r="2379" spans="1:4">
      <c r="A2379" s="7" t="s">
        <v>4071</v>
      </c>
      <c r="B2379" s="8">
        <v>1923.01</v>
      </c>
      <c r="C2379" s="8">
        <v>2342.42</v>
      </c>
      <c r="D2379" s="8">
        <v>82.09</v>
      </c>
    </row>
    <row r="2380" spans="1:4">
      <c r="A2380" s="7" t="s">
        <v>4072</v>
      </c>
      <c r="B2380" s="8">
        <v>642.78</v>
      </c>
      <c r="C2380" s="8">
        <v>731.11</v>
      </c>
      <c r="D2380" s="8">
        <v>87.92</v>
      </c>
    </row>
    <row r="2381" spans="1:4">
      <c r="A2381" s="7" t="s">
        <v>4073</v>
      </c>
      <c r="B2381" s="8">
        <v>479.52</v>
      </c>
      <c r="C2381" s="8">
        <v>536.54</v>
      </c>
      <c r="D2381" s="8">
        <v>89.37</v>
      </c>
    </row>
    <row r="2382" spans="1:4">
      <c r="A2382" s="7" t="s">
        <v>4074</v>
      </c>
      <c r="B2382" s="8">
        <v>3110.42</v>
      </c>
      <c r="C2382" s="8">
        <v>1527.78</v>
      </c>
      <c r="D2382" s="8">
        <v>203.59</v>
      </c>
    </row>
    <row r="2383" spans="1:4">
      <c r="A2383" s="7" t="s">
        <v>4075</v>
      </c>
      <c r="B2383" s="8">
        <v>642.78</v>
      </c>
      <c r="C2383" s="8">
        <v>731.11</v>
      </c>
      <c r="D2383" s="8">
        <v>87.92</v>
      </c>
    </row>
    <row r="2384" spans="1:4">
      <c r="A2384" s="7" t="s">
        <v>4076</v>
      </c>
      <c r="B2384" s="8">
        <v>421.59</v>
      </c>
      <c r="C2384" s="8">
        <v>415.91</v>
      </c>
      <c r="D2384" s="8">
        <v>101.37</v>
      </c>
    </row>
    <row r="2385" spans="1:4">
      <c r="A2385" s="7" t="s">
        <v>4077</v>
      </c>
      <c r="B2385" s="8">
        <v>2841.2</v>
      </c>
      <c r="C2385" s="8">
        <v>2699.22</v>
      </c>
      <c r="D2385" s="8">
        <v>105.26</v>
      </c>
    </row>
    <row r="2386" spans="1:4">
      <c r="A2386" s="7" t="s">
        <v>4078</v>
      </c>
      <c r="B2386" s="8">
        <v>592.80999999999995</v>
      </c>
      <c r="C2386" s="8">
        <v>610.48</v>
      </c>
      <c r="D2386" s="8">
        <v>97.11</v>
      </c>
    </row>
    <row r="2387" spans="1:4">
      <c r="A2387" s="7" t="s">
        <v>4079</v>
      </c>
      <c r="B2387" s="8">
        <v>5746.54</v>
      </c>
      <c r="C2387" s="8">
        <v>5921.77</v>
      </c>
      <c r="D2387" s="8">
        <v>97.04</v>
      </c>
    </row>
    <row r="2388" spans="1:4">
      <c r="A2388" s="7" t="s">
        <v>4080</v>
      </c>
      <c r="B2388" s="8">
        <v>419.49</v>
      </c>
      <c r="C2388" s="8">
        <v>415.91</v>
      </c>
      <c r="D2388" s="8">
        <v>100.86</v>
      </c>
    </row>
    <row r="2389" spans="1:4">
      <c r="A2389" s="7" t="s">
        <v>2381</v>
      </c>
      <c r="B2389" s="8">
        <v>12251.95</v>
      </c>
      <c r="C2389" s="8">
        <v>8392.99</v>
      </c>
      <c r="D2389" s="8">
        <v>145.97999999999999</v>
      </c>
    </row>
    <row r="2390" spans="1:4">
      <c r="A2390" s="7" t="s">
        <v>2380</v>
      </c>
      <c r="B2390" s="8">
        <v>592.80999999999995</v>
      </c>
      <c r="C2390" s="8">
        <v>610.48</v>
      </c>
      <c r="D2390" s="8">
        <v>97.11</v>
      </c>
    </row>
    <row r="2391" spans="1:4">
      <c r="A2391" s="7" t="s">
        <v>4081</v>
      </c>
      <c r="B2391" s="8">
        <v>6143.88</v>
      </c>
      <c r="C2391" s="8">
        <v>6461.77</v>
      </c>
      <c r="D2391" s="8">
        <v>95.08</v>
      </c>
    </row>
    <row r="2392" spans="1:4">
      <c r="A2392" s="7" t="s">
        <v>4082</v>
      </c>
      <c r="B2392" s="8">
        <v>480.16</v>
      </c>
      <c r="C2392" s="8">
        <v>536.54</v>
      </c>
      <c r="D2392" s="8">
        <v>89.49</v>
      </c>
    </row>
    <row r="2393" spans="1:4">
      <c r="A2393" s="7" t="s">
        <v>2383</v>
      </c>
      <c r="B2393" s="8">
        <v>13095.04</v>
      </c>
      <c r="C2393" s="8">
        <v>8586.01</v>
      </c>
      <c r="D2393" s="8">
        <v>152.52000000000001</v>
      </c>
    </row>
    <row r="2394" spans="1:4">
      <c r="A2394" s="7" t="s">
        <v>2382</v>
      </c>
      <c r="B2394" s="8">
        <v>642.78</v>
      </c>
      <c r="C2394" s="8">
        <v>731.11</v>
      </c>
      <c r="D2394" s="8">
        <v>87.92</v>
      </c>
    </row>
    <row r="2395" spans="1:4">
      <c r="A2395" s="7" t="s">
        <v>4083</v>
      </c>
      <c r="B2395" s="8">
        <v>6090.98</v>
      </c>
      <c r="C2395" s="8">
        <v>6361.77</v>
      </c>
      <c r="D2395" s="8">
        <v>95.74</v>
      </c>
    </row>
    <row r="2396" spans="1:4">
      <c r="A2396" s="7" t="s">
        <v>4084</v>
      </c>
      <c r="B2396" s="8">
        <v>480.25</v>
      </c>
      <c r="C2396" s="8">
        <v>536.54</v>
      </c>
      <c r="D2396" s="8">
        <v>89.51</v>
      </c>
    </row>
    <row r="2397" spans="1:4">
      <c r="A2397" s="7" t="s">
        <v>4085</v>
      </c>
      <c r="B2397" s="8">
        <v>12311.29</v>
      </c>
      <c r="C2397" s="8">
        <v>8366.01</v>
      </c>
      <c r="D2397" s="8">
        <v>147.16</v>
      </c>
    </row>
    <row r="2398" spans="1:4">
      <c r="A2398" s="7" t="s">
        <v>4086</v>
      </c>
      <c r="B2398" s="8">
        <v>642.78</v>
      </c>
      <c r="C2398" s="8">
        <v>731.11</v>
      </c>
      <c r="D2398" s="8">
        <v>87.92</v>
      </c>
    </row>
    <row r="2399" spans="1:4">
      <c r="A2399" s="7" t="s">
        <v>4087</v>
      </c>
      <c r="B2399" s="8">
        <v>7513.16</v>
      </c>
      <c r="C2399" s="8">
        <v>7381.21</v>
      </c>
      <c r="D2399" s="8">
        <v>101.79</v>
      </c>
    </row>
    <row r="2400" spans="1:4">
      <c r="A2400" s="7" t="s">
        <v>4088</v>
      </c>
      <c r="B2400" s="8">
        <v>685.42</v>
      </c>
      <c r="C2400" s="8">
        <v>776.85</v>
      </c>
      <c r="D2400" s="8">
        <v>88.23</v>
      </c>
    </row>
    <row r="2401" spans="1:4">
      <c r="A2401" s="7" t="s">
        <v>4089</v>
      </c>
      <c r="B2401" s="8">
        <v>7355.05</v>
      </c>
      <c r="C2401" s="8">
        <v>5511.21</v>
      </c>
      <c r="D2401" s="8">
        <v>133.46</v>
      </c>
    </row>
    <row r="2402" spans="1:4">
      <c r="A2402" s="7" t="s">
        <v>4090</v>
      </c>
      <c r="B2402" s="8">
        <v>634.46</v>
      </c>
      <c r="C2402" s="8">
        <v>781.42</v>
      </c>
      <c r="D2402" s="8">
        <v>81.19</v>
      </c>
    </row>
    <row r="2403" spans="1:4">
      <c r="A2403" s="7" t="s">
        <v>4091</v>
      </c>
      <c r="B2403" s="8">
        <v>451.43</v>
      </c>
      <c r="C2403" s="8">
        <v>441.22</v>
      </c>
      <c r="D2403" s="8">
        <v>102.31</v>
      </c>
    </row>
    <row r="2404" spans="1:4">
      <c r="A2404" s="7" t="s">
        <v>4092</v>
      </c>
      <c r="B2404" s="8">
        <v>6662.45</v>
      </c>
      <c r="C2404" s="8">
        <v>7421.21</v>
      </c>
      <c r="D2404" s="8">
        <v>89.78</v>
      </c>
    </row>
    <row r="2405" spans="1:4">
      <c r="A2405" s="7" t="s">
        <v>4093</v>
      </c>
      <c r="B2405" s="8">
        <v>592.80999999999995</v>
      </c>
      <c r="C2405" s="8">
        <v>610.48</v>
      </c>
      <c r="D2405" s="8">
        <v>97.11</v>
      </c>
    </row>
    <row r="2406" spans="1:4">
      <c r="A2406" s="7" t="s">
        <v>4094</v>
      </c>
      <c r="B2406" s="8">
        <v>483.33</v>
      </c>
      <c r="C2406" s="8">
        <v>536.54</v>
      </c>
      <c r="D2406" s="8">
        <v>90.08</v>
      </c>
    </row>
    <row r="2407" spans="1:4">
      <c r="A2407" s="7" t="s">
        <v>4095</v>
      </c>
      <c r="B2407" s="8">
        <v>9511</v>
      </c>
      <c r="C2407" s="8">
        <v>6101.77</v>
      </c>
      <c r="D2407" s="8">
        <v>155.87</v>
      </c>
    </row>
    <row r="2408" spans="1:4">
      <c r="A2408" s="7" t="s">
        <v>4096</v>
      </c>
      <c r="B2408" s="8">
        <v>642.78</v>
      </c>
      <c r="C2408" s="8">
        <v>731.11</v>
      </c>
      <c r="D2408" s="8">
        <v>87.92</v>
      </c>
    </row>
    <row r="2409" spans="1:4">
      <c r="A2409" s="7" t="s">
        <v>4097</v>
      </c>
      <c r="B2409" s="8">
        <v>480.34</v>
      </c>
      <c r="C2409" s="8">
        <v>501.53</v>
      </c>
      <c r="D2409" s="8">
        <v>95.77</v>
      </c>
    </row>
    <row r="2410" spans="1:4">
      <c r="A2410" s="7" t="s">
        <v>4098</v>
      </c>
      <c r="B2410" s="8">
        <v>9477.93</v>
      </c>
      <c r="C2410" s="8">
        <v>8106.01</v>
      </c>
      <c r="D2410" s="8">
        <v>116.92</v>
      </c>
    </row>
    <row r="2411" spans="1:4">
      <c r="A2411" s="7" t="s">
        <v>4099</v>
      </c>
      <c r="B2411" s="8">
        <v>617.79</v>
      </c>
      <c r="C2411" s="8">
        <v>670.79</v>
      </c>
      <c r="D2411" s="8">
        <v>92.1</v>
      </c>
    </row>
    <row r="2412" spans="1:4">
      <c r="A2412" s="7" t="s">
        <v>2478</v>
      </c>
      <c r="B2412" s="8">
        <v>7681.39</v>
      </c>
      <c r="C2412" s="8">
        <v>4549.6499999999996</v>
      </c>
      <c r="D2412" s="8">
        <v>168.83</v>
      </c>
    </row>
    <row r="2413" spans="1:4">
      <c r="A2413" s="7" t="s">
        <v>2477</v>
      </c>
      <c r="B2413" s="8">
        <v>428.28</v>
      </c>
      <c r="C2413" s="8">
        <v>415.91</v>
      </c>
      <c r="D2413" s="8">
        <v>102.97</v>
      </c>
    </row>
    <row r="2414" spans="1:4">
      <c r="A2414" s="7" t="s">
        <v>2377</v>
      </c>
      <c r="B2414" s="8">
        <v>11936.18</v>
      </c>
      <c r="C2414" s="8">
        <v>4074.22</v>
      </c>
      <c r="D2414" s="8">
        <v>292.97000000000003</v>
      </c>
    </row>
    <row r="2415" spans="1:4">
      <c r="A2415" s="7" t="s">
        <v>2376</v>
      </c>
      <c r="B2415" s="8">
        <v>592.80999999999995</v>
      </c>
      <c r="C2415" s="8">
        <v>610.48</v>
      </c>
      <c r="D2415" s="8">
        <v>97.11</v>
      </c>
    </row>
    <row r="2416" spans="1:4">
      <c r="A2416" s="7" t="s">
        <v>4100</v>
      </c>
      <c r="B2416" s="8">
        <v>7639.29</v>
      </c>
      <c r="C2416" s="8">
        <v>2350.65</v>
      </c>
      <c r="D2416" s="8">
        <v>324.99</v>
      </c>
    </row>
    <row r="2417" spans="1:4">
      <c r="A2417" s="7" t="s">
        <v>4101</v>
      </c>
      <c r="B2417" s="8">
        <v>470.15</v>
      </c>
      <c r="C2417" s="8">
        <v>536.54</v>
      </c>
      <c r="D2417" s="8">
        <v>87.63</v>
      </c>
    </row>
    <row r="2418" spans="1:4">
      <c r="A2418" s="7" t="s">
        <v>2371</v>
      </c>
      <c r="B2418" s="8">
        <v>4629.53</v>
      </c>
      <c r="C2418" s="8">
        <v>3275.67</v>
      </c>
      <c r="D2418" s="8">
        <v>141.33000000000001</v>
      </c>
    </row>
    <row r="2419" spans="1:4">
      <c r="A2419" s="7" t="s">
        <v>2370</v>
      </c>
      <c r="B2419" s="8">
        <v>642.78</v>
      </c>
      <c r="C2419" s="8">
        <v>731.11</v>
      </c>
      <c r="D2419" s="8">
        <v>87.92</v>
      </c>
    </row>
    <row r="2420" spans="1:4">
      <c r="A2420" s="7" t="s">
        <v>4102</v>
      </c>
      <c r="B2420" s="8">
        <v>7663.21</v>
      </c>
      <c r="C2420" s="8">
        <v>4409.6499999999996</v>
      </c>
      <c r="D2420" s="8">
        <v>173.78</v>
      </c>
    </row>
    <row r="2421" spans="1:4">
      <c r="A2421" s="7" t="s">
        <v>4103</v>
      </c>
      <c r="B2421" s="8">
        <v>446.25</v>
      </c>
      <c r="C2421" s="8">
        <v>476.22</v>
      </c>
      <c r="D2421" s="8">
        <v>93.71</v>
      </c>
    </row>
    <row r="2422" spans="1:4">
      <c r="A2422" s="7" t="s">
        <v>2373</v>
      </c>
      <c r="B2422" s="8">
        <v>4437.7700000000004</v>
      </c>
      <c r="C2422" s="8">
        <v>3289.31</v>
      </c>
      <c r="D2422" s="8">
        <v>134.91999999999999</v>
      </c>
    </row>
    <row r="2423" spans="1:4">
      <c r="A2423" s="7" t="s">
        <v>2372</v>
      </c>
      <c r="B2423" s="8">
        <v>617.79</v>
      </c>
      <c r="C2423" s="8">
        <v>670.79</v>
      </c>
      <c r="D2423" s="8">
        <v>92.1</v>
      </c>
    </row>
    <row r="2424" spans="1:4">
      <c r="A2424" s="7" t="s">
        <v>2551</v>
      </c>
      <c r="B2424" s="8">
        <v>6938.9</v>
      </c>
      <c r="C2424" s="8">
        <v>5971.29</v>
      </c>
      <c r="D2424" s="8">
        <v>116.2</v>
      </c>
    </row>
    <row r="2425" spans="1:4">
      <c r="A2425" s="7" t="s">
        <v>2556</v>
      </c>
      <c r="B2425" s="8">
        <v>6369.49</v>
      </c>
      <c r="C2425" s="8">
        <v>5174.43</v>
      </c>
      <c r="D2425" s="8">
        <v>123.1</v>
      </c>
    </row>
    <row r="2426" spans="1:4">
      <c r="A2426" s="7" t="s">
        <v>4104</v>
      </c>
      <c r="B2426" s="8">
        <v>162.29</v>
      </c>
      <c r="C2426" s="8">
        <v>162.29</v>
      </c>
      <c r="D2426" s="8">
        <v>100</v>
      </c>
    </row>
    <row r="2427" spans="1:4">
      <c r="A2427" s="7" t="s">
        <v>4105</v>
      </c>
      <c r="B2427" s="8">
        <v>106.92</v>
      </c>
      <c r="C2427" s="8">
        <v>106.92</v>
      </c>
      <c r="D2427" s="8">
        <v>100</v>
      </c>
    </row>
    <row r="2428" spans="1:4">
      <c r="A2428" s="7" t="s">
        <v>4106</v>
      </c>
      <c r="B2428" s="8">
        <v>117.28</v>
      </c>
      <c r="C2428" s="8">
        <v>131.91999999999999</v>
      </c>
      <c r="D2428" s="8">
        <v>88.9</v>
      </c>
    </row>
    <row r="2429" spans="1:4">
      <c r="A2429" s="7" t="s">
        <v>4107</v>
      </c>
      <c r="B2429" s="8">
        <v>274.06</v>
      </c>
      <c r="C2429" s="8">
        <v>263.7</v>
      </c>
      <c r="D2429" s="8">
        <v>103.93</v>
      </c>
    </row>
    <row r="2430" spans="1:4">
      <c r="A2430" s="7" t="s">
        <v>4108</v>
      </c>
      <c r="B2430" s="8">
        <v>179.7</v>
      </c>
      <c r="C2430" s="8">
        <v>179.7</v>
      </c>
      <c r="D2430" s="8">
        <v>100</v>
      </c>
    </row>
    <row r="2431" spans="1:4">
      <c r="A2431" s="7" t="s">
        <v>4109</v>
      </c>
      <c r="B2431" s="8">
        <v>98.21</v>
      </c>
      <c r="C2431" s="8">
        <v>127.5</v>
      </c>
      <c r="D2431" s="8">
        <v>77.03</v>
      </c>
    </row>
    <row r="2432" spans="1:4">
      <c r="A2432" s="7" t="s">
        <v>2549</v>
      </c>
      <c r="B2432" s="8">
        <v>97</v>
      </c>
      <c r="C2432" s="8">
        <v>97</v>
      </c>
      <c r="D2432" s="8">
        <v>100</v>
      </c>
    </row>
    <row r="2433" spans="1:4">
      <c r="A2433" s="7" t="s">
        <v>4110</v>
      </c>
      <c r="B2433" s="8">
        <v>560.39</v>
      </c>
      <c r="C2433" s="8">
        <v>581.54</v>
      </c>
      <c r="D2433" s="8">
        <v>96.36</v>
      </c>
    </row>
    <row r="2434" spans="1:4">
      <c r="A2434" s="7" t="s">
        <v>2548</v>
      </c>
      <c r="B2434" s="8">
        <v>169.07</v>
      </c>
      <c r="C2434" s="8">
        <v>172</v>
      </c>
      <c r="D2434" s="8">
        <v>98.3</v>
      </c>
    </row>
    <row r="2435" spans="1:4">
      <c r="A2435" s="7" t="s">
        <v>4111</v>
      </c>
      <c r="B2435" s="8">
        <v>239.07</v>
      </c>
      <c r="C2435" s="8">
        <v>242</v>
      </c>
      <c r="D2435" s="8">
        <v>98.79</v>
      </c>
    </row>
    <row r="2436" spans="1:4">
      <c r="A2436" s="7" t="s">
        <v>4112</v>
      </c>
      <c r="B2436" s="8">
        <v>98.21</v>
      </c>
      <c r="C2436" s="8">
        <v>127.5</v>
      </c>
      <c r="D2436" s="8">
        <v>77.03</v>
      </c>
    </row>
    <row r="2437" spans="1:4">
      <c r="A2437" s="7" t="s">
        <v>2554</v>
      </c>
      <c r="B2437" s="8">
        <v>97</v>
      </c>
      <c r="C2437" s="8">
        <v>97</v>
      </c>
      <c r="D2437" s="8">
        <v>100</v>
      </c>
    </row>
    <row r="2438" spans="1:4">
      <c r="A2438" s="7" t="s">
        <v>4113</v>
      </c>
      <c r="B2438" s="8">
        <v>560.39</v>
      </c>
      <c r="C2438" s="8">
        <v>581.54</v>
      </c>
      <c r="D2438" s="8">
        <v>96.36</v>
      </c>
    </row>
    <row r="2439" spans="1:4">
      <c r="A2439" s="7" t="s">
        <v>2553</v>
      </c>
      <c r="B2439" s="8">
        <v>169.07</v>
      </c>
      <c r="C2439" s="8">
        <v>172</v>
      </c>
      <c r="D2439" s="8">
        <v>98.3</v>
      </c>
    </row>
    <row r="2440" spans="1:4">
      <c r="A2440" s="7" t="s">
        <v>4114</v>
      </c>
      <c r="B2440" s="8">
        <v>239.07</v>
      </c>
      <c r="C2440" s="8">
        <v>242</v>
      </c>
      <c r="D2440" s="8">
        <v>98.79</v>
      </c>
    </row>
    <row r="2441" spans="1:4">
      <c r="A2441" s="7" t="s">
        <v>4115</v>
      </c>
      <c r="B2441" s="8">
        <v>6799.66</v>
      </c>
      <c r="C2441" s="8">
        <v>7041.77</v>
      </c>
      <c r="D2441" s="8">
        <v>96.56</v>
      </c>
    </row>
    <row r="2442" spans="1:4">
      <c r="A2442" s="7" t="s">
        <v>4116</v>
      </c>
      <c r="B2442" s="8">
        <v>451.46</v>
      </c>
      <c r="C2442" s="8">
        <v>476.22</v>
      </c>
      <c r="D2442" s="8">
        <v>94.8</v>
      </c>
    </row>
    <row r="2443" spans="1:4">
      <c r="A2443" s="7" t="s">
        <v>2379</v>
      </c>
      <c r="B2443" s="8">
        <v>11123.97</v>
      </c>
      <c r="C2443" s="8">
        <v>8446.01</v>
      </c>
      <c r="D2443" s="8">
        <v>131.71</v>
      </c>
    </row>
    <row r="2444" spans="1:4">
      <c r="A2444" s="7" t="s">
        <v>2378</v>
      </c>
      <c r="B2444" s="8">
        <v>617.79</v>
      </c>
      <c r="C2444" s="8">
        <v>670.79</v>
      </c>
      <c r="D2444" s="8">
        <v>92.1</v>
      </c>
    </row>
    <row r="2445" spans="1:4">
      <c r="A2445" s="7" t="s">
        <v>4117</v>
      </c>
      <c r="B2445" s="8">
        <v>8033.73</v>
      </c>
      <c r="C2445" s="8">
        <v>6801.21</v>
      </c>
      <c r="D2445" s="8">
        <v>118.12</v>
      </c>
    </row>
    <row r="2446" spans="1:4">
      <c r="A2446" s="7" t="s">
        <v>4118</v>
      </c>
      <c r="B2446" s="8">
        <v>477.78</v>
      </c>
      <c r="C2446" s="8">
        <v>536.54</v>
      </c>
      <c r="D2446" s="8">
        <v>89.05</v>
      </c>
    </row>
    <row r="2447" spans="1:4">
      <c r="A2447" s="7" t="s">
        <v>4119</v>
      </c>
      <c r="B2447" s="8">
        <v>8156.07</v>
      </c>
      <c r="C2447" s="8">
        <v>7061.21</v>
      </c>
      <c r="D2447" s="8">
        <v>115.51</v>
      </c>
    </row>
    <row r="2448" spans="1:4">
      <c r="A2448" s="7" t="s">
        <v>4120</v>
      </c>
      <c r="B2448" s="8">
        <v>642.78</v>
      </c>
      <c r="C2448" s="8">
        <v>731.11</v>
      </c>
      <c r="D2448" s="8">
        <v>87.92</v>
      </c>
    </row>
    <row r="2449" spans="1:4">
      <c r="A2449" s="7" t="s">
        <v>4121</v>
      </c>
      <c r="B2449" s="8">
        <v>5457.73</v>
      </c>
      <c r="C2449" s="8">
        <v>6141.21</v>
      </c>
      <c r="D2449" s="8">
        <v>88.87</v>
      </c>
    </row>
    <row r="2450" spans="1:4">
      <c r="A2450" s="7" t="s">
        <v>4122</v>
      </c>
      <c r="B2450" s="8">
        <v>685.81</v>
      </c>
      <c r="C2450" s="8">
        <v>776.85</v>
      </c>
      <c r="D2450" s="8">
        <v>88.28</v>
      </c>
    </row>
    <row r="2451" spans="1:4">
      <c r="A2451" s="7" t="s">
        <v>4123</v>
      </c>
      <c r="B2451" s="8">
        <v>5630.95</v>
      </c>
      <c r="C2451" s="8">
        <v>6031.21</v>
      </c>
      <c r="D2451" s="8">
        <v>93.36</v>
      </c>
    </row>
    <row r="2452" spans="1:4">
      <c r="A2452" s="7" t="s">
        <v>4124</v>
      </c>
      <c r="B2452" s="8">
        <v>631.24</v>
      </c>
      <c r="C2452" s="8">
        <v>781.42</v>
      </c>
      <c r="D2452" s="8">
        <v>80.78</v>
      </c>
    </row>
    <row r="2453" spans="1:4">
      <c r="A2453" s="7" t="s">
        <v>4125</v>
      </c>
      <c r="B2453" s="8">
        <v>5062.05</v>
      </c>
      <c r="C2453" s="8">
        <v>5681.77</v>
      </c>
      <c r="D2453" s="8">
        <v>89.09</v>
      </c>
    </row>
    <row r="2454" spans="1:4">
      <c r="A2454" s="7" t="s">
        <v>4126</v>
      </c>
      <c r="B2454" s="8">
        <v>457.11</v>
      </c>
      <c r="C2454" s="8">
        <v>476.22</v>
      </c>
      <c r="D2454" s="8">
        <v>95.99</v>
      </c>
    </row>
    <row r="2455" spans="1:4">
      <c r="A2455" s="7" t="s">
        <v>4127</v>
      </c>
      <c r="B2455" s="8">
        <v>8439.2999999999993</v>
      </c>
      <c r="C2455" s="8">
        <v>5721.77</v>
      </c>
      <c r="D2455" s="8">
        <v>147.49</v>
      </c>
    </row>
    <row r="2456" spans="1:4">
      <c r="A2456" s="7" t="s">
        <v>4128</v>
      </c>
      <c r="B2456" s="8">
        <v>617.79</v>
      </c>
      <c r="C2456" s="8">
        <v>670.79</v>
      </c>
      <c r="D2456" s="8">
        <v>92.1</v>
      </c>
    </row>
    <row r="2457" spans="1:4">
      <c r="A2457" s="7" t="s">
        <v>4129</v>
      </c>
      <c r="B2457" s="8">
        <v>13957.14</v>
      </c>
      <c r="C2457" s="8">
        <v>7381.77</v>
      </c>
      <c r="D2457" s="8">
        <v>189.08</v>
      </c>
    </row>
    <row r="2458" spans="1:4">
      <c r="A2458" s="7" t="s">
        <v>4130</v>
      </c>
      <c r="B2458" s="8">
        <v>680.96</v>
      </c>
      <c r="C2458" s="8">
        <v>776.85</v>
      </c>
      <c r="D2458" s="8">
        <v>87.66</v>
      </c>
    </row>
    <row r="2459" spans="1:4">
      <c r="A2459" s="7" t="s">
        <v>4131</v>
      </c>
      <c r="B2459" s="8">
        <v>15669.6</v>
      </c>
      <c r="C2459" s="8">
        <v>9356.01</v>
      </c>
      <c r="D2459" s="8">
        <v>167.48</v>
      </c>
    </row>
    <row r="2460" spans="1:4">
      <c r="A2460" s="7" t="s">
        <v>4132</v>
      </c>
      <c r="B2460" s="8">
        <v>630.87</v>
      </c>
      <c r="C2460" s="8">
        <v>781.42</v>
      </c>
      <c r="D2460" s="8">
        <v>80.73</v>
      </c>
    </row>
    <row r="2461" spans="1:4">
      <c r="A2461" s="7" t="s">
        <v>4133</v>
      </c>
      <c r="B2461" s="8">
        <v>6351.52</v>
      </c>
      <c r="C2461" s="8">
        <v>7421.77</v>
      </c>
      <c r="D2461" s="8">
        <v>85.58</v>
      </c>
    </row>
    <row r="2462" spans="1:4">
      <c r="A2462" s="7" t="s">
        <v>4134</v>
      </c>
      <c r="B2462" s="8">
        <v>677.94</v>
      </c>
      <c r="C2462" s="8">
        <v>776.85</v>
      </c>
      <c r="D2462" s="8">
        <v>87.27</v>
      </c>
    </row>
    <row r="2463" spans="1:4">
      <c r="A2463" s="7" t="s">
        <v>4135</v>
      </c>
      <c r="B2463" s="8">
        <v>14399.27</v>
      </c>
      <c r="C2463" s="8">
        <v>9616.01</v>
      </c>
      <c r="D2463" s="8">
        <v>149.74</v>
      </c>
    </row>
    <row r="2464" spans="1:4">
      <c r="A2464" s="7" t="s">
        <v>4136</v>
      </c>
      <c r="B2464" s="8">
        <v>632.91999999999996</v>
      </c>
      <c r="C2464" s="8">
        <v>781.42</v>
      </c>
      <c r="D2464" s="8">
        <v>81</v>
      </c>
    </row>
    <row r="2465" spans="1:4">
      <c r="A2465" s="7" t="s">
        <v>2476</v>
      </c>
      <c r="B2465" s="8">
        <v>7680.63</v>
      </c>
      <c r="C2465" s="8">
        <v>2622.3</v>
      </c>
      <c r="D2465" s="8">
        <v>292.89999999999998</v>
      </c>
    </row>
    <row r="2466" spans="1:4">
      <c r="A2466" s="7" t="s">
        <v>2475</v>
      </c>
      <c r="B2466" s="8">
        <v>428.62</v>
      </c>
      <c r="C2466" s="8">
        <v>415.91</v>
      </c>
      <c r="D2466" s="8">
        <v>103.06</v>
      </c>
    </row>
    <row r="2467" spans="1:4">
      <c r="A2467" s="7" t="s">
        <v>2375</v>
      </c>
      <c r="B2467" s="8">
        <v>4750.72</v>
      </c>
      <c r="C2467" s="8">
        <v>3515.76</v>
      </c>
      <c r="D2467" s="8">
        <v>135.13</v>
      </c>
    </row>
    <row r="2468" spans="1:4">
      <c r="A2468" s="7" t="s">
        <v>2374</v>
      </c>
      <c r="B2468" s="8">
        <v>592.80999999999995</v>
      </c>
      <c r="C2468" s="8">
        <v>610.48</v>
      </c>
      <c r="D2468" s="8">
        <v>97.11</v>
      </c>
    </row>
    <row r="2469" spans="1:4">
      <c r="A2469" s="7" t="s">
        <v>4137</v>
      </c>
      <c r="B2469" s="8">
        <v>940.05</v>
      </c>
      <c r="C2469" s="8">
        <v>1212.54</v>
      </c>
      <c r="D2469" s="8">
        <v>77.53</v>
      </c>
    </row>
    <row r="2470" spans="1:4">
      <c r="A2470" s="7" t="s">
        <v>4138</v>
      </c>
      <c r="B2470" s="8">
        <v>505.09</v>
      </c>
      <c r="C2470" s="8">
        <v>561.85</v>
      </c>
      <c r="D2470" s="8">
        <v>89.9</v>
      </c>
    </row>
    <row r="2471" spans="1:4">
      <c r="A2471" s="7" t="s">
        <v>4139</v>
      </c>
      <c r="B2471" s="8">
        <v>3477.87</v>
      </c>
      <c r="C2471" s="8">
        <v>2610.6999999999998</v>
      </c>
      <c r="D2471" s="8">
        <v>133.22</v>
      </c>
    </row>
    <row r="2472" spans="1:4">
      <c r="A2472" s="7" t="s">
        <v>4140</v>
      </c>
      <c r="B2472" s="8">
        <v>642.78</v>
      </c>
      <c r="C2472" s="8">
        <v>731.11</v>
      </c>
      <c r="D2472" s="8">
        <v>87.92</v>
      </c>
    </row>
    <row r="2473" spans="1:4">
      <c r="A2473" s="7" t="s">
        <v>4141</v>
      </c>
      <c r="B2473" s="8">
        <v>84.76</v>
      </c>
      <c r="C2473" s="8">
        <v>84.76</v>
      </c>
      <c r="D2473" s="8">
        <v>100</v>
      </c>
    </row>
    <row r="2474" spans="1:4">
      <c r="A2474" s="7" t="s">
        <v>4142</v>
      </c>
      <c r="B2474" s="8">
        <v>9193.2099999999991</v>
      </c>
      <c r="C2474" s="8">
        <v>7915.52</v>
      </c>
      <c r="D2474" s="8">
        <v>116.14</v>
      </c>
    </row>
    <row r="2475" spans="1:4">
      <c r="A2475" s="7" t="s">
        <v>4143</v>
      </c>
      <c r="B2475" s="8">
        <v>681.46</v>
      </c>
      <c r="C2475" s="8">
        <v>776.85</v>
      </c>
      <c r="D2475" s="8">
        <v>87.72</v>
      </c>
    </row>
    <row r="2476" spans="1:4">
      <c r="A2476" s="7" t="s">
        <v>4144</v>
      </c>
      <c r="B2476" s="8">
        <v>16252.1</v>
      </c>
      <c r="C2476" s="8">
        <v>8185.52</v>
      </c>
      <c r="D2476" s="8">
        <v>198.55</v>
      </c>
    </row>
    <row r="2477" spans="1:4">
      <c r="A2477" s="7" t="s">
        <v>4145</v>
      </c>
      <c r="B2477" s="8">
        <v>637.1</v>
      </c>
      <c r="C2477" s="8">
        <v>781.42</v>
      </c>
      <c r="D2477" s="8">
        <v>81.53</v>
      </c>
    </row>
    <row r="2478" spans="1:4">
      <c r="A2478" s="7" t="s">
        <v>4146</v>
      </c>
      <c r="B2478" s="8">
        <v>13479.46</v>
      </c>
      <c r="C2478" s="8">
        <v>6219.49</v>
      </c>
      <c r="D2478" s="8">
        <v>216.73</v>
      </c>
    </row>
    <row r="2479" spans="1:4">
      <c r="A2479" s="7" t="s">
        <v>4147</v>
      </c>
      <c r="B2479" s="8">
        <v>421.38</v>
      </c>
      <c r="C2479" s="8">
        <v>415.91</v>
      </c>
      <c r="D2479" s="8">
        <v>101.32</v>
      </c>
    </row>
    <row r="2480" spans="1:4">
      <c r="A2480" s="7" t="s">
        <v>4148</v>
      </c>
      <c r="B2480" s="8">
        <v>12383.72</v>
      </c>
      <c r="C2480" s="8">
        <v>7964.07</v>
      </c>
      <c r="D2480" s="8">
        <v>155.49</v>
      </c>
    </row>
    <row r="2481" spans="1:4">
      <c r="A2481" s="7" t="s">
        <v>4149</v>
      </c>
      <c r="B2481" s="8">
        <v>592.80999999999995</v>
      </c>
      <c r="C2481" s="8">
        <v>610.48</v>
      </c>
      <c r="D2481" s="8">
        <v>97.11</v>
      </c>
    </row>
    <row r="2482" spans="1:4">
      <c r="A2482" s="7" t="s">
        <v>4150</v>
      </c>
      <c r="B2482" s="8">
        <v>8608.58</v>
      </c>
      <c r="C2482" s="8">
        <v>4319.49</v>
      </c>
      <c r="D2482" s="8">
        <v>199.3</v>
      </c>
    </row>
    <row r="2483" spans="1:4">
      <c r="A2483" s="7" t="s">
        <v>4151</v>
      </c>
      <c r="B2483" s="8">
        <v>676.22</v>
      </c>
      <c r="C2483" s="8">
        <v>776.85</v>
      </c>
      <c r="D2483" s="8">
        <v>87.05</v>
      </c>
    </row>
    <row r="2484" spans="1:4">
      <c r="A2484" s="7" t="s">
        <v>2654</v>
      </c>
      <c r="B2484" s="8">
        <v>10681.51</v>
      </c>
      <c r="C2484" s="8">
        <v>7744.25</v>
      </c>
      <c r="D2484" s="8">
        <v>137.93</v>
      </c>
    </row>
    <row r="2485" spans="1:4">
      <c r="A2485" s="7" t="s">
        <v>2653</v>
      </c>
      <c r="B2485" s="8">
        <v>637.22</v>
      </c>
      <c r="C2485" s="8">
        <v>781.42</v>
      </c>
      <c r="D2485" s="8">
        <v>81.55</v>
      </c>
    </row>
    <row r="2486" spans="1:4">
      <c r="A2486" s="7" t="s">
        <v>4152</v>
      </c>
      <c r="B2486" s="8">
        <v>7639.05</v>
      </c>
      <c r="C2486" s="8">
        <v>5897.83</v>
      </c>
      <c r="D2486" s="8">
        <v>129.52000000000001</v>
      </c>
    </row>
    <row r="2487" spans="1:4">
      <c r="A2487" s="7" t="s">
        <v>4153</v>
      </c>
      <c r="B2487" s="8">
        <v>419.7</v>
      </c>
      <c r="C2487" s="8">
        <v>415.91</v>
      </c>
      <c r="D2487" s="8">
        <v>100.91</v>
      </c>
    </row>
    <row r="2488" spans="1:4">
      <c r="A2488" s="7" t="s">
        <v>2656</v>
      </c>
      <c r="B2488" s="8">
        <v>14284.45</v>
      </c>
      <c r="C2488" s="8">
        <v>7878.25</v>
      </c>
      <c r="D2488" s="8">
        <v>181.32</v>
      </c>
    </row>
    <row r="2489" spans="1:4">
      <c r="A2489" s="7" t="s">
        <v>2655</v>
      </c>
      <c r="B2489" s="8">
        <v>592.80999999999995</v>
      </c>
      <c r="C2489" s="8">
        <v>610.48</v>
      </c>
      <c r="D2489" s="8">
        <v>97.11</v>
      </c>
    </row>
    <row r="2490" spans="1:4">
      <c r="A2490" s="7" t="s">
        <v>2480</v>
      </c>
      <c r="B2490" s="8">
        <v>7422.57</v>
      </c>
      <c r="C2490" s="8">
        <v>1514.36</v>
      </c>
      <c r="D2490" s="8">
        <v>490.15</v>
      </c>
    </row>
    <row r="2491" spans="1:4">
      <c r="A2491" s="7" t="s">
        <v>2479</v>
      </c>
      <c r="B2491" s="8">
        <v>686.82</v>
      </c>
      <c r="C2491" s="8">
        <v>776.85</v>
      </c>
      <c r="D2491" s="8">
        <v>88.41</v>
      </c>
    </row>
    <row r="2492" spans="1:4">
      <c r="A2492" s="7" t="s">
        <v>2385</v>
      </c>
      <c r="B2492" s="8">
        <v>10586.42</v>
      </c>
      <c r="C2492" s="8">
        <v>4337.04</v>
      </c>
      <c r="D2492" s="8">
        <v>244.09</v>
      </c>
    </row>
    <row r="2493" spans="1:4">
      <c r="A2493" s="7" t="s">
        <v>2384</v>
      </c>
      <c r="B2493" s="8">
        <v>642.72</v>
      </c>
      <c r="C2493" s="8">
        <v>781.42</v>
      </c>
      <c r="D2493" s="8">
        <v>82.25</v>
      </c>
    </row>
    <row r="2494" spans="1:4">
      <c r="A2494" s="7" t="s">
        <v>4154</v>
      </c>
      <c r="B2494" s="8">
        <v>7131.88</v>
      </c>
      <c r="C2494" s="8">
        <v>6575.55</v>
      </c>
      <c r="D2494" s="8">
        <v>108.46</v>
      </c>
    </row>
    <row r="2495" spans="1:4">
      <c r="A2495" s="7" t="s">
        <v>4155</v>
      </c>
      <c r="B2495" s="8">
        <v>453.76</v>
      </c>
      <c r="C2495" s="8">
        <v>476.22</v>
      </c>
      <c r="D2495" s="8">
        <v>95.28</v>
      </c>
    </row>
    <row r="2496" spans="1:4">
      <c r="A2496" s="7" t="s">
        <v>4156</v>
      </c>
      <c r="B2496" s="8">
        <v>7995.64</v>
      </c>
      <c r="C2496" s="8">
        <v>7035.55</v>
      </c>
      <c r="D2496" s="8">
        <v>113.65</v>
      </c>
    </row>
    <row r="2497" spans="1:4">
      <c r="A2497" s="7" t="s">
        <v>4157</v>
      </c>
      <c r="B2497" s="8">
        <v>617.79</v>
      </c>
      <c r="C2497" s="8">
        <v>670.79</v>
      </c>
      <c r="D2497" s="8">
        <v>92.1</v>
      </c>
    </row>
    <row r="2498" spans="1:4">
      <c r="A2498" s="7" t="s">
        <v>4158</v>
      </c>
      <c r="B2498" s="8">
        <v>171.76</v>
      </c>
      <c r="C2498" s="8">
        <v>10749.45</v>
      </c>
      <c r="D2498" s="8">
        <v>1.6</v>
      </c>
    </row>
    <row r="2499" spans="1:4">
      <c r="A2499" s="7" t="s">
        <v>4159</v>
      </c>
      <c r="B2499" s="8">
        <v>47153.32</v>
      </c>
      <c r="C2499" s="8">
        <v>43327.6</v>
      </c>
      <c r="D2499" s="8">
        <v>108.83</v>
      </c>
    </row>
    <row r="2500" spans="1:4">
      <c r="A2500" s="7" t="s">
        <v>4160</v>
      </c>
      <c r="B2500" s="8">
        <v>144.43</v>
      </c>
      <c r="C2500" s="8">
        <v>10117.49</v>
      </c>
      <c r="D2500" s="8">
        <v>1.43</v>
      </c>
    </row>
    <row r="2501" spans="1:4">
      <c r="A2501" s="7" t="s">
        <v>4161</v>
      </c>
      <c r="B2501" s="8">
        <v>4634.7700000000004</v>
      </c>
      <c r="C2501" s="8">
        <v>3100.03</v>
      </c>
      <c r="D2501" s="8">
        <v>149.51</v>
      </c>
    </row>
    <row r="2502" spans="1:4">
      <c r="A2502" s="7" t="s">
        <v>4162</v>
      </c>
      <c r="B2502" s="8">
        <v>7007.13</v>
      </c>
      <c r="C2502" s="8">
        <v>6458.4</v>
      </c>
      <c r="D2502" s="8">
        <v>108.5</v>
      </c>
    </row>
    <row r="2503" spans="1:4">
      <c r="A2503" s="7" t="s">
        <v>4163</v>
      </c>
      <c r="B2503" s="8">
        <v>185.43</v>
      </c>
      <c r="C2503" s="8">
        <v>185.43</v>
      </c>
      <c r="D2503" s="8">
        <v>100</v>
      </c>
    </row>
    <row r="2504" spans="1:4">
      <c r="A2504" s="7" t="s">
        <v>4164</v>
      </c>
      <c r="B2504" s="8">
        <v>185.43</v>
      </c>
      <c r="C2504" s="8">
        <v>185.43</v>
      </c>
      <c r="D2504" s="8">
        <v>100</v>
      </c>
    </row>
    <row r="2505" spans="1:4">
      <c r="A2505" s="7" t="s">
        <v>4165</v>
      </c>
      <c r="B2505" s="8">
        <v>185.43</v>
      </c>
      <c r="C2505" s="8">
        <v>185.43</v>
      </c>
      <c r="D2505" s="8">
        <v>100</v>
      </c>
    </row>
    <row r="2506" spans="1:4">
      <c r="A2506" s="7" t="s">
        <v>4166</v>
      </c>
      <c r="B2506" s="8">
        <v>100.18</v>
      </c>
      <c r="C2506" s="8">
        <v>100.18</v>
      </c>
      <c r="D2506" s="8">
        <v>100</v>
      </c>
    </row>
    <row r="2507" spans="1:4">
      <c r="A2507" s="7" t="s">
        <v>4167</v>
      </c>
      <c r="B2507" s="8">
        <v>185.43</v>
      </c>
      <c r="C2507" s="8">
        <v>185.43</v>
      </c>
      <c r="D2507" s="8">
        <v>100</v>
      </c>
    </row>
    <row r="2508" spans="1:4">
      <c r="A2508" s="7" t="s">
        <v>4168</v>
      </c>
      <c r="B2508" s="8">
        <v>185.43</v>
      </c>
      <c r="C2508" s="8">
        <v>185.43</v>
      </c>
      <c r="D2508" s="8">
        <v>100</v>
      </c>
    </row>
    <row r="2509" spans="1:4">
      <c r="A2509" s="7" t="s">
        <v>4169</v>
      </c>
      <c r="B2509" s="8">
        <v>185.43</v>
      </c>
      <c r="C2509" s="8">
        <v>185.43</v>
      </c>
      <c r="D2509" s="8">
        <v>100</v>
      </c>
    </row>
    <row r="2510" spans="1:4">
      <c r="A2510" s="7" t="s">
        <v>4170</v>
      </c>
      <c r="B2510" s="8">
        <v>185.43</v>
      </c>
      <c r="C2510" s="8">
        <v>185.43</v>
      </c>
      <c r="D2510" s="8">
        <v>100</v>
      </c>
    </row>
    <row r="2511" spans="1:4">
      <c r="A2511" s="7" t="s">
        <v>4171</v>
      </c>
      <c r="B2511" s="8">
        <v>185.43</v>
      </c>
      <c r="C2511" s="8">
        <v>185.43</v>
      </c>
      <c r="D2511" s="8">
        <v>100</v>
      </c>
    </row>
    <row r="2512" spans="1:4">
      <c r="A2512" s="7" t="s">
        <v>4172</v>
      </c>
      <c r="B2512" s="8">
        <v>185.43</v>
      </c>
      <c r="C2512" s="8">
        <v>185.43</v>
      </c>
      <c r="D2512" s="8">
        <v>100</v>
      </c>
    </row>
    <row r="2513" spans="1:4">
      <c r="A2513" s="7" t="s">
        <v>4173</v>
      </c>
      <c r="B2513" s="8">
        <v>185.43</v>
      </c>
      <c r="C2513" s="8">
        <v>185.43</v>
      </c>
      <c r="D2513" s="8">
        <v>100</v>
      </c>
    </row>
    <row r="2514" spans="1:4">
      <c r="A2514" s="7" t="s">
        <v>4174</v>
      </c>
      <c r="B2514" s="8">
        <v>185.43</v>
      </c>
      <c r="C2514" s="8">
        <v>185.43</v>
      </c>
      <c r="D2514" s="8">
        <v>100</v>
      </c>
    </row>
    <row r="2515" spans="1:4">
      <c r="A2515" s="7" t="s">
        <v>4175</v>
      </c>
      <c r="B2515" s="8">
        <v>185.43</v>
      </c>
      <c r="C2515" s="8">
        <v>185.43</v>
      </c>
      <c r="D2515" s="8">
        <v>100</v>
      </c>
    </row>
    <row r="2516" spans="1:4">
      <c r="A2516" s="7" t="s">
        <v>4176</v>
      </c>
      <c r="B2516" s="8">
        <v>100</v>
      </c>
      <c r="C2516" s="8">
        <v>100</v>
      </c>
      <c r="D2516" s="8">
        <v>100</v>
      </c>
    </row>
    <row r="2517" spans="1:4">
      <c r="A2517" s="7" t="s">
        <v>4177</v>
      </c>
      <c r="B2517" s="8">
        <v>185.43</v>
      </c>
      <c r="C2517" s="8">
        <v>185.43</v>
      </c>
      <c r="D2517" s="8">
        <v>100</v>
      </c>
    </row>
    <row r="2518" spans="1:4">
      <c r="A2518" s="7" t="s">
        <v>4178</v>
      </c>
      <c r="B2518" s="8">
        <v>185.43</v>
      </c>
      <c r="C2518" s="8">
        <v>185.43</v>
      </c>
      <c r="D2518" s="8">
        <v>100</v>
      </c>
    </row>
    <row r="2519" spans="1:4">
      <c r="A2519" s="7" t="s">
        <v>4179</v>
      </c>
      <c r="B2519" s="8">
        <v>604.24</v>
      </c>
      <c r="C2519" s="8">
        <v>701.51</v>
      </c>
      <c r="D2519" s="8">
        <v>86.13</v>
      </c>
    </row>
    <row r="2520" spans="1:4">
      <c r="A2520" s="7" t="s">
        <v>1991</v>
      </c>
      <c r="B2520" s="8">
        <v>100</v>
      </c>
      <c r="C2520" s="8">
        <v>100</v>
      </c>
      <c r="D2520" s="8">
        <v>100</v>
      </c>
    </row>
    <row r="2521" spans="1:4">
      <c r="A2521" s="7" t="s">
        <v>4180</v>
      </c>
      <c r="B2521" s="8">
        <v>100</v>
      </c>
      <c r="C2521" s="8">
        <v>100</v>
      </c>
      <c r="D2521" s="8">
        <v>100</v>
      </c>
    </row>
    <row r="2522" spans="1:4">
      <c r="A2522" s="7" t="s">
        <v>4181</v>
      </c>
      <c r="B2522" s="8">
        <v>1693.59</v>
      </c>
      <c r="C2522" s="8">
        <v>1621.33</v>
      </c>
      <c r="D2522" s="8">
        <v>104.46</v>
      </c>
    </row>
    <row r="2523" spans="1:4">
      <c r="A2523" s="7" t="s">
        <v>1851</v>
      </c>
      <c r="B2523" s="8">
        <v>92.86</v>
      </c>
      <c r="C2523" s="8">
        <v>92.86</v>
      </c>
      <c r="D2523" s="8">
        <v>100</v>
      </c>
    </row>
    <row r="2524" spans="1:4">
      <c r="A2524" s="7" t="s">
        <v>4182</v>
      </c>
      <c r="B2524" s="8">
        <v>865.02</v>
      </c>
      <c r="C2524" s="8">
        <v>1021.33</v>
      </c>
      <c r="D2524" s="8">
        <v>84.7</v>
      </c>
    </row>
    <row r="2525" spans="1:4">
      <c r="A2525" s="7" t="s">
        <v>2560</v>
      </c>
      <c r="B2525" s="8">
        <v>972.3</v>
      </c>
      <c r="C2525" s="8">
        <v>1226.8399999999999</v>
      </c>
      <c r="D2525" s="8">
        <v>79.25</v>
      </c>
    </row>
    <row r="2526" spans="1:4">
      <c r="A2526" s="7" t="s">
        <v>2557</v>
      </c>
      <c r="B2526" s="8">
        <v>806.02</v>
      </c>
      <c r="C2526" s="8">
        <v>1088.18</v>
      </c>
      <c r="D2526" s="8">
        <v>74.069999999999993</v>
      </c>
    </row>
    <row r="2527" spans="1:4">
      <c r="A2527" s="7" t="s">
        <v>2565</v>
      </c>
      <c r="B2527" s="8">
        <v>830.81</v>
      </c>
      <c r="C2527" s="8">
        <v>955.24</v>
      </c>
      <c r="D2527" s="8">
        <v>86.97</v>
      </c>
    </row>
    <row r="2528" spans="1:4">
      <c r="A2528" s="7" t="s">
        <v>2562</v>
      </c>
      <c r="B2528" s="8">
        <v>620.39</v>
      </c>
      <c r="C2528" s="8">
        <v>816.58</v>
      </c>
      <c r="D2528" s="8">
        <v>75.97</v>
      </c>
    </row>
    <row r="2529" spans="1:4">
      <c r="A2529" s="7" t="s">
        <v>4183</v>
      </c>
      <c r="B2529" s="8">
        <v>5745.5</v>
      </c>
      <c r="C2529" s="8">
        <v>3907.6</v>
      </c>
      <c r="D2529" s="8">
        <v>147.03</v>
      </c>
    </row>
    <row r="2530" spans="1:4">
      <c r="A2530" s="7" t="s">
        <v>4184</v>
      </c>
      <c r="B2530" s="8">
        <v>5497.89</v>
      </c>
      <c r="C2530" s="8">
        <v>3598.94</v>
      </c>
      <c r="D2530" s="8">
        <v>152.76</v>
      </c>
    </row>
    <row r="2531" spans="1:4">
      <c r="A2531" s="7" t="s">
        <v>4185</v>
      </c>
      <c r="B2531" s="8">
        <v>5089.08</v>
      </c>
      <c r="C2531" s="8">
        <v>4004.58</v>
      </c>
      <c r="D2531" s="8">
        <v>127.08</v>
      </c>
    </row>
    <row r="2532" spans="1:4">
      <c r="A2532" s="7" t="s">
        <v>4186</v>
      </c>
      <c r="B2532" s="8">
        <v>5484.29</v>
      </c>
      <c r="C2532" s="8">
        <v>3895.92</v>
      </c>
      <c r="D2532" s="8">
        <v>140.77000000000001</v>
      </c>
    </row>
    <row r="2533" spans="1:4">
      <c r="A2533" s="7" t="s">
        <v>4187</v>
      </c>
      <c r="B2533" s="8">
        <v>2725.74</v>
      </c>
      <c r="C2533" s="8">
        <v>3354.58</v>
      </c>
      <c r="D2533" s="8">
        <v>81.25</v>
      </c>
    </row>
    <row r="2534" spans="1:4">
      <c r="A2534" s="7" t="s">
        <v>4188</v>
      </c>
      <c r="B2534" s="8">
        <v>2722.71</v>
      </c>
      <c r="C2534" s="8">
        <v>3245.92</v>
      </c>
      <c r="D2534" s="8">
        <v>83.88</v>
      </c>
    </row>
    <row r="2535" spans="1:4">
      <c r="A2535" s="7" t="s">
        <v>2052</v>
      </c>
      <c r="B2535" s="8">
        <v>4272.58</v>
      </c>
      <c r="C2535" s="8">
        <v>4104.46</v>
      </c>
      <c r="D2535" s="8">
        <v>104.1</v>
      </c>
    </row>
    <row r="2536" spans="1:4">
      <c r="A2536" s="7" t="s">
        <v>4189</v>
      </c>
      <c r="B2536" s="8">
        <v>4044.44</v>
      </c>
      <c r="C2536" s="8">
        <v>3995.8</v>
      </c>
      <c r="D2536" s="8">
        <v>101.22</v>
      </c>
    </row>
    <row r="2537" spans="1:4">
      <c r="A2537" s="7" t="s">
        <v>4190</v>
      </c>
      <c r="B2537" s="8">
        <v>185.43</v>
      </c>
      <c r="C2537" s="8">
        <v>185.43</v>
      </c>
      <c r="D2537" s="8">
        <v>100</v>
      </c>
    </row>
    <row r="2538" spans="1:4">
      <c r="A2538" s="7" t="s">
        <v>4191</v>
      </c>
      <c r="B2538" s="8">
        <v>185.43</v>
      </c>
      <c r="C2538" s="8">
        <v>185.43</v>
      </c>
      <c r="D2538" s="8">
        <v>100</v>
      </c>
    </row>
    <row r="2539" spans="1:4">
      <c r="A2539" s="7" t="s">
        <v>4192</v>
      </c>
      <c r="B2539" s="8">
        <v>2201.39</v>
      </c>
      <c r="C2539" s="8">
        <v>2654.49</v>
      </c>
      <c r="D2539" s="8">
        <v>82.93</v>
      </c>
    </row>
    <row r="2540" spans="1:4">
      <c r="A2540" s="7" t="s">
        <v>4193</v>
      </c>
      <c r="B2540" s="8">
        <v>2180.9299999999998</v>
      </c>
      <c r="C2540" s="8">
        <v>2545.83</v>
      </c>
      <c r="D2540" s="8">
        <v>85.67</v>
      </c>
    </row>
    <row r="2541" spans="1:4">
      <c r="A2541" s="7" t="s">
        <v>2060</v>
      </c>
      <c r="B2541" s="8">
        <v>139.75</v>
      </c>
      <c r="C2541" s="8">
        <v>139.75</v>
      </c>
      <c r="D2541" s="8">
        <v>100</v>
      </c>
    </row>
    <row r="2542" spans="1:4">
      <c r="A2542" s="7" t="s">
        <v>2061</v>
      </c>
      <c r="B2542" s="8">
        <v>90</v>
      </c>
      <c r="C2542" s="8">
        <v>90</v>
      </c>
      <c r="D2542" s="8">
        <v>100</v>
      </c>
    </row>
    <row r="2543" spans="1:4">
      <c r="A2543" s="7" t="s">
        <v>4194</v>
      </c>
      <c r="B2543" s="8">
        <v>90</v>
      </c>
      <c r="C2543" s="8">
        <v>90</v>
      </c>
      <c r="D2543" s="8">
        <v>100</v>
      </c>
    </row>
    <row r="2544" spans="1:4">
      <c r="A2544" s="7" t="s">
        <v>4195</v>
      </c>
      <c r="B2544" s="8">
        <v>90</v>
      </c>
      <c r="C2544" s="8">
        <v>90</v>
      </c>
      <c r="D2544" s="8">
        <v>100</v>
      </c>
    </row>
    <row r="2545" spans="1:4">
      <c r="A2545" s="7" t="s">
        <v>4196</v>
      </c>
      <c r="B2545" s="8">
        <v>90</v>
      </c>
      <c r="C2545" s="8">
        <v>90</v>
      </c>
      <c r="D2545" s="8">
        <v>100</v>
      </c>
    </row>
    <row r="2546" spans="1:4">
      <c r="A2546" s="7" t="s">
        <v>2063</v>
      </c>
      <c r="B2546" s="8">
        <v>90</v>
      </c>
      <c r="C2546" s="8">
        <v>90</v>
      </c>
      <c r="D2546" s="8">
        <v>100</v>
      </c>
    </row>
    <row r="2547" spans="1:4">
      <c r="A2547" s="7" t="s">
        <v>4197</v>
      </c>
      <c r="B2547" s="8">
        <v>90</v>
      </c>
      <c r="C2547" s="8">
        <v>90</v>
      </c>
      <c r="D2547" s="8">
        <v>100</v>
      </c>
    </row>
    <row r="2548" spans="1:4">
      <c r="A2548" s="7" t="s">
        <v>4198</v>
      </c>
      <c r="B2548" s="8">
        <v>90</v>
      </c>
      <c r="C2548" s="8">
        <v>90</v>
      </c>
      <c r="D2548" s="8">
        <v>100</v>
      </c>
    </row>
    <row r="2549" spans="1:4">
      <c r="A2549" s="7" t="s">
        <v>4199</v>
      </c>
      <c r="B2549" s="8">
        <v>90</v>
      </c>
      <c r="C2549" s="8">
        <v>90</v>
      </c>
      <c r="D2549" s="8">
        <v>100</v>
      </c>
    </row>
    <row r="2550" spans="1:4">
      <c r="A2550" s="7" t="s">
        <v>4200</v>
      </c>
      <c r="B2550" s="8">
        <v>90</v>
      </c>
      <c r="C2550" s="8">
        <v>90</v>
      </c>
      <c r="D2550" s="8">
        <v>100</v>
      </c>
    </row>
    <row r="2551" spans="1:4">
      <c r="A2551" s="7" t="s">
        <v>4201</v>
      </c>
      <c r="B2551" s="8">
        <v>90</v>
      </c>
      <c r="C2551" s="8">
        <v>90</v>
      </c>
      <c r="D2551" s="8">
        <v>100</v>
      </c>
    </row>
    <row r="2552" spans="1:4">
      <c r="A2552" s="7" t="s">
        <v>4202</v>
      </c>
      <c r="B2552" s="8">
        <v>90</v>
      </c>
      <c r="C2552" s="8">
        <v>90</v>
      </c>
      <c r="D2552" s="8">
        <v>100</v>
      </c>
    </row>
    <row r="2553" spans="1:4">
      <c r="A2553" s="7" t="s">
        <v>4203</v>
      </c>
      <c r="B2553" s="8">
        <v>90</v>
      </c>
      <c r="C2553" s="8">
        <v>90</v>
      </c>
      <c r="D2553" s="8">
        <v>100</v>
      </c>
    </row>
    <row r="2554" spans="1:4">
      <c r="A2554" s="7" t="s">
        <v>2066</v>
      </c>
      <c r="B2554" s="8">
        <v>90</v>
      </c>
      <c r="C2554" s="8">
        <v>90</v>
      </c>
      <c r="D2554" s="8">
        <v>100</v>
      </c>
    </row>
    <row r="2555" spans="1:4">
      <c r="A2555" s="7" t="s">
        <v>2067</v>
      </c>
      <c r="B2555" s="8">
        <v>90</v>
      </c>
      <c r="C2555" s="8">
        <v>90</v>
      </c>
      <c r="D2555" s="8">
        <v>100</v>
      </c>
    </row>
    <row r="2556" spans="1:4">
      <c r="A2556" s="7" t="s">
        <v>4204</v>
      </c>
      <c r="B2556" s="8">
        <v>90</v>
      </c>
      <c r="C2556" s="8">
        <v>90</v>
      </c>
      <c r="D2556" s="8">
        <v>100</v>
      </c>
    </row>
    <row r="2557" spans="1:4">
      <c r="A2557" s="7" t="s">
        <v>4205</v>
      </c>
      <c r="B2557" s="8">
        <v>90</v>
      </c>
      <c r="C2557" s="8">
        <v>90</v>
      </c>
      <c r="D2557" s="8">
        <v>100</v>
      </c>
    </row>
    <row r="2558" spans="1:4">
      <c r="A2558" s="7" t="s">
        <v>2068</v>
      </c>
      <c r="B2558" s="8">
        <v>90</v>
      </c>
      <c r="C2558" s="8">
        <v>90</v>
      </c>
      <c r="D2558" s="8">
        <v>100</v>
      </c>
    </row>
    <row r="2559" spans="1:4">
      <c r="A2559" s="7" t="s">
        <v>4206</v>
      </c>
      <c r="B2559" s="8">
        <v>90</v>
      </c>
      <c r="C2559" s="8">
        <v>90</v>
      </c>
      <c r="D2559" s="8">
        <v>100</v>
      </c>
    </row>
    <row r="2560" spans="1:4">
      <c r="A2560" s="7" t="s">
        <v>4207</v>
      </c>
      <c r="B2560" s="8">
        <v>90</v>
      </c>
      <c r="C2560" s="8">
        <v>90</v>
      </c>
      <c r="D2560" s="8">
        <v>100</v>
      </c>
    </row>
    <row r="2561" spans="1:4">
      <c r="A2561" s="7" t="s">
        <v>4208</v>
      </c>
      <c r="B2561" s="8">
        <v>90</v>
      </c>
      <c r="C2561" s="8">
        <v>90</v>
      </c>
      <c r="D2561" s="8">
        <v>100</v>
      </c>
    </row>
    <row r="2562" spans="1:4">
      <c r="A2562" s="7" t="s">
        <v>1859</v>
      </c>
      <c r="B2562" s="8">
        <v>100</v>
      </c>
      <c r="C2562" s="8">
        <v>100</v>
      </c>
      <c r="D2562" s="8">
        <v>100</v>
      </c>
    </row>
    <row r="2563" spans="1:4">
      <c r="A2563" s="7" t="s">
        <v>4209</v>
      </c>
      <c r="B2563" s="8">
        <v>4583.95</v>
      </c>
      <c r="C2563" s="8">
        <v>4297.83</v>
      </c>
      <c r="D2563" s="8">
        <v>106.66</v>
      </c>
    </row>
    <row r="2564" spans="1:4">
      <c r="A2564" s="7" t="s">
        <v>4210</v>
      </c>
      <c r="B2564" s="8">
        <v>685.25</v>
      </c>
      <c r="C2564" s="8">
        <v>776.85</v>
      </c>
      <c r="D2564" s="8">
        <v>88.21</v>
      </c>
    </row>
    <row r="2565" spans="1:4">
      <c r="A2565" s="7" t="s">
        <v>2658</v>
      </c>
      <c r="B2565" s="8">
        <v>14954.82</v>
      </c>
      <c r="C2565" s="8">
        <v>9102.69</v>
      </c>
      <c r="D2565" s="8">
        <v>164.29</v>
      </c>
    </row>
    <row r="2566" spans="1:4">
      <c r="A2566" s="7" t="s">
        <v>2657</v>
      </c>
      <c r="B2566" s="8">
        <v>631.70000000000005</v>
      </c>
      <c r="C2566" s="8">
        <v>781.42</v>
      </c>
      <c r="D2566" s="8">
        <v>80.84</v>
      </c>
    </row>
    <row r="2567" spans="1:4">
      <c r="A2567" s="7" t="s">
        <v>4211</v>
      </c>
      <c r="B2567" s="8">
        <v>8219.14</v>
      </c>
      <c r="C2567" s="8">
        <v>8051.84</v>
      </c>
      <c r="D2567" s="8">
        <v>102.08</v>
      </c>
    </row>
    <row r="2568" spans="1:4">
      <c r="A2568" s="7" t="s">
        <v>4212</v>
      </c>
      <c r="B2568" s="8">
        <v>423.74</v>
      </c>
      <c r="C2568" s="8">
        <v>415.91</v>
      </c>
      <c r="D2568" s="8">
        <v>101.88</v>
      </c>
    </row>
    <row r="2569" spans="1:4">
      <c r="A2569" s="7" t="s">
        <v>2650</v>
      </c>
      <c r="B2569" s="8">
        <v>17313.97</v>
      </c>
      <c r="C2569" s="8">
        <v>9555.49</v>
      </c>
      <c r="D2569" s="8">
        <v>181.19</v>
      </c>
    </row>
    <row r="2570" spans="1:4">
      <c r="A2570" s="7" t="s">
        <v>2649</v>
      </c>
      <c r="B2570" s="8">
        <v>592.80999999999995</v>
      </c>
      <c r="C2570" s="8">
        <v>610.48</v>
      </c>
      <c r="D2570" s="8">
        <v>97.11</v>
      </c>
    </row>
    <row r="2571" spans="1:4">
      <c r="A2571" s="7" t="s">
        <v>4213</v>
      </c>
      <c r="B2571" s="8">
        <v>5040.91</v>
      </c>
      <c r="C2571" s="8">
        <v>5077.2700000000004</v>
      </c>
      <c r="D2571" s="8">
        <v>99.28</v>
      </c>
    </row>
    <row r="2572" spans="1:4">
      <c r="A2572" s="7" t="s">
        <v>4214</v>
      </c>
      <c r="B2572" s="8">
        <v>445.89</v>
      </c>
      <c r="C2572" s="8">
        <v>476.22</v>
      </c>
      <c r="D2572" s="8">
        <v>93.63</v>
      </c>
    </row>
    <row r="2573" spans="1:4">
      <c r="A2573" s="7" t="s">
        <v>2652</v>
      </c>
      <c r="B2573" s="8">
        <v>14229.35</v>
      </c>
      <c r="C2573" s="8">
        <v>8981.69</v>
      </c>
      <c r="D2573" s="8">
        <v>158.43</v>
      </c>
    </row>
    <row r="2574" spans="1:4">
      <c r="A2574" s="7" t="s">
        <v>2651</v>
      </c>
      <c r="B2574" s="8">
        <v>617.79</v>
      </c>
      <c r="C2574" s="8">
        <v>670.79</v>
      </c>
      <c r="D2574" s="8">
        <v>92.1</v>
      </c>
    </row>
    <row r="2575" spans="1:4">
      <c r="A2575" s="7" t="s">
        <v>4215</v>
      </c>
      <c r="B2575" s="8">
        <v>16470.439999999999</v>
      </c>
      <c r="C2575" s="8">
        <v>3897.77</v>
      </c>
      <c r="D2575" s="8">
        <v>422.56</v>
      </c>
    </row>
    <row r="2576" spans="1:4">
      <c r="A2576" s="7" t="s">
        <v>4216</v>
      </c>
      <c r="B2576" s="8">
        <v>454.54</v>
      </c>
      <c r="C2576" s="8">
        <v>476.22</v>
      </c>
      <c r="D2576" s="8">
        <v>95.45</v>
      </c>
    </row>
    <row r="2577" spans="1:4">
      <c r="A2577" s="7" t="s">
        <v>4217</v>
      </c>
      <c r="B2577" s="8">
        <v>14801.8</v>
      </c>
      <c r="C2577" s="8">
        <v>6538.07</v>
      </c>
      <c r="D2577" s="8">
        <v>226.39</v>
      </c>
    </row>
    <row r="2578" spans="1:4">
      <c r="A2578" s="7" t="s">
        <v>4218</v>
      </c>
      <c r="B2578" s="8">
        <v>617.79</v>
      </c>
      <c r="C2578" s="8">
        <v>670.79</v>
      </c>
      <c r="D2578" s="8">
        <v>92.1</v>
      </c>
    </row>
    <row r="2579" spans="1:4">
      <c r="A2579" s="7" t="s">
        <v>4219</v>
      </c>
      <c r="B2579" s="8">
        <v>454.3</v>
      </c>
      <c r="C2579" s="8">
        <v>476.22</v>
      </c>
      <c r="D2579" s="8">
        <v>95.4</v>
      </c>
    </row>
    <row r="2580" spans="1:4">
      <c r="A2580" s="7" t="s">
        <v>4220</v>
      </c>
      <c r="B2580" s="8">
        <v>2249.9899999999998</v>
      </c>
      <c r="C2580" s="8">
        <v>2607.62</v>
      </c>
      <c r="D2580" s="8">
        <v>86.29</v>
      </c>
    </row>
    <row r="2581" spans="1:4">
      <c r="A2581" s="7" t="s">
        <v>4221</v>
      </c>
      <c r="B2581" s="8">
        <v>617.79</v>
      </c>
      <c r="C2581" s="8">
        <v>670.79</v>
      </c>
      <c r="D2581" s="8">
        <v>92.1</v>
      </c>
    </row>
    <row r="2582" spans="1:4">
      <c r="A2582" s="7" t="s">
        <v>4222</v>
      </c>
      <c r="B2582" s="8">
        <v>468.51</v>
      </c>
      <c r="C2582" s="8">
        <v>536.54</v>
      </c>
      <c r="D2582" s="8">
        <v>87.32</v>
      </c>
    </row>
    <row r="2583" spans="1:4">
      <c r="A2583" s="7" t="s">
        <v>4223</v>
      </c>
      <c r="B2583" s="8">
        <v>2058.21</v>
      </c>
      <c r="C2583" s="8">
        <v>2477.62</v>
      </c>
      <c r="D2583" s="8">
        <v>83.07</v>
      </c>
    </row>
    <row r="2584" spans="1:4">
      <c r="A2584" s="7" t="s">
        <v>4224</v>
      </c>
      <c r="B2584" s="8">
        <v>642.78</v>
      </c>
      <c r="C2584" s="8">
        <v>731.11</v>
      </c>
      <c r="D2584" s="8">
        <v>87.92</v>
      </c>
    </row>
    <row r="2585" spans="1:4">
      <c r="A2585" s="7" t="s">
        <v>4225</v>
      </c>
      <c r="B2585" s="8">
        <v>479.52</v>
      </c>
      <c r="C2585" s="8">
        <v>536.54</v>
      </c>
      <c r="D2585" s="8">
        <v>89.37</v>
      </c>
    </row>
    <row r="2586" spans="1:4">
      <c r="A2586" s="7" t="s">
        <v>4226</v>
      </c>
      <c r="B2586" s="8">
        <v>3296.09</v>
      </c>
      <c r="C2586" s="8">
        <v>1392.58</v>
      </c>
      <c r="D2586" s="8">
        <v>236.69</v>
      </c>
    </row>
    <row r="2587" spans="1:4">
      <c r="A2587" s="7" t="s">
        <v>4227</v>
      </c>
      <c r="B2587" s="8">
        <v>642.78</v>
      </c>
      <c r="C2587" s="8">
        <v>731.11</v>
      </c>
      <c r="D2587" s="8">
        <v>87.92</v>
      </c>
    </row>
    <row r="2588" spans="1:4">
      <c r="A2588" s="7" t="s">
        <v>4228</v>
      </c>
      <c r="B2588" s="8">
        <v>421.59</v>
      </c>
      <c r="C2588" s="8">
        <v>415.91</v>
      </c>
      <c r="D2588" s="8">
        <v>101.37</v>
      </c>
    </row>
    <row r="2589" spans="1:4">
      <c r="A2589" s="7" t="s">
        <v>4229</v>
      </c>
      <c r="B2589" s="8">
        <v>3105.66</v>
      </c>
      <c r="C2589" s="8">
        <v>2564.02</v>
      </c>
      <c r="D2589" s="8">
        <v>121.12</v>
      </c>
    </row>
    <row r="2590" spans="1:4">
      <c r="A2590" s="7" t="s">
        <v>4230</v>
      </c>
      <c r="B2590" s="8">
        <v>592.80999999999995</v>
      </c>
      <c r="C2590" s="8">
        <v>610.48</v>
      </c>
      <c r="D2590" s="8">
        <v>97.11</v>
      </c>
    </row>
    <row r="2591" spans="1:4">
      <c r="A2591" s="7" t="s">
        <v>4231</v>
      </c>
      <c r="B2591" s="8">
        <v>3471.86</v>
      </c>
      <c r="C2591" s="8">
        <v>3760.05</v>
      </c>
      <c r="D2591" s="8">
        <v>92.34</v>
      </c>
    </row>
    <row r="2592" spans="1:4">
      <c r="A2592" s="7" t="s">
        <v>4232</v>
      </c>
      <c r="B2592" s="8">
        <v>419.49</v>
      </c>
      <c r="C2592" s="8">
        <v>415.91</v>
      </c>
      <c r="D2592" s="8">
        <v>100.86</v>
      </c>
    </row>
    <row r="2593" spans="1:4">
      <c r="A2593" s="7" t="s">
        <v>2397</v>
      </c>
      <c r="B2593" s="8">
        <v>8480.76</v>
      </c>
      <c r="C2593" s="8">
        <v>6096.07</v>
      </c>
      <c r="D2593" s="8">
        <v>139.12</v>
      </c>
    </row>
    <row r="2594" spans="1:4">
      <c r="A2594" s="7" t="s">
        <v>2396</v>
      </c>
      <c r="B2594" s="8">
        <v>592.80999999999995</v>
      </c>
      <c r="C2594" s="8">
        <v>610.48</v>
      </c>
      <c r="D2594" s="8">
        <v>97.11</v>
      </c>
    </row>
    <row r="2595" spans="1:4">
      <c r="A2595" s="7" t="s">
        <v>4233</v>
      </c>
      <c r="B2595" s="8">
        <v>3496.71</v>
      </c>
      <c r="C2595" s="8">
        <v>3820.05</v>
      </c>
      <c r="D2595" s="8">
        <v>91.54</v>
      </c>
    </row>
    <row r="2596" spans="1:4">
      <c r="A2596" s="7" t="s">
        <v>4234</v>
      </c>
      <c r="B2596" s="8">
        <v>480.16</v>
      </c>
      <c r="C2596" s="8">
        <v>536.54</v>
      </c>
      <c r="D2596" s="8">
        <v>89.49</v>
      </c>
    </row>
    <row r="2597" spans="1:4">
      <c r="A2597" s="7" t="s">
        <v>2399</v>
      </c>
      <c r="B2597" s="8">
        <v>10292.56</v>
      </c>
      <c r="C2597" s="8">
        <v>6332.07</v>
      </c>
      <c r="D2597" s="8">
        <v>162.55000000000001</v>
      </c>
    </row>
    <row r="2598" spans="1:4">
      <c r="A2598" s="7" t="s">
        <v>2398</v>
      </c>
      <c r="B2598" s="8">
        <v>642.78</v>
      </c>
      <c r="C2598" s="8">
        <v>731.11</v>
      </c>
      <c r="D2598" s="8">
        <v>87.92</v>
      </c>
    </row>
    <row r="2599" spans="1:4">
      <c r="A2599" s="7" t="s">
        <v>4235</v>
      </c>
      <c r="B2599" s="8">
        <v>3786.66</v>
      </c>
      <c r="C2599" s="8">
        <v>4520.05</v>
      </c>
      <c r="D2599" s="8">
        <v>83.77</v>
      </c>
    </row>
    <row r="2600" spans="1:4">
      <c r="A2600" s="7" t="s">
        <v>4236</v>
      </c>
      <c r="B2600" s="8">
        <v>480.25</v>
      </c>
      <c r="C2600" s="8">
        <v>536.54</v>
      </c>
      <c r="D2600" s="8">
        <v>89.51</v>
      </c>
    </row>
    <row r="2601" spans="1:4">
      <c r="A2601" s="7" t="s">
        <v>4237</v>
      </c>
      <c r="B2601" s="8">
        <v>11147.51</v>
      </c>
      <c r="C2601" s="8">
        <v>6448.07</v>
      </c>
      <c r="D2601" s="8">
        <v>172.88</v>
      </c>
    </row>
    <row r="2602" spans="1:4">
      <c r="A2602" s="7" t="s">
        <v>4238</v>
      </c>
      <c r="B2602" s="8">
        <v>642.78</v>
      </c>
      <c r="C2602" s="8">
        <v>731.11</v>
      </c>
      <c r="D2602" s="8">
        <v>87.92</v>
      </c>
    </row>
    <row r="2603" spans="1:4">
      <c r="A2603" s="7" t="s">
        <v>4239</v>
      </c>
      <c r="B2603" s="8">
        <v>5607.85</v>
      </c>
      <c r="C2603" s="8">
        <v>5757.77</v>
      </c>
      <c r="D2603" s="8">
        <v>97.4</v>
      </c>
    </row>
    <row r="2604" spans="1:4">
      <c r="A2604" s="7" t="s">
        <v>4240</v>
      </c>
      <c r="B2604" s="8">
        <v>685.42</v>
      </c>
      <c r="C2604" s="8">
        <v>776.85</v>
      </c>
      <c r="D2604" s="8">
        <v>88.23</v>
      </c>
    </row>
    <row r="2605" spans="1:4">
      <c r="A2605" s="7" t="s">
        <v>4241</v>
      </c>
      <c r="B2605" s="8">
        <v>6734.76</v>
      </c>
      <c r="C2605" s="8">
        <v>5747.69</v>
      </c>
      <c r="D2605" s="8">
        <v>117.17</v>
      </c>
    </row>
    <row r="2606" spans="1:4">
      <c r="A2606" s="7" t="s">
        <v>4242</v>
      </c>
      <c r="B2606" s="8">
        <v>634.46</v>
      </c>
      <c r="C2606" s="8">
        <v>781.42</v>
      </c>
      <c r="D2606" s="8">
        <v>81.19</v>
      </c>
    </row>
    <row r="2607" spans="1:4">
      <c r="A2607" s="7" t="s">
        <v>4243</v>
      </c>
      <c r="B2607" s="8">
        <v>451.43</v>
      </c>
      <c r="C2607" s="8">
        <v>441.22</v>
      </c>
      <c r="D2607" s="8">
        <v>102.31</v>
      </c>
    </row>
    <row r="2608" spans="1:4">
      <c r="A2608" s="7" t="s">
        <v>4244</v>
      </c>
      <c r="B2608" s="8">
        <v>8106.61</v>
      </c>
      <c r="C2608" s="8">
        <v>8213.69</v>
      </c>
      <c r="D2608" s="8">
        <v>98.7</v>
      </c>
    </row>
    <row r="2609" spans="1:4">
      <c r="A2609" s="7" t="s">
        <v>4245</v>
      </c>
      <c r="B2609" s="8">
        <v>592.80999999999995</v>
      </c>
      <c r="C2609" s="8">
        <v>610.48</v>
      </c>
      <c r="D2609" s="8">
        <v>97.11</v>
      </c>
    </row>
    <row r="2610" spans="1:4">
      <c r="A2610" s="7" t="s">
        <v>4246</v>
      </c>
      <c r="B2610" s="8">
        <v>483.33</v>
      </c>
      <c r="C2610" s="8">
        <v>536.54</v>
      </c>
      <c r="D2610" s="8">
        <v>90.08</v>
      </c>
    </row>
    <row r="2611" spans="1:4">
      <c r="A2611" s="7" t="s">
        <v>4247</v>
      </c>
      <c r="B2611" s="8">
        <v>7120.7</v>
      </c>
      <c r="C2611" s="8">
        <v>6842.25</v>
      </c>
      <c r="D2611" s="8">
        <v>104.07</v>
      </c>
    </row>
    <row r="2612" spans="1:4">
      <c r="A2612" s="7" t="s">
        <v>4248</v>
      </c>
      <c r="B2612" s="8">
        <v>642.78</v>
      </c>
      <c r="C2612" s="8">
        <v>731.11</v>
      </c>
      <c r="D2612" s="8">
        <v>87.92</v>
      </c>
    </row>
    <row r="2613" spans="1:4">
      <c r="A2613" s="7" t="s">
        <v>4249</v>
      </c>
      <c r="B2613" s="8">
        <v>480.34</v>
      </c>
      <c r="C2613" s="8">
        <v>501.53</v>
      </c>
      <c r="D2613" s="8">
        <v>95.77</v>
      </c>
    </row>
    <row r="2614" spans="1:4">
      <c r="A2614" s="7" t="s">
        <v>4250</v>
      </c>
      <c r="B2614" s="8">
        <v>13662.73</v>
      </c>
      <c r="C2614" s="8">
        <v>6058.07</v>
      </c>
      <c r="D2614" s="8">
        <v>225.53</v>
      </c>
    </row>
    <row r="2615" spans="1:4">
      <c r="A2615" s="7" t="s">
        <v>4251</v>
      </c>
      <c r="B2615" s="8">
        <v>617.79</v>
      </c>
      <c r="C2615" s="8">
        <v>670.79</v>
      </c>
      <c r="D2615" s="8">
        <v>92.1</v>
      </c>
    </row>
    <row r="2616" spans="1:4">
      <c r="A2616" s="7" t="s">
        <v>2484</v>
      </c>
      <c r="B2616" s="8">
        <v>7681.05</v>
      </c>
      <c r="C2616" s="8">
        <v>5066.41</v>
      </c>
      <c r="D2616" s="8">
        <v>151.61000000000001</v>
      </c>
    </row>
    <row r="2617" spans="1:4">
      <c r="A2617" s="7" t="s">
        <v>2483</v>
      </c>
      <c r="B2617" s="8">
        <v>428.28</v>
      </c>
      <c r="C2617" s="8">
        <v>415.91</v>
      </c>
      <c r="D2617" s="8">
        <v>102.97</v>
      </c>
    </row>
    <row r="2618" spans="1:4">
      <c r="A2618" s="7" t="s">
        <v>2393</v>
      </c>
      <c r="B2618" s="8">
        <v>11936.2</v>
      </c>
      <c r="C2618" s="8">
        <v>5511.07</v>
      </c>
      <c r="D2618" s="8">
        <v>216.59</v>
      </c>
    </row>
    <row r="2619" spans="1:4">
      <c r="A2619" s="7" t="s">
        <v>2392</v>
      </c>
      <c r="B2619" s="8">
        <v>592.80999999999995</v>
      </c>
      <c r="C2619" s="8">
        <v>610.48</v>
      </c>
      <c r="D2619" s="8">
        <v>97.11</v>
      </c>
    </row>
    <row r="2620" spans="1:4">
      <c r="A2620" s="7" t="s">
        <v>4252</v>
      </c>
      <c r="B2620" s="8">
        <v>7639.19</v>
      </c>
      <c r="C2620" s="8">
        <v>1864.36</v>
      </c>
      <c r="D2620" s="8">
        <v>409.75</v>
      </c>
    </row>
    <row r="2621" spans="1:4">
      <c r="A2621" s="7" t="s">
        <v>4253</v>
      </c>
      <c r="B2621" s="8">
        <v>470.15</v>
      </c>
      <c r="C2621" s="8">
        <v>536.54</v>
      </c>
      <c r="D2621" s="8">
        <v>87.63</v>
      </c>
    </row>
    <row r="2622" spans="1:4">
      <c r="A2622" s="7" t="s">
        <v>2387</v>
      </c>
      <c r="B2622" s="8">
        <v>10412.92</v>
      </c>
      <c r="C2622" s="8">
        <v>4841.04</v>
      </c>
      <c r="D2622" s="8">
        <v>215.1</v>
      </c>
    </row>
    <row r="2623" spans="1:4">
      <c r="A2623" s="7" t="s">
        <v>2386</v>
      </c>
      <c r="B2623" s="8">
        <v>642.78</v>
      </c>
      <c r="C2623" s="8">
        <v>731.11</v>
      </c>
      <c r="D2623" s="8">
        <v>87.92</v>
      </c>
    </row>
    <row r="2624" spans="1:4">
      <c r="A2624" s="7" t="s">
        <v>4254</v>
      </c>
      <c r="B2624" s="8">
        <v>7663.25</v>
      </c>
      <c r="C2624" s="8">
        <v>5206.41</v>
      </c>
      <c r="D2624" s="8">
        <v>147.19</v>
      </c>
    </row>
    <row r="2625" spans="1:4">
      <c r="A2625" s="7" t="s">
        <v>4255</v>
      </c>
      <c r="B2625" s="8">
        <v>446.25</v>
      </c>
      <c r="C2625" s="8">
        <v>476.22</v>
      </c>
      <c r="D2625" s="8">
        <v>93.71</v>
      </c>
    </row>
    <row r="2626" spans="1:4">
      <c r="A2626" s="7" t="s">
        <v>2389</v>
      </c>
      <c r="B2626" s="8">
        <v>6967.99</v>
      </c>
      <c r="C2626" s="8">
        <v>4331.76</v>
      </c>
      <c r="D2626" s="8">
        <v>160.86000000000001</v>
      </c>
    </row>
    <row r="2627" spans="1:4">
      <c r="A2627" s="7" t="s">
        <v>2388</v>
      </c>
      <c r="B2627" s="8">
        <v>617.79</v>
      </c>
      <c r="C2627" s="8">
        <v>670.79</v>
      </c>
      <c r="D2627" s="8">
        <v>92.1</v>
      </c>
    </row>
    <row r="2628" spans="1:4">
      <c r="A2628" s="7" t="s">
        <v>2561</v>
      </c>
      <c r="B2628" s="8">
        <v>6938.75</v>
      </c>
      <c r="C2628" s="8">
        <v>5536.97</v>
      </c>
      <c r="D2628" s="8">
        <v>125.32</v>
      </c>
    </row>
    <row r="2629" spans="1:4">
      <c r="A2629" s="7" t="s">
        <v>2566</v>
      </c>
      <c r="B2629" s="8">
        <v>6369</v>
      </c>
      <c r="C2629" s="8">
        <v>4506.42</v>
      </c>
      <c r="D2629" s="8">
        <v>141.33000000000001</v>
      </c>
    </row>
    <row r="2630" spans="1:4">
      <c r="A2630" s="7" t="s">
        <v>4256</v>
      </c>
      <c r="B2630" s="8">
        <v>162.29</v>
      </c>
      <c r="C2630" s="8">
        <v>162.29</v>
      </c>
      <c r="D2630" s="8">
        <v>100</v>
      </c>
    </row>
    <row r="2631" spans="1:4">
      <c r="A2631" s="7" t="s">
        <v>4257</v>
      </c>
      <c r="B2631" s="8">
        <v>106.92</v>
      </c>
      <c r="C2631" s="8">
        <v>106.92</v>
      </c>
      <c r="D2631" s="8">
        <v>100</v>
      </c>
    </row>
    <row r="2632" spans="1:4">
      <c r="A2632" s="7" t="s">
        <v>4258</v>
      </c>
      <c r="B2632" s="8">
        <v>117.28</v>
      </c>
      <c r="C2632" s="8">
        <v>131.91999999999999</v>
      </c>
      <c r="D2632" s="8">
        <v>88.9</v>
      </c>
    </row>
    <row r="2633" spans="1:4">
      <c r="A2633" s="7" t="s">
        <v>4259</v>
      </c>
      <c r="B2633" s="8">
        <v>274.06</v>
      </c>
      <c r="C2633" s="8">
        <v>263.7</v>
      </c>
      <c r="D2633" s="8">
        <v>103.93</v>
      </c>
    </row>
    <row r="2634" spans="1:4">
      <c r="A2634" s="7" t="s">
        <v>4260</v>
      </c>
      <c r="B2634" s="8">
        <v>179.7</v>
      </c>
      <c r="C2634" s="8">
        <v>179.7</v>
      </c>
      <c r="D2634" s="8">
        <v>100</v>
      </c>
    </row>
    <row r="2635" spans="1:4">
      <c r="A2635" s="7" t="s">
        <v>4261</v>
      </c>
      <c r="B2635" s="8">
        <v>98.21</v>
      </c>
      <c r="C2635" s="8">
        <v>127.5</v>
      </c>
      <c r="D2635" s="8">
        <v>77.03</v>
      </c>
    </row>
    <row r="2636" spans="1:4">
      <c r="A2636" s="7" t="s">
        <v>2559</v>
      </c>
      <c r="B2636" s="8">
        <v>97</v>
      </c>
      <c r="C2636" s="8">
        <v>97</v>
      </c>
      <c r="D2636" s="8">
        <v>100</v>
      </c>
    </row>
    <row r="2637" spans="1:4">
      <c r="A2637" s="7" t="s">
        <v>4262</v>
      </c>
      <c r="B2637" s="8">
        <v>560.39</v>
      </c>
      <c r="C2637" s="8">
        <v>581.54</v>
      </c>
      <c r="D2637" s="8">
        <v>96.36</v>
      </c>
    </row>
    <row r="2638" spans="1:4">
      <c r="A2638" s="7" t="s">
        <v>2558</v>
      </c>
      <c r="B2638" s="8">
        <v>169.07</v>
      </c>
      <c r="C2638" s="8">
        <v>172</v>
      </c>
      <c r="D2638" s="8">
        <v>98.3</v>
      </c>
    </row>
    <row r="2639" spans="1:4">
      <c r="A2639" s="7" t="s">
        <v>4263</v>
      </c>
      <c r="B2639" s="8">
        <v>239.07</v>
      </c>
      <c r="C2639" s="8">
        <v>242</v>
      </c>
      <c r="D2639" s="8">
        <v>98.79</v>
      </c>
    </row>
    <row r="2640" spans="1:4">
      <c r="A2640" s="7" t="s">
        <v>4264</v>
      </c>
      <c r="B2640" s="8">
        <v>98.21</v>
      </c>
      <c r="C2640" s="8">
        <v>127.5</v>
      </c>
      <c r="D2640" s="8">
        <v>77.03</v>
      </c>
    </row>
    <row r="2641" spans="1:4">
      <c r="A2641" s="7" t="s">
        <v>2564</v>
      </c>
      <c r="B2641" s="8">
        <v>97</v>
      </c>
      <c r="C2641" s="8">
        <v>97</v>
      </c>
      <c r="D2641" s="8">
        <v>100</v>
      </c>
    </row>
    <row r="2642" spans="1:4">
      <c r="A2642" s="7" t="s">
        <v>4265</v>
      </c>
      <c r="B2642" s="8">
        <v>560.39</v>
      </c>
      <c r="C2642" s="8">
        <v>581.54</v>
      </c>
      <c r="D2642" s="8">
        <v>96.36</v>
      </c>
    </row>
    <row r="2643" spans="1:4">
      <c r="A2643" s="7" t="s">
        <v>2563</v>
      </c>
      <c r="B2643" s="8">
        <v>169.07</v>
      </c>
      <c r="C2643" s="8">
        <v>172</v>
      </c>
      <c r="D2643" s="8">
        <v>98.3</v>
      </c>
    </row>
    <row r="2644" spans="1:4">
      <c r="A2644" s="7" t="s">
        <v>4266</v>
      </c>
      <c r="B2644" s="8">
        <v>239.07</v>
      </c>
      <c r="C2644" s="8">
        <v>242</v>
      </c>
      <c r="D2644" s="8">
        <v>98.79</v>
      </c>
    </row>
    <row r="2645" spans="1:4">
      <c r="A2645" s="7" t="s">
        <v>4267</v>
      </c>
      <c r="B2645" s="8">
        <v>5758.97</v>
      </c>
      <c r="C2645" s="8">
        <v>5069.1899999999996</v>
      </c>
      <c r="D2645" s="8">
        <v>113.61</v>
      </c>
    </row>
    <row r="2646" spans="1:4">
      <c r="A2646" s="7" t="s">
        <v>4268</v>
      </c>
      <c r="B2646" s="8">
        <v>451.46</v>
      </c>
      <c r="C2646" s="8">
        <v>476.22</v>
      </c>
      <c r="D2646" s="8">
        <v>94.8</v>
      </c>
    </row>
    <row r="2647" spans="1:4">
      <c r="A2647" s="7" t="s">
        <v>2395</v>
      </c>
      <c r="B2647" s="8">
        <v>10275.280000000001</v>
      </c>
      <c r="C2647" s="8">
        <v>6380.35</v>
      </c>
      <c r="D2647" s="8">
        <v>161.05000000000001</v>
      </c>
    </row>
    <row r="2648" spans="1:4">
      <c r="A2648" s="7" t="s">
        <v>2394</v>
      </c>
      <c r="B2648" s="8">
        <v>617.79</v>
      </c>
      <c r="C2648" s="8">
        <v>670.79</v>
      </c>
      <c r="D2648" s="8">
        <v>92.1</v>
      </c>
    </row>
    <row r="2649" spans="1:4">
      <c r="A2649" s="7" t="s">
        <v>4269</v>
      </c>
      <c r="B2649" s="8">
        <v>6439.6</v>
      </c>
      <c r="C2649" s="8">
        <v>4855.55</v>
      </c>
      <c r="D2649" s="8">
        <v>132.62</v>
      </c>
    </row>
    <row r="2650" spans="1:4">
      <c r="A2650" s="7" t="s">
        <v>4270</v>
      </c>
      <c r="B2650" s="8">
        <v>477.78</v>
      </c>
      <c r="C2650" s="8">
        <v>536.54</v>
      </c>
      <c r="D2650" s="8">
        <v>89.05</v>
      </c>
    </row>
    <row r="2651" spans="1:4">
      <c r="A2651" s="7" t="s">
        <v>4271</v>
      </c>
      <c r="B2651" s="8">
        <v>10921.91</v>
      </c>
      <c r="C2651" s="8">
        <v>7801.69</v>
      </c>
      <c r="D2651" s="8">
        <v>139.99</v>
      </c>
    </row>
    <row r="2652" spans="1:4">
      <c r="A2652" s="7" t="s">
        <v>4272</v>
      </c>
      <c r="B2652" s="8">
        <v>642.78</v>
      </c>
      <c r="C2652" s="8">
        <v>731.11</v>
      </c>
      <c r="D2652" s="8">
        <v>87.92</v>
      </c>
    </row>
    <row r="2653" spans="1:4">
      <c r="A2653" s="7" t="s">
        <v>4273</v>
      </c>
      <c r="B2653" s="8">
        <v>5907.53</v>
      </c>
      <c r="C2653" s="8">
        <v>5537.27</v>
      </c>
      <c r="D2653" s="8">
        <v>106.69</v>
      </c>
    </row>
    <row r="2654" spans="1:4">
      <c r="A2654" s="7" t="s">
        <v>4274</v>
      </c>
      <c r="B2654" s="8">
        <v>685.81</v>
      </c>
      <c r="C2654" s="8">
        <v>776.85</v>
      </c>
      <c r="D2654" s="8">
        <v>88.28</v>
      </c>
    </row>
    <row r="2655" spans="1:4">
      <c r="A2655" s="7" t="s">
        <v>4275</v>
      </c>
      <c r="B2655" s="8">
        <v>11737.14</v>
      </c>
      <c r="C2655" s="8">
        <v>7023.69</v>
      </c>
      <c r="D2655" s="8">
        <v>167.11</v>
      </c>
    </row>
    <row r="2656" spans="1:4">
      <c r="A2656" s="7" t="s">
        <v>4276</v>
      </c>
      <c r="B2656" s="8">
        <v>631.24</v>
      </c>
      <c r="C2656" s="8">
        <v>781.42</v>
      </c>
      <c r="D2656" s="8">
        <v>80.78</v>
      </c>
    </row>
    <row r="2657" spans="1:4">
      <c r="A2657" s="7" t="s">
        <v>4277</v>
      </c>
      <c r="B2657" s="8">
        <v>8502.67</v>
      </c>
      <c r="C2657" s="8">
        <v>5077.83</v>
      </c>
      <c r="D2657" s="8">
        <v>167.45</v>
      </c>
    </row>
    <row r="2658" spans="1:4">
      <c r="A2658" s="7" t="s">
        <v>4278</v>
      </c>
      <c r="B2658" s="8">
        <v>457.11</v>
      </c>
      <c r="C2658" s="8">
        <v>476.22</v>
      </c>
      <c r="D2658" s="8">
        <v>95.99</v>
      </c>
    </row>
    <row r="2659" spans="1:4">
      <c r="A2659" s="7" t="s">
        <v>4279</v>
      </c>
      <c r="B2659" s="8">
        <v>7458.26</v>
      </c>
      <c r="C2659" s="8">
        <v>6210.25</v>
      </c>
      <c r="D2659" s="8">
        <v>120.1</v>
      </c>
    </row>
    <row r="2660" spans="1:4">
      <c r="A2660" s="7" t="s">
        <v>4280</v>
      </c>
      <c r="B2660" s="8">
        <v>617.79</v>
      </c>
      <c r="C2660" s="8">
        <v>670.79</v>
      </c>
      <c r="D2660" s="8">
        <v>92.1</v>
      </c>
    </row>
    <row r="2661" spans="1:4">
      <c r="A2661" s="7" t="s">
        <v>4281</v>
      </c>
      <c r="B2661" s="8">
        <v>4625.3100000000004</v>
      </c>
      <c r="C2661" s="8">
        <v>4580.05</v>
      </c>
      <c r="D2661" s="8">
        <v>100.99</v>
      </c>
    </row>
    <row r="2662" spans="1:4">
      <c r="A2662" s="7" t="s">
        <v>4282</v>
      </c>
      <c r="B2662" s="8">
        <v>680.96</v>
      </c>
      <c r="C2662" s="8">
        <v>776.85</v>
      </c>
      <c r="D2662" s="8">
        <v>87.66</v>
      </c>
    </row>
    <row r="2663" spans="1:4">
      <c r="A2663" s="7" t="s">
        <v>4283</v>
      </c>
      <c r="B2663" s="8">
        <v>9904.67</v>
      </c>
      <c r="C2663" s="8">
        <v>6922.13</v>
      </c>
      <c r="D2663" s="8">
        <v>143.09</v>
      </c>
    </row>
    <row r="2664" spans="1:4">
      <c r="A2664" s="7" t="s">
        <v>4284</v>
      </c>
      <c r="B2664" s="8">
        <v>630.87</v>
      </c>
      <c r="C2664" s="8">
        <v>781.42</v>
      </c>
      <c r="D2664" s="8">
        <v>80.73</v>
      </c>
    </row>
    <row r="2665" spans="1:4">
      <c r="A2665" s="7" t="s">
        <v>4285</v>
      </c>
      <c r="B2665" s="8">
        <v>9868.2800000000007</v>
      </c>
      <c r="C2665" s="8">
        <v>5740.05</v>
      </c>
      <c r="D2665" s="8">
        <v>171.92</v>
      </c>
    </row>
    <row r="2666" spans="1:4">
      <c r="A2666" s="7" t="s">
        <v>4286</v>
      </c>
      <c r="B2666" s="8">
        <v>677.94</v>
      </c>
      <c r="C2666" s="8">
        <v>776.85</v>
      </c>
      <c r="D2666" s="8">
        <v>87.27</v>
      </c>
    </row>
    <row r="2667" spans="1:4">
      <c r="A2667" s="7" t="s">
        <v>4287</v>
      </c>
      <c r="B2667" s="8">
        <v>17329.75</v>
      </c>
      <c r="C2667" s="8">
        <v>8074.07</v>
      </c>
      <c r="D2667" s="8">
        <v>214.63</v>
      </c>
    </row>
    <row r="2668" spans="1:4">
      <c r="A2668" s="7" t="s">
        <v>4288</v>
      </c>
      <c r="B2668" s="8">
        <v>632.91999999999996</v>
      </c>
      <c r="C2668" s="8">
        <v>781.42</v>
      </c>
      <c r="D2668" s="8">
        <v>81</v>
      </c>
    </row>
    <row r="2669" spans="1:4">
      <c r="A2669" s="7" t="s">
        <v>2482</v>
      </c>
      <c r="B2669" s="8">
        <v>7680.61</v>
      </c>
      <c r="C2669" s="8">
        <v>2424.4499999999998</v>
      </c>
      <c r="D2669" s="8">
        <v>316.8</v>
      </c>
    </row>
    <row r="2670" spans="1:4">
      <c r="A2670" s="7" t="s">
        <v>2481</v>
      </c>
      <c r="B2670" s="8">
        <v>428.62</v>
      </c>
      <c r="C2670" s="8">
        <v>415.91</v>
      </c>
      <c r="D2670" s="8">
        <v>103.06</v>
      </c>
    </row>
    <row r="2671" spans="1:4">
      <c r="A2671" s="7" t="s">
        <v>2391</v>
      </c>
      <c r="B2671" s="8">
        <v>8606.9699999999993</v>
      </c>
      <c r="C2671" s="8">
        <v>4849.8500000000004</v>
      </c>
      <c r="D2671" s="8">
        <v>177.47</v>
      </c>
    </row>
    <row r="2672" spans="1:4">
      <c r="A2672" s="7" t="s">
        <v>2390</v>
      </c>
      <c r="B2672" s="8">
        <v>592.80999999999995</v>
      </c>
      <c r="C2672" s="8">
        <v>610.48</v>
      </c>
      <c r="D2672" s="8">
        <v>97.11</v>
      </c>
    </row>
    <row r="2673" spans="1:4">
      <c r="A2673" s="7" t="s">
        <v>566</v>
      </c>
      <c r="B2673" s="8">
        <v>24209.73</v>
      </c>
      <c r="C2673" s="8">
        <v>18370.439999999999</v>
      </c>
      <c r="D2673" s="8">
        <v>131.79</v>
      </c>
    </row>
    <row r="2674" spans="1:4">
      <c r="A2674" s="7" t="s">
        <v>567</v>
      </c>
      <c r="B2674" s="8">
        <v>24209.64</v>
      </c>
      <c r="C2674" s="8">
        <v>13358.33</v>
      </c>
      <c r="D2674" s="8">
        <v>181.23</v>
      </c>
    </row>
    <row r="2675" spans="1:4">
      <c r="A2675" s="7" t="s">
        <v>568</v>
      </c>
      <c r="B2675" s="8">
        <v>24209.52</v>
      </c>
      <c r="C2675" s="8">
        <v>11796.12</v>
      </c>
      <c r="D2675" s="8">
        <v>205.23</v>
      </c>
    </row>
    <row r="2676" spans="1:4">
      <c r="A2676" s="7" t="s">
        <v>569</v>
      </c>
      <c r="B2676" s="8">
        <v>24209.68</v>
      </c>
      <c r="C2676" s="8">
        <v>8217.74</v>
      </c>
      <c r="D2676" s="8">
        <v>294.60000000000002</v>
      </c>
    </row>
    <row r="2677" spans="1:4">
      <c r="A2677" s="7" t="s">
        <v>570</v>
      </c>
      <c r="B2677" s="8">
        <v>24209.52</v>
      </c>
      <c r="C2677" s="8">
        <v>10079.950000000001</v>
      </c>
      <c r="D2677" s="8">
        <v>240.17</v>
      </c>
    </row>
    <row r="2678" spans="1:4">
      <c r="A2678" s="7" t="s">
        <v>571</v>
      </c>
      <c r="B2678" s="8">
        <v>24209.74</v>
      </c>
      <c r="C2678" s="8">
        <v>16471.96</v>
      </c>
      <c r="D2678" s="8">
        <v>146.97999999999999</v>
      </c>
    </row>
    <row r="2679" spans="1:4">
      <c r="A2679" s="7" t="s">
        <v>572</v>
      </c>
      <c r="B2679" s="8">
        <v>24209.599999999999</v>
      </c>
      <c r="C2679" s="8">
        <v>18334.169999999998</v>
      </c>
      <c r="D2679" s="8">
        <v>132.05000000000001</v>
      </c>
    </row>
    <row r="2680" spans="1:4">
      <c r="A2680" s="7" t="s">
        <v>573</v>
      </c>
      <c r="B2680" s="8">
        <v>24209.78</v>
      </c>
      <c r="C2680" s="8">
        <v>19832.66</v>
      </c>
      <c r="D2680" s="8">
        <v>122.07</v>
      </c>
    </row>
    <row r="2681" spans="1:4">
      <c r="A2681" s="7" t="s">
        <v>574</v>
      </c>
      <c r="B2681" s="8">
        <v>28075.94</v>
      </c>
      <c r="C2681" s="8">
        <v>18270.349999999999</v>
      </c>
      <c r="D2681" s="8">
        <v>153.66999999999999</v>
      </c>
    </row>
    <row r="2682" spans="1:4">
      <c r="A2682" s="7" t="s">
        <v>575</v>
      </c>
      <c r="B2682" s="8">
        <v>28075.919999999998</v>
      </c>
      <c r="C2682" s="8">
        <v>13258.24</v>
      </c>
      <c r="D2682" s="8">
        <v>211.76</v>
      </c>
    </row>
    <row r="2683" spans="1:4">
      <c r="A2683" s="7" t="s">
        <v>576</v>
      </c>
      <c r="B2683" s="8">
        <v>28075.52</v>
      </c>
      <c r="C2683" s="8">
        <v>10596.03</v>
      </c>
      <c r="D2683" s="8">
        <v>264.95999999999998</v>
      </c>
    </row>
    <row r="2684" spans="1:4">
      <c r="A2684" s="7" t="s">
        <v>577</v>
      </c>
      <c r="B2684" s="8">
        <v>28075.99</v>
      </c>
      <c r="C2684" s="8">
        <v>8917.83</v>
      </c>
      <c r="D2684" s="8">
        <v>314.83</v>
      </c>
    </row>
    <row r="2685" spans="1:4">
      <c r="A2685" s="7" t="s">
        <v>578</v>
      </c>
      <c r="B2685" s="8">
        <v>28075.89</v>
      </c>
      <c r="C2685" s="8">
        <v>10780.04</v>
      </c>
      <c r="D2685" s="8">
        <v>260.44</v>
      </c>
    </row>
    <row r="2686" spans="1:4">
      <c r="A2686" s="7" t="s">
        <v>579</v>
      </c>
      <c r="B2686" s="8">
        <v>28075.77</v>
      </c>
      <c r="C2686" s="8">
        <v>15071.87</v>
      </c>
      <c r="D2686" s="8">
        <v>186.28</v>
      </c>
    </row>
    <row r="2687" spans="1:4">
      <c r="A2687" s="7" t="s">
        <v>580</v>
      </c>
      <c r="B2687" s="8">
        <v>28075.96</v>
      </c>
      <c r="C2687" s="8">
        <v>18234.080000000002</v>
      </c>
      <c r="D2687" s="8">
        <v>153.97999999999999</v>
      </c>
    </row>
    <row r="2688" spans="1:4">
      <c r="A2688" s="7" t="s">
        <v>581</v>
      </c>
      <c r="B2688" s="8">
        <v>28075.82</v>
      </c>
      <c r="C2688" s="8">
        <v>19732.57</v>
      </c>
      <c r="D2688" s="8">
        <v>142.28</v>
      </c>
    </row>
    <row r="2689" spans="1:4">
      <c r="A2689" s="7" t="s">
        <v>582</v>
      </c>
      <c r="B2689" s="8">
        <v>2470.7600000000002</v>
      </c>
      <c r="C2689" s="8">
        <v>2497.11</v>
      </c>
      <c r="D2689" s="8">
        <v>98.94</v>
      </c>
    </row>
    <row r="2690" spans="1:4">
      <c r="A2690" s="7" t="s">
        <v>732</v>
      </c>
      <c r="B2690" s="8">
        <v>140.27000000000001</v>
      </c>
      <c r="C2690" s="8">
        <v>154.80000000000001</v>
      </c>
      <c r="D2690" s="8">
        <v>90.62</v>
      </c>
    </row>
    <row r="2691" spans="1:4">
      <c r="A2691" s="7" t="s">
        <v>733</v>
      </c>
      <c r="B2691" s="8">
        <v>610.03</v>
      </c>
      <c r="C2691" s="8">
        <v>723.22</v>
      </c>
      <c r="D2691" s="8">
        <v>84.35</v>
      </c>
    </row>
    <row r="2692" spans="1:4">
      <c r="A2692" s="7" t="s">
        <v>734</v>
      </c>
      <c r="B2692" s="8">
        <v>660.52</v>
      </c>
      <c r="C2692" s="8">
        <v>890.62</v>
      </c>
      <c r="D2692" s="8">
        <v>74.16</v>
      </c>
    </row>
    <row r="2693" spans="1:4">
      <c r="A2693" s="7" t="s">
        <v>735</v>
      </c>
      <c r="B2693" s="8">
        <v>80</v>
      </c>
      <c r="C2693" s="8">
        <v>80</v>
      </c>
      <c r="D2693" s="8">
        <v>100</v>
      </c>
    </row>
    <row r="2694" spans="1:4">
      <c r="A2694" s="7" t="s">
        <v>736</v>
      </c>
      <c r="B2694" s="8">
        <v>80</v>
      </c>
      <c r="C2694" s="8">
        <v>80</v>
      </c>
      <c r="D2694" s="8">
        <v>100</v>
      </c>
    </row>
    <row r="2695" spans="1:4">
      <c r="A2695" s="7" t="s">
        <v>737</v>
      </c>
      <c r="B2695" s="8">
        <v>480</v>
      </c>
      <c r="C2695" s="8">
        <v>6797.02</v>
      </c>
      <c r="D2695" s="8">
        <v>7.06</v>
      </c>
    </row>
    <row r="2696" spans="1:4">
      <c r="A2696" s="7" t="s">
        <v>738</v>
      </c>
      <c r="B2696" s="8">
        <v>389.52</v>
      </c>
      <c r="C2696" s="8">
        <v>257.05</v>
      </c>
      <c r="D2696" s="8">
        <v>151.54</v>
      </c>
    </row>
    <row r="2697" spans="1:4">
      <c r="A2697" s="7" t="s">
        <v>739</v>
      </c>
      <c r="B2697" s="8">
        <v>6999.44</v>
      </c>
      <c r="C2697" s="8">
        <v>545</v>
      </c>
      <c r="D2697" s="8">
        <v>1284.3</v>
      </c>
    </row>
    <row r="2698" spans="1:4">
      <c r="A2698" s="7" t="s">
        <v>740</v>
      </c>
      <c r="B2698" s="8">
        <v>588.79</v>
      </c>
      <c r="C2698" s="8">
        <v>629.79999999999995</v>
      </c>
      <c r="D2698" s="8">
        <v>93.49</v>
      </c>
    </row>
    <row r="2699" spans="1:4">
      <c r="A2699" s="7" t="s">
        <v>741</v>
      </c>
      <c r="B2699" s="8">
        <v>90</v>
      </c>
      <c r="C2699" s="8">
        <v>90</v>
      </c>
      <c r="D2699" s="8">
        <v>100</v>
      </c>
    </row>
    <row r="2700" spans="1:4">
      <c r="A2700" s="7" t="s">
        <v>742</v>
      </c>
      <c r="B2700" s="8">
        <v>90</v>
      </c>
      <c r="C2700" s="8">
        <v>90</v>
      </c>
      <c r="D2700" s="8">
        <v>100</v>
      </c>
    </row>
    <row r="2701" spans="1:4">
      <c r="A2701" s="7" t="s">
        <v>743</v>
      </c>
      <c r="B2701" s="8">
        <v>605.14</v>
      </c>
      <c r="C2701" s="8">
        <v>610</v>
      </c>
      <c r="D2701" s="8">
        <v>99.2</v>
      </c>
    </row>
    <row r="2702" spans="1:4">
      <c r="A2702" s="7" t="s">
        <v>744</v>
      </c>
      <c r="B2702" s="8">
        <v>95</v>
      </c>
      <c r="C2702" s="8">
        <v>95</v>
      </c>
      <c r="D2702" s="8">
        <v>100</v>
      </c>
    </row>
    <row r="2703" spans="1:4">
      <c r="A2703" s="7" t="s">
        <v>745</v>
      </c>
      <c r="B2703" s="8">
        <v>95</v>
      </c>
      <c r="C2703" s="8">
        <v>95</v>
      </c>
      <c r="D2703" s="8">
        <v>100</v>
      </c>
    </row>
    <row r="2704" spans="1:4">
      <c r="A2704" s="7" t="s">
        <v>746</v>
      </c>
      <c r="B2704" s="8">
        <v>117.01</v>
      </c>
      <c r="C2704" s="8">
        <v>134</v>
      </c>
      <c r="D2704" s="8">
        <v>87.32</v>
      </c>
    </row>
    <row r="2705" spans="1:4">
      <c r="A2705" s="7" t="s">
        <v>747</v>
      </c>
      <c r="B2705" s="8">
        <v>117.01</v>
      </c>
      <c r="C2705" s="8">
        <v>134</v>
      </c>
      <c r="D2705" s="8">
        <v>87.32</v>
      </c>
    </row>
    <row r="2706" spans="1:4">
      <c r="A2706" s="7" t="s">
        <v>748</v>
      </c>
      <c r="B2706" s="8">
        <v>97.01</v>
      </c>
      <c r="C2706" s="8">
        <v>97.01</v>
      </c>
      <c r="D2706" s="8">
        <v>100</v>
      </c>
    </row>
    <row r="2707" spans="1:4">
      <c r="A2707" s="7" t="s">
        <v>749</v>
      </c>
      <c r="B2707" s="8">
        <v>97.01</v>
      </c>
      <c r="C2707" s="8">
        <v>97.01</v>
      </c>
      <c r="D2707" s="8">
        <v>100</v>
      </c>
    </row>
    <row r="2708" spans="1:4">
      <c r="A2708" s="7" t="s">
        <v>750</v>
      </c>
      <c r="B2708" s="8">
        <v>354.04</v>
      </c>
      <c r="C2708" s="8">
        <v>416.33</v>
      </c>
      <c r="D2708" s="8">
        <v>85.04</v>
      </c>
    </row>
    <row r="2709" spans="1:4">
      <c r="A2709" s="7" t="s">
        <v>751</v>
      </c>
      <c r="B2709" s="8">
        <v>90</v>
      </c>
      <c r="C2709" s="8">
        <v>90</v>
      </c>
      <c r="D2709" s="8">
        <v>100</v>
      </c>
    </row>
    <row r="2710" spans="1:4">
      <c r="A2710" s="7" t="s">
        <v>752</v>
      </c>
      <c r="B2710" s="8">
        <v>90</v>
      </c>
      <c r="C2710" s="8">
        <v>90</v>
      </c>
      <c r="D2710" s="8">
        <v>100</v>
      </c>
    </row>
    <row r="2711" spans="1:4">
      <c r="A2711" s="7" t="s">
        <v>753</v>
      </c>
      <c r="B2711" s="8">
        <v>445.42</v>
      </c>
      <c r="C2711" s="8">
        <v>396.33</v>
      </c>
      <c r="D2711" s="8">
        <v>112.39</v>
      </c>
    </row>
    <row r="2712" spans="1:4">
      <c r="A2712" s="7" t="s">
        <v>754</v>
      </c>
      <c r="B2712" s="8">
        <v>80</v>
      </c>
      <c r="C2712" s="8">
        <v>80</v>
      </c>
      <c r="D2712" s="8">
        <v>100</v>
      </c>
    </row>
    <row r="2713" spans="1:4">
      <c r="A2713" s="7" t="s">
        <v>755</v>
      </c>
      <c r="B2713" s="8">
        <v>80</v>
      </c>
      <c r="C2713" s="8">
        <v>80</v>
      </c>
      <c r="D2713" s="8">
        <v>100</v>
      </c>
    </row>
    <row r="2714" spans="1:4">
      <c r="A2714" s="7" t="s">
        <v>756</v>
      </c>
      <c r="B2714" s="8">
        <v>80</v>
      </c>
      <c r="C2714" s="8">
        <v>80</v>
      </c>
      <c r="D2714" s="8">
        <v>100</v>
      </c>
    </row>
    <row r="2715" spans="1:4">
      <c r="A2715" s="7" t="s">
        <v>757</v>
      </c>
      <c r="B2715" s="8">
        <v>80</v>
      </c>
      <c r="C2715" s="8">
        <v>80</v>
      </c>
      <c r="D2715" s="8">
        <v>100</v>
      </c>
    </row>
    <row r="2716" spans="1:4">
      <c r="A2716" s="7" t="s">
        <v>758</v>
      </c>
      <c r="B2716" s="8">
        <v>80</v>
      </c>
      <c r="C2716" s="8">
        <v>80</v>
      </c>
      <c r="D2716" s="8">
        <v>100</v>
      </c>
    </row>
    <row r="2717" spans="1:4">
      <c r="A2717" s="7" t="s">
        <v>759</v>
      </c>
      <c r="B2717" s="8">
        <v>80</v>
      </c>
      <c r="C2717" s="8">
        <v>80</v>
      </c>
      <c r="D2717" s="8">
        <v>100</v>
      </c>
    </row>
    <row r="2718" spans="1:4">
      <c r="A2718" s="7" t="s">
        <v>760</v>
      </c>
      <c r="B2718" s="8">
        <v>80</v>
      </c>
      <c r="C2718" s="8">
        <v>80</v>
      </c>
      <c r="D2718" s="8">
        <v>100</v>
      </c>
    </row>
    <row r="2719" spans="1:4">
      <c r="A2719" s="7" t="s">
        <v>761</v>
      </c>
      <c r="B2719" s="8">
        <v>80</v>
      </c>
      <c r="C2719" s="8">
        <v>80</v>
      </c>
      <c r="D2719" s="8">
        <v>100</v>
      </c>
    </row>
    <row r="2720" spans="1:4">
      <c r="A2720" s="7" t="s">
        <v>762</v>
      </c>
      <c r="B2720" s="8">
        <v>80</v>
      </c>
      <c r="C2720" s="8">
        <v>80</v>
      </c>
      <c r="D2720" s="8">
        <v>100</v>
      </c>
    </row>
    <row r="2721" spans="1:4">
      <c r="A2721" s="7" t="s">
        <v>763</v>
      </c>
      <c r="B2721" s="8">
        <v>80</v>
      </c>
      <c r="C2721" s="8">
        <v>80</v>
      </c>
      <c r="D2721" s="8">
        <v>100</v>
      </c>
    </row>
    <row r="2722" spans="1:4">
      <c r="A2722" s="7" t="s">
        <v>764</v>
      </c>
      <c r="B2722" s="8">
        <v>80</v>
      </c>
      <c r="C2722" s="8">
        <v>80</v>
      </c>
      <c r="D2722" s="8">
        <v>100</v>
      </c>
    </row>
    <row r="2723" spans="1:4">
      <c r="A2723" s="7" t="s">
        <v>765</v>
      </c>
      <c r="B2723" s="8">
        <v>80</v>
      </c>
      <c r="C2723" s="8">
        <v>80</v>
      </c>
      <c r="D2723" s="8">
        <v>100</v>
      </c>
    </row>
    <row r="2724" spans="1:4">
      <c r="A2724" s="7" t="s">
        <v>766</v>
      </c>
      <c r="B2724" s="8">
        <v>95</v>
      </c>
      <c r="C2724" s="8">
        <v>95</v>
      </c>
      <c r="D2724" s="8">
        <v>100</v>
      </c>
    </row>
    <row r="2725" spans="1:4">
      <c r="A2725" s="7" t="s">
        <v>767</v>
      </c>
      <c r="B2725" s="8">
        <v>95</v>
      </c>
      <c r="C2725" s="8">
        <v>95</v>
      </c>
      <c r="D2725" s="8">
        <v>100</v>
      </c>
    </row>
    <row r="2726" spans="1:4">
      <c r="A2726" s="7" t="s">
        <v>768</v>
      </c>
      <c r="B2726" s="8">
        <v>117.01</v>
      </c>
      <c r="C2726" s="8">
        <v>134</v>
      </c>
      <c r="D2726" s="8">
        <v>87.32</v>
      </c>
    </row>
    <row r="2727" spans="1:4">
      <c r="A2727" s="7" t="s">
        <v>769</v>
      </c>
      <c r="B2727" s="8">
        <v>117.01</v>
      </c>
      <c r="C2727" s="8">
        <v>134</v>
      </c>
      <c r="D2727" s="8">
        <v>87.32</v>
      </c>
    </row>
    <row r="2728" spans="1:4">
      <c r="A2728" s="7" t="s">
        <v>770</v>
      </c>
      <c r="B2728" s="8">
        <v>97.01</v>
      </c>
      <c r="C2728" s="8">
        <v>97.01</v>
      </c>
      <c r="D2728" s="8">
        <v>100</v>
      </c>
    </row>
    <row r="2729" spans="1:4">
      <c r="A2729" s="7" t="s">
        <v>771</v>
      </c>
      <c r="B2729" s="8">
        <v>97.01</v>
      </c>
      <c r="C2729" s="8">
        <v>97.01</v>
      </c>
      <c r="D2729" s="8">
        <v>100</v>
      </c>
    </row>
    <row r="2730" spans="1:4">
      <c r="A2730" s="7" t="s">
        <v>772</v>
      </c>
      <c r="B2730" s="8">
        <v>80</v>
      </c>
      <c r="C2730" s="8">
        <v>80</v>
      </c>
      <c r="D2730" s="8">
        <v>100</v>
      </c>
    </row>
    <row r="2731" spans="1:4">
      <c r="A2731" s="7" t="s">
        <v>773</v>
      </c>
      <c r="B2731" s="8">
        <v>80</v>
      </c>
      <c r="C2731" s="8">
        <v>80</v>
      </c>
      <c r="D2731" s="8">
        <v>100</v>
      </c>
    </row>
    <row r="2732" spans="1:4">
      <c r="A2732" s="7" t="s">
        <v>774</v>
      </c>
      <c r="B2732" s="8">
        <v>80</v>
      </c>
      <c r="C2732" s="8">
        <v>80</v>
      </c>
      <c r="D2732" s="8">
        <v>100</v>
      </c>
    </row>
    <row r="2733" spans="1:4">
      <c r="A2733" s="7" t="s">
        <v>775</v>
      </c>
      <c r="B2733" s="8">
        <v>80</v>
      </c>
      <c r="C2733" s="8">
        <v>80</v>
      </c>
      <c r="D2733" s="8">
        <v>100</v>
      </c>
    </row>
    <row r="2734" spans="1:4">
      <c r="A2734" s="7" t="s">
        <v>776</v>
      </c>
      <c r="B2734" s="8">
        <v>187.28</v>
      </c>
      <c r="C2734" s="8">
        <v>240</v>
      </c>
      <c r="D2734" s="8">
        <v>78.03</v>
      </c>
    </row>
    <row r="2735" spans="1:4">
      <c r="A2735" s="7" t="s">
        <v>777</v>
      </c>
      <c r="B2735" s="8">
        <v>97.6</v>
      </c>
      <c r="C2735" s="8">
        <v>97.6</v>
      </c>
      <c r="D2735" s="8">
        <v>100</v>
      </c>
    </row>
    <row r="2736" spans="1:4">
      <c r="A2736" s="7" t="s">
        <v>778</v>
      </c>
      <c r="B2736" s="8">
        <v>140.27000000000001</v>
      </c>
      <c r="C2736" s="8">
        <v>154.80000000000001</v>
      </c>
      <c r="D2736" s="8">
        <v>90.62</v>
      </c>
    </row>
    <row r="2737" spans="1:4">
      <c r="A2737" s="7" t="s">
        <v>779</v>
      </c>
      <c r="B2737" s="8">
        <v>90</v>
      </c>
      <c r="C2737" s="8">
        <v>90</v>
      </c>
      <c r="D2737" s="8">
        <v>100</v>
      </c>
    </row>
    <row r="2738" spans="1:4">
      <c r="A2738" s="7" t="s">
        <v>780</v>
      </c>
      <c r="B2738" s="8">
        <v>90</v>
      </c>
      <c r="C2738" s="8">
        <v>90</v>
      </c>
      <c r="D2738" s="8">
        <v>100</v>
      </c>
    </row>
    <row r="2739" spans="1:4">
      <c r="A2739" s="7" t="s">
        <v>781</v>
      </c>
      <c r="B2739" s="8">
        <v>140.27000000000001</v>
      </c>
      <c r="C2739" s="8">
        <v>154.80000000000001</v>
      </c>
      <c r="D2739" s="8">
        <v>90.62</v>
      </c>
    </row>
    <row r="2740" spans="1:4">
      <c r="A2740" s="7" t="s">
        <v>782</v>
      </c>
      <c r="B2740" s="8">
        <v>140.27000000000001</v>
      </c>
      <c r="C2740" s="8">
        <v>154.80000000000001</v>
      </c>
      <c r="D2740" s="8">
        <v>90.62</v>
      </c>
    </row>
    <row r="2741" spans="1:4">
      <c r="A2741" s="7" t="s">
        <v>783</v>
      </c>
      <c r="B2741" s="8">
        <v>90</v>
      </c>
      <c r="C2741" s="8">
        <v>90</v>
      </c>
      <c r="D2741" s="8">
        <v>100</v>
      </c>
    </row>
    <row r="2742" spans="1:4">
      <c r="A2742" s="7" t="s">
        <v>784</v>
      </c>
      <c r="B2742" s="8">
        <v>90</v>
      </c>
      <c r="C2742" s="8">
        <v>90</v>
      </c>
      <c r="D2742" s="8">
        <v>100</v>
      </c>
    </row>
    <row r="2743" spans="1:4">
      <c r="A2743" s="7" t="s">
        <v>785</v>
      </c>
      <c r="B2743" s="8">
        <v>140.27000000000001</v>
      </c>
      <c r="C2743" s="8">
        <v>154.80000000000001</v>
      </c>
      <c r="D2743" s="8">
        <v>90.62</v>
      </c>
    </row>
    <row r="2744" spans="1:4">
      <c r="A2744" s="7" t="s">
        <v>786</v>
      </c>
      <c r="B2744" s="8">
        <v>140.27000000000001</v>
      </c>
      <c r="C2744" s="8">
        <v>154.80000000000001</v>
      </c>
      <c r="D2744" s="8">
        <v>90.62</v>
      </c>
    </row>
    <row r="2745" spans="1:4">
      <c r="A2745" s="7" t="s">
        <v>787</v>
      </c>
      <c r="B2745" s="8">
        <v>90</v>
      </c>
      <c r="C2745" s="8">
        <v>90</v>
      </c>
      <c r="D2745" s="8">
        <v>100</v>
      </c>
    </row>
    <row r="2746" spans="1:4">
      <c r="A2746" s="7" t="s">
        <v>788</v>
      </c>
      <c r="B2746" s="8">
        <v>90</v>
      </c>
      <c r="C2746" s="8">
        <v>90</v>
      </c>
      <c r="D2746" s="8">
        <v>100</v>
      </c>
    </row>
    <row r="2747" spans="1:4">
      <c r="A2747" s="7" t="s">
        <v>789</v>
      </c>
      <c r="B2747" s="8">
        <v>140.27000000000001</v>
      </c>
      <c r="C2747" s="8">
        <v>154.80000000000001</v>
      </c>
      <c r="D2747" s="8">
        <v>90.62</v>
      </c>
    </row>
    <row r="2748" spans="1:4">
      <c r="A2748" s="7" t="s">
        <v>790</v>
      </c>
      <c r="B2748" s="8">
        <v>140.27000000000001</v>
      </c>
      <c r="C2748" s="8">
        <v>154.80000000000001</v>
      </c>
      <c r="D2748" s="8">
        <v>90.62</v>
      </c>
    </row>
    <row r="2749" spans="1:4">
      <c r="A2749" s="7" t="s">
        <v>791</v>
      </c>
      <c r="B2749" s="8">
        <v>90</v>
      </c>
      <c r="C2749" s="8">
        <v>90</v>
      </c>
      <c r="D2749" s="8">
        <v>100</v>
      </c>
    </row>
    <row r="2750" spans="1:4">
      <c r="A2750" s="7" t="s">
        <v>792</v>
      </c>
      <c r="B2750" s="8">
        <v>90</v>
      </c>
      <c r="C2750" s="8">
        <v>90</v>
      </c>
      <c r="D2750" s="8">
        <v>100</v>
      </c>
    </row>
    <row r="2751" spans="1:4">
      <c r="A2751" s="7" t="s">
        <v>793</v>
      </c>
      <c r="B2751" s="8">
        <v>140.27000000000001</v>
      </c>
      <c r="C2751" s="8">
        <v>154.80000000000001</v>
      </c>
      <c r="D2751" s="8">
        <v>90.62</v>
      </c>
    </row>
    <row r="2752" spans="1:4">
      <c r="A2752" s="7" t="s">
        <v>794</v>
      </c>
      <c r="B2752" s="8">
        <v>166.57</v>
      </c>
      <c r="C2752" s="8">
        <v>150</v>
      </c>
      <c r="D2752" s="8">
        <v>111.05</v>
      </c>
    </row>
    <row r="2753" spans="1:4">
      <c r="A2753" s="7" t="s">
        <v>795</v>
      </c>
      <c r="B2753" s="8">
        <v>173.31</v>
      </c>
      <c r="C2753" s="8">
        <v>202.6</v>
      </c>
      <c r="D2753" s="8">
        <v>85.54</v>
      </c>
    </row>
    <row r="2754" spans="1:4">
      <c r="A2754" s="7" t="s">
        <v>796</v>
      </c>
      <c r="B2754" s="8">
        <v>80</v>
      </c>
      <c r="C2754" s="8">
        <v>80</v>
      </c>
      <c r="D2754" s="8">
        <v>100</v>
      </c>
    </row>
    <row r="2755" spans="1:4">
      <c r="A2755" s="7" t="s">
        <v>797</v>
      </c>
      <c r="B2755" s="8">
        <v>80</v>
      </c>
      <c r="C2755" s="8">
        <v>80</v>
      </c>
      <c r="D2755" s="8">
        <v>100</v>
      </c>
    </row>
    <row r="2756" spans="1:4">
      <c r="A2756" s="7" t="s">
        <v>798</v>
      </c>
      <c r="B2756" s="8">
        <v>80</v>
      </c>
      <c r="C2756" s="8">
        <v>80</v>
      </c>
      <c r="D2756" s="8">
        <v>100</v>
      </c>
    </row>
    <row r="2757" spans="1:4">
      <c r="A2757" s="7" t="s">
        <v>799</v>
      </c>
      <c r="B2757" s="8">
        <v>80</v>
      </c>
      <c r="C2757" s="8">
        <v>80</v>
      </c>
      <c r="D2757" s="8">
        <v>100</v>
      </c>
    </row>
    <row r="2758" spans="1:4">
      <c r="A2758" s="7" t="s">
        <v>800</v>
      </c>
      <c r="B2758" s="8">
        <v>140.27000000000001</v>
      </c>
      <c r="C2758" s="8">
        <v>154.80000000000001</v>
      </c>
      <c r="D2758" s="8">
        <v>90.62</v>
      </c>
    </row>
    <row r="2759" spans="1:4">
      <c r="A2759" s="7" t="s">
        <v>801</v>
      </c>
      <c r="B2759" s="8">
        <v>90</v>
      </c>
      <c r="C2759" s="8">
        <v>90</v>
      </c>
      <c r="D2759" s="8">
        <v>100</v>
      </c>
    </row>
    <row r="2760" spans="1:4">
      <c r="A2760" s="7" t="s">
        <v>802</v>
      </c>
      <c r="B2760" s="8">
        <v>90</v>
      </c>
      <c r="C2760" s="8">
        <v>90</v>
      </c>
      <c r="D2760" s="8">
        <v>100</v>
      </c>
    </row>
    <row r="2761" spans="1:4">
      <c r="A2761" s="7" t="s">
        <v>803</v>
      </c>
      <c r="B2761" s="8">
        <v>140.27000000000001</v>
      </c>
      <c r="C2761" s="8">
        <v>154.80000000000001</v>
      </c>
      <c r="D2761" s="8">
        <v>90.62</v>
      </c>
    </row>
    <row r="2762" spans="1:4">
      <c r="A2762" s="7" t="s">
        <v>804</v>
      </c>
      <c r="B2762" s="8">
        <v>187.28</v>
      </c>
      <c r="C2762" s="8">
        <v>240</v>
      </c>
      <c r="D2762" s="8">
        <v>78.03</v>
      </c>
    </row>
    <row r="2763" spans="1:4">
      <c r="A2763" s="7" t="s">
        <v>805</v>
      </c>
      <c r="B2763" s="8">
        <v>97.6</v>
      </c>
      <c r="C2763" s="8">
        <v>97.6</v>
      </c>
      <c r="D2763" s="8">
        <v>100</v>
      </c>
    </row>
    <row r="2764" spans="1:4">
      <c r="A2764" s="7" t="s">
        <v>806</v>
      </c>
      <c r="B2764" s="8">
        <v>140.27000000000001</v>
      </c>
      <c r="C2764" s="8">
        <v>154.80000000000001</v>
      </c>
      <c r="D2764" s="8">
        <v>90.62</v>
      </c>
    </row>
    <row r="2765" spans="1:4">
      <c r="A2765" s="7" t="s">
        <v>807</v>
      </c>
      <c r="B2765" s="8">
        <v>90</v>
      </c>
      <c r="C2765" s="8">
        <v>90</v>
      </c>
      <c r="D2765" s="8">
        <v>100</v>
      </c>
    </row>
    <row r="2766" spans="1:4">
      <c r="A2766" s="7" t="s">
        <v>808</v>
      </c>
      <c r="B2766" s="8">
        <v>90</v>
      </c>
      <c r="C2766" s="8">
        <v>90</v>
      </c>
      <c r="D2766" s="8">
        <v>100</v>
      </c>
    </row>
    <row r="2767" spans="1:4">
      <c r="A2767" s="7" t="s">
        <v>809</v>
      </c>
      <c r="B2767" s="8">
        <v>140.27000000000001</v>
      </c>
      <c r="C2767" s="8">
        <v>154.80000000000001</v>
      </c>
      <c r="D2767" s="8">
        <v>90.62</v>
      </c>
    </row>
    <row r="2768" spans="1:4">
      <c r="A2768" s="7" t="s">
        <v>810</v>
      </c>
      <c r="B2768" s="8">
        <v>187.28</v>
      </c>
      <c r="C2768" s="8">
        <v>240</v>
      </c>
      <c r="D2768" s="8">
        <v>78.03</v>
      </c>
    </row>
    <row r="2769" spans="1:4">
      <c r="A2769" s="7" t="s">
        <v>811</v>
      </c>
      <c r="B2769" s="8">
        <v>97.6</v>
      </c>
      <c r="C2769" s="8">
        <v>97.6</v>
      </c>
      <c r="D2769" s="8">
        <v>100</v>
      </c>
    </row>
    <row r="2770" spans="1:4">
      <c r="A2770" s="7" t="s">
        <v>812</v>
      </c>
      <c r="B2770" s="8">
        <v>187.28</v>
      </c>
      <c r="C2770" s="8">
        <v>240</v>
      </c>
      <c r="D2770" s="8">
        <v>78.03</v>
      </c>
    </row>
    <row r="2771" spans="1:4">
      <c r="A2771" s="7" t="s">
        <v>813</v>
      </c>
      <c r="B2771" s="8">
        <v>97.6</v>
      </c>
      <c r="C2771" s="8">
        <v>97.6</v>
      </c>
      <c r="D2771" s="8">
        <v>100</v>
      </c>
    </row>
    <row r="2772" spans="1:4">
      <c r="A2772" s="7" t="s">
        <v>814</v>
      </c>
      <c r="B2772" s="8">
        <v>97.6</v>
      </c>
      <c r="C2772" s="8">
        <v>97.6</v>
      </c>
      <c r="D2772" s="8">
        <v>100</v>
      </c>
    </row>
    <row r="2773" spans="1:4">
      <c r="A2773" s="7" t="s">
        <v>815</v>
      </c>
      <c r="B2773" s="8">
        <v>187.28</v>
      </c>
      <c r="C2773" s="8">
        <v>240</v>
      </c>
      <c r="D2773" s="8">
        <v>78.03</v>
      </c>
    </row>
    <row r="2774" spans="1:4">
      <c r="A2774" s="7" t="s">
        <v>816</v>
      </c>
      <c r="B2774" s="8">
        <v>97.6</v>
      </c>
      <c r="C2774" s="8">
        <v>97.6</v>
      </c>
      <c r="D2774" s="8">
        <v>100</v>
      </c>
    </row>
    <row r="2775" spans="1:4">
      <c r="A2775" s="7" t="s">
        <v>817</v>
      </c>
      <c r="B2775" s="8">
        <v>187.28</v>
      </c>
      <c r="C2775" s="8">
        <v>240</v>
      </c>
      <c r="D2775" s="8">
        <v>78.03</v>
      </c>
    </row>
    <row r="2776" spans="1:4">
      <c r="A2776" s="7" t="s">
        <v>818</v>
      </c>
      <c r="B2776" s="8">
        <v>97.6</v>
      </c>
      <c r="C2776" s="8">
        <v>97.6</v>
      </c>
      <c r="D2776" s="8">
        <v>100</v>
      </c>
    </row>
    <row r="2777" spans="1:4">
      <c r="A2777" s="7" t="s">
        <v>819</v>
      </c>
      <c r="B2777" s="8">
        <v>187.28</v>
      </c>
      <c r="C2777" s="8">
        <v>240</v>
      </c>
      <c r="D2777" s="8">
        <v>78.03</v>
      </c>
    </row>
    <row r="2778" spans="1:4">
      <c r="A2778" s="7" t="s">
        <v>820</v>
      </c>
      <c r="B2778" s="8">
        <v>97.6</v>
      </c>
      <c r="C2778" s="8">
        <v>97.6</v>
      </c>
      <c r="D2778" s="8">
        <v>100</v>
      </c>
    </row>
    <row r="2779" spans="1:4">
      <c r="A2779" s="7" t="s">
        <v>821</v>
      </c>
      <c r="B2779" s="8">
        <v>187.28</v>
      </c>
      <c r="C2779" s="8">
        <v>240</v>
      </c>
      <c r="D2779" s="8">
        <v>78.03</v>
      </c>
    </row>
    <row r="2780" spans="1:4">
      <c r="A2780" s="7" t="s">
        <v>822</v>
      </c>
      <c r="B2780" s="8">
        <v>97.6</v>
      </c>
      <c r="C2780" s="8">
        <v>97.6</v>
      </c>
      <c r="D2780" s="8">
        <v>100</v>
      </c>
    </row>
    <row r="2781" spans="1:4">
      <c r="A2781" s="7" t="s">
        <v>823</v>
      </c>
      <c r="B2781" s="8">
        <v>95</v>
      </c>
      <c r="C2781" s="8">
        <v>95</v>
      </c>
      <c r="D2781" s="8">
        <v>100</v>
      </c>
    </row>
    <row r="2782" spans="1:4">
      <c r="A2782" s="7" t="s">
        <v>824</v>
      </c>
      <c r="B2782" s="8">
        <v>95</v>
      </c>
      <c r="C2782" s="8">
        <v>95</v>
      </c>
      <c r="D2782" s="8">
        <v>100</v>
      </c>
    </row>
    <row r="2783" spans="1:4">
      <c r="A2783" s="7" t="s">
        <v>825</v>
      </c>
      <c r="B2783" s="8">
        <v>95</v>
      </c>
      <c r="C2783" s="8">
        <v>95</v>
      </c>
      <c r="D2783" s="8">
        <v>100</v>
      </c>
    </row>
    <row r="2784" spans="1:4">
      <c r="A2784" s="7" t="s">
        <v>826</v>
      </c>
      <c r="B2784" s="8">
        <v>95</v>
      </c>
      <c r="C2784" s="8">
        <v>95</v>
      </c>
      <c r="D2784" s="8">
        <v>100</v>
      </c>
    </row>
    <row r="2785" spans="1:4">
      <c r="A2785" s="7" t="s">
        <v>827</v>
      </c>
      <c r="B2785" s="8">
        <v>4237.17</v>
      </c>
      <c r="C2785" s="8">
        <v>4911.58</v>
      </c>
      <c r="D2785" s="8">
        <v>86.27</v>
      </c>
    </row>
    <row r="2786" spans="1:4">
      <c r="A2786" s="7" t="s">
        <v>828</v>
      </c>
      <c r="B2786" s="8">
        <v>5678.73</v>
      </c>
      <c r="C2786" s="8">
        <v>5973.16</v>
      </c>
      <c r="D2786" s="8">
        <v>95.07</v>
      </c>
    </row>
    <row r="2787" spans="1:4">
      <c r="A2787" s="7" t="s">
        <v>829</v>
      </c>
      <c r="B2787" s="8">
        <v>6989.69</v>
      </c>
      <c r="C2787" s="8">
        <v>5031.91</v>
      </c>
      <c r="D2787" s="8">
        <v>138.91</v>
      </c>
    </row>
    <row r="2788" spans="1:4">
      <c r="A2788" s="7" t="s">
        <v>830</v>
      </c>
      <c r="B2788" s="8">
        <v>11825.93</v>
      </c>
      <c r="C2788" s="8">
        <v>11760.59</v>
      </c>
      <c r="D2788" s="8">
        <v>100.56</v>
      </c>
    </row>
    <row r="2789" spans="1:4">
      <c r="A2789" s="7" t="s">
        <v>831</v>
      </c>
      <c r="B2789" s="8">
        <v>14872.4</v>
      </c>
      <c r="C2789" s="8">
        <v>12870.35</v>
      </c>
      <c r="D2789" s="8">
        <v>115.56</v>
      </c>
    </row>
    <row r="2790" spans="1:4">
      <c r="A2790" s="7" t="s">
        <v>832</v>
      </c>
      <c r="B2790" s="8">
        <v>6727.22</v>
      </c>
      <c r="C2790" s="8">
        <v>6147.27</v>
      </c>
      <c r="D2790" s="8">
        <v>109.43</v>
      </c>
    </row>
    <row r="2791" spans="1:4">
      <c r="A2791" s="7" t="s">
        <v>626</v>
      </c>
      <c r="B2791" s="8">
        <v>15000.39</v>
      </c>
      <c r="C2791" s="8">
        <v>3399.69</v>
      </c>
      <c r="D2791" s="8">
        <v>441.23</v>
      </c>
    </row>
    <row r="2792" spans="1:4">
      <c r="A2792" s="7" t="s">
        <v>587</v>
      </c>
      <c r="B2792" s="8">
        <v>7190.02</v>
      </c>
      <c r="C2792" s="8">
        <v>5290.35</v>
      </c>
      <c r="D2792" s="8">
        <v>135.91</v>
      </c>
    </row>
    <row r="2793" spans="1:4">
      <c r="A2793" s="7" t="s">
        <v>833</v>
      </c>
      <c r="B2793" s="8">
        <v>8763.4599999999991</v>
      </c>
      <c r="C2793" s="8">
        <v>7946.91</v>
      </c>
      <c r="D2793" s="8">
        <v>110.28</v>
      </c>
    </row>
    <row r="2794" spans="1:4">
      <c r="A2794" s="7" t="s">
        <v>834</v>
      </c>
      <c r="B2794" s="8">
        <v>13090.37</v>
      </c>
      <c r="C2794" s="8">
        <v>11714.91</v>
      </c>
      <c r="D2794" s="8">
        <v>111.74</v>
      </c>
    </row>
    <row r="2795" spans="1:4">
      <c r="A2795" s="7" t="s">
        <v>835</v>
      </c>
      <c r="B2795" s="8">
        <v>8934.4500000000007</v>
      </c>
      <c r="C2795" s="8">
        <v>7003.19</v>
      </c>
      <c r="D2795" s="8">
        <v>127.58</v>
      </c>
    </row>
    <row r="2796" spans="1:4">
      <c r="A2796" s="7" t="s">
        <v>607</v>
      </c>
      <c r="B2796" s="8">
        <v>15999.52</v>
      </c>
      <c r="C2796" s="8">
        <v>9756.5499999999993</v>
      </c>
      <c r="D2796" s="8">
        <v>163.99</v>
      </c>
    </row>
    <row r="2797" spans="1:4">
      <c r="A2797" s="7" t="s">
        <v>627</v>
      </c>
      <c r="B2797" s="8">
        <v>15000.21</v>
      </c>
      <c r="C2797" s="8">
        <v>8262.36</v>
      </c>
      <c r="D2797" s="8">
        <v>181.55</v>
      </c>
    </row>
    <row r="2798" spans="1:4">
      <c r="A2798" s="7" t="s">
        <v>588</v>
      </c>
      <c r="B2798" s="8">
        <v>19499.439999999999</v>
      </c>
      <c r="C2798" s="8">
        <v>9973.82</v>
      </c>
      <c r="D2798" s="8">
        <v>195.51</v>
      </c>
    </row>
    <row r="2799" spans="1:4">
      <c r="A2799" s="7" t="s">
        <v>836</v>
      </c>
      <c r="B2799" s="8">
        <v>2365.5100000000002</v>
      </c>
      <c r="C2799" s="8">
        <v>1377.05</v>
      </c>
      <c r="D2799" s="8">
        <v>171.78</v>
      </c>
    </row>
    <row r="2800" spans="1:4">
      <c r="A2800" s="7" t="s">
        <v>837</v>
      </c>
      <c r="B2800" s="8">
        <v>197.77</v>
      </c>
      <c r="C2800" s="8">
        <v>493.27</v>
      </c>
      <c r="D2800" s="8">
        <v>40.090000000000003</v>
      </c>
    </row>
    <row r="2801" spans="1:4">
      <c r="A2801" s="7" t="s">
        <v>838</v>
      </c>
      <c r="B2801" s="8">
        <v>693.81</v>
      </c>
      <c r="C2801" s="8">
        <v>614.64</v>
      </c>
      <c r="D2801" s="8">
        <v>112.88</v>
      </c>
    </row>
    <row r="2802" spans="1:4">
      <c r="A2802" s="7" t="s">
        <v>839</v>
      </c>
      <c r="B2802" s="8">
        <v>134.66999999999999</v>
      </c>
      <c r="C2802" s="8">
        <v>134.69</v>
      </c>
      <c r="D2802" s="8">
        <v>99.98</v>
      </c>
    </row>
    <row r="2803" spans="1:4">
      <c r="A2803" s="7" t="s">
        <v>840</v>
      </c>
      <c r="B2803" s="8">
        <v>693.81</v>
      </c>
      <c r="C2803" s="8">
        <v>614.64</v>
      </c>
      <c r="D2803" s="8">
        <v>112.88</v>
      </c>
    </row>
    <row r="2804" spans="1:4">
      <c r="A2804" s="7" t="s">
        <v>841</v>
      </c>
      <c r="B2804" s="8">
        <v>134.66999999999999</v>
      </c>
      <c r="C2804" s="8">
        <v>134.69</v>
      </c>
      <c r="D2804" s="8">
        <v>99.98</v>
      </c>
    </row>
    <row r="2805" spans="1:4">
      <c r="A2805" s="7" t="s">
        <v>842</v>
      </c>
      <c r="B2805" s="8">
        <v>1676.43</v>
      </c>
      <c r="C2805" s="8">
        <v>1561.36</v>
      </c>
      <c r="D2805" s="8">
        <v>107.37</v>
      </c>
    </row>
    <row r="2806" spans="1:4">
      <c r="A2806" s="7" t="s">
        <v>843</v>
      </c>
      <c r="B2806" s="8">
        <v>2000.47</v>
      </c>
      <c r="C2806" s="8">
        <v>1859.95</v>
      </c>
      <c r="D2806" s="8">
        <v>107.56</v>
      </c>
    </row>
    <row r="2807" spans="1:4">
      <c r="A2807" s="7" t="s">
        <v>844</v>
      </c>
      <c r="B2807" s="8">
        <v>113.48</v>
      </c>
      <c r="C2807" s="8">
        <v>125.2</v>
      </c>
      <c r="D2807" s="8">
        <v>90.64</v>
      </c>
    </row>
    <row r="2808" spans="1:4">
      <c r="A2808" s="7" t="s">
        <v>845</v>
      </c>
      <c r="B2808" s="8">
        <v>113.48</v>
      </c>
      <c r="C2808" s="8">
        <v>125.2</v>
      </c>
      <c r="D2808" s="8">
        <v>90.64</v>
      </c>
    </row>
    <row r="2809" spans="1:4">
      <c r="A2809" s="7" t="s">
        <v>846</v>
      </c>
      <c r="B2809" s="8">
        <v>225.4</v>
      </c>
      <c r="C2809" s="8">
        <v>225.4</v>
      </c>
      <c r="D2809" s="8">
        <v>100</v>
      </c>
    </row>
    <row r="2810" spans="1:4">
      <c r="A2810" s="7" t="s">
        <v>847</v>
      </c>
      <c r="B2810" s="8">
        <v>70</v>
      </c>
      <c r="C2810" s="8">
        <v>70</v>
      </c>
      <c r="D2810" s="8">
        <v>100</v>
      </c>
    </row>
    <row r="2811" spans="1:4">
      <c r="A2811" s="7" t="s">
        <v>848</v>
      </c>
      <c r="B2811" s="8">
        <v>70</v>
      </c>
      <c r="C2811" s="8">
        <v>70</v>
      </c>
      <c r="D2811" s="8">
        <v>100</v>
      </c>
    </row>
    <row r="2812" spans="1:4">
      <c r="A2812" s="7" t="s">
        <v>849</v>
      </c>
      <c r="B2812" s="8">
        <v>445.19</v>
      </c>
      <c r="C2812" s="8">
        <v>373.08</v>
      </c>
      <c r="D2812" s="8">
        <v>119.33</v>
      </c>
    </row>
    <row r="2813" spans="1:4">
      <c r="A2813" s="7" t="s">
        <v>850</v>
      </c>
      <c r="B2813" s="8">
        <v>188.06</v>
      </c>
      <c r="C2813" s="8">
        <v>220.4</v>
      </c>
      <c r="D2813" s="8">
        <v>85.33</v>
      </c>
    </row>
    <row r="2814" spans="1:4">
      <c r="A2814" s="7" t="s">
        <v>851</v>
      </c>
      <c r="B2814" s="8">
        <v>82.15</v>
      </c>
      <c r="C2814" s="8">
        <v>85.2</v>
      </c>
      <c r="D2814" s="8">
        <v>96.42</v>
      </c>
    </row>
    <row r="2815" spans="1:4">
      <c r="A2815" s="7" t="s">
        <v>852</v>
      </c>
      <c r="B2815" s="8">
        <v>385.21</v>
      </c>
      <c r="C2815" s="8">
        <v>394.5</v>
      </c>
      <c r="D2815" s="8">
        <v>97.64</v>
      </c>
    </row>
    <row r="2816" spans="1:4">
      <c r="A2816" s="7" t="s">
        <v>853</v>
      </c>
      <c r="B2816" s="8">
        <v>86.95</v>
      </c>
      <c r="C2816" s="8">
        <v>89.42</v>
      </c>
      <c r="D2816" s="8">
        <v>97.24</v>
      </c>
    </row>
    <row r="2817" spans="1:4">
      <c r="A2817" s="7" t="s">
        <v>854</v>
      </c>
      <c r="B2817" s="8">
        <v>179.28</v>
      </c>
      <c r="C2817" s="8">
        <v>220.4</v>
      </c>
      <c r="D2817" s="8">
        <v>81.34</v>
      </c>
    </row>
    <row r="2818" spans="1:4">
      <c r="A2818" s="7" t="s">
        <v>855</v>
      </c>
      <c r="B2818" s="8">
        <v>82.15</v>
      </c>
      <c r="C2818" s="8">
        <v>85.2</v>
      </c>
      <c r="D2818" s="8">
        <v>96.42</v>
      </c>
    </row>
    <row r="2819" spans="1:4">
      <c r="A2819" s="7" t="s">
        <v>856</v>
      </c>
      <c r="B2819" s="8">
        <v>55.2</v>
      </c>
      <c r="C2819" s="8">
        <v>55.2</v>
      </c>
      <c r="D2819" s="8">
        <v>100</v>
      </c>
    </row>
    <row r="2820" spans="1:4">
      <c r="A2820" s="7" t="s">
        <v>857</v>
      </c>
      <c r="B2820" s="8">
        <v>135.63999999999999</v>
      </c>
      <c r="C2820" s="8">
        <v>150.4</v>
      </c>
      <c r="D2820" s="8">
        <v>90.18</v>
      </c>
    </row>
    <row r="2821" spans="1:4">
      <c r="A2821" s="7" t="s">
        <v>858</v>
      </c>
      <c r="B2821" s="8">
        <v>80</v>
      </c>
      <c r="C2821" s="8">
        <v>80</v>
      </c>
      <c r="D2821" s="8">
        <v>100</v>
      </c>
    </row>
    <row r="2822" spans="1:4">
      <c r="A2822" s="7" t="s">
        <v>859</v>
      </c>
      <c r="B2822" s="8">
        <v>135.63999999999999</v>
      </c>
      <c r="C2822" s="8">
        <v>150.4</v>
      </c>
      <c r="D2822" s="8">
        <v>90.18</v>
      </c>
    </row>
    <row r="2823" spans="1:4">
      <c r="A2823" s="7" t="s">
        <v>860</v>
      </c>
      <c r="B2823" s="8">
        <v>80</v>
      </c>
      <c r="C2823" s="8">
        <v>80</v>
      </c>
      <c r="D2823" s="8">
        <v>100</v>
      </c>
    </row>
    <row r="2824" spans="1:4">
      <c r="A2824" s="7" t="s">
        <v>861</v>
      </c>
      <c r="B2824" s="8">
        <v>108.48</v>
      </c>
      <c r="C2824" s="8">
        <v>120.2</v>
      </c>
      <c r="D2824" s="8">
        <v>90.25</v>
      </c>
    </row>
    <row r="2825" spans="1:4">
      <c r="A2825" s="7" t="s">
        <v>862</v>
      </c>
      <c r="B2825" s="8">
        <v>92.87</v>
      </c>
      <c r="C2825" s="8">
        <v>95.92</v>
      </c>
      <c r="D2825" s="8">
        <v>96.82</v>
      </c>
    </row>
    <row r="2826" spans="1:4">
      <c r="A2826" s="7" t="s">
        <v>863</v>
      </c>
      <c r="B2826" s="8">
        <v>65.2</v>
      </c>
      <c r="C2826" s="8">
        <v>65.2</v>
      </c>
      <c r="D2826" s="8">
        <v>100</v>
      </c>
    </row>
    <row r="2827" spans="1:4">
      <c r="A2827" s="7" t="s">
        <v>864</v>
      </c>
      <c r="B2827" s="8">
        <v>70.2</v>
      </c>
      <c r="C2827" s="8">
        <v>70.2</v>
      </c>
      <c r="D2827" s="8">
        <v>100</v>
      </c>
    </row>
    <row r="2828" spans="1:4">
      <c r="A2828" s="7" t="s">
        <v>865</v>
      </c>
      <c r="B2828" s="8">
        <v>445.11</v>
      </c>
      <c r="C2828" s="8">
        <v>373</v>
      </c>
      <c r="D2828" s="8">
        <v>119.33</v>
      </c>
    </row>
    <row r="2829" spans="1:4">
      <c r="A2829" s="7" t="s">
        <v>866</v>
      </c>
      <c r="B2829" s="8">
        <v>70.2</v>
      </c>
      <c r="C2829" s="8">
        <v>70.2</v>
      </c>
      <c r="D2829" s="8">
        <v>100</v>
      </c>
    </row>
    <row r="2830" spans="1:4">
      <c r="A2830" s="7" t="s">
        <v>867</v>
      </c>
      <c r="B2830" s="8">
        <v>61.18</v>
      </c>
      <c r="C2830" s="8">
        <v>61.18</v>
      </c>
      <c r="D2830" s="8">
        <v>100</v>
      </c>
    </row>
    <row r="2831" spans="1:4">
      <c r="A2831" s="7" t="s">
        <v>868</v>
      </c>
      <c r="B2831" s="8">
        <v>271.39999999999998</v>
      </c>
      <c r="C2831" s="8">
        <v>243.85</v>
      </c>
      <c r="D2831" s="8">
        <v>111.3</v>
      </c>
    </row>
    <row r="2832" spans="1:4">
      <c r="A2832" s="7" t="s">
        <v>869</v>
      </c>
      <c r="B2832" s="8">
        <v>271.39999999999998</v>
      </c>
      <c r="C2832" s="8">
        <v>243.85</v>
      </c>
      <c r="D2832" s="8">
        <v>111.3</v>
      </c>
    </row>
    <row r="2833" spans="1:4">
      <c r="A2833" s="7" t="s">
        <v>870</v>
      </c>
      <c r="B2833" s="8">
        <v>70.2</v>
      </c>
      <c r="C2833" s="8">
        <v>70.2</v>
      </c>
      <c r="D2833" s="8">
        <v>100</v>
      </c>
    </row>
    <row r="2834" spans="1:4">
      <c r="A2834" s="7" t="s">
        <v>871</v>
      </c>
      <c r="B2834" s="8">
        <v>70.2</v>
      </c>
      <c r="C2834" s="8">
        <v>70.2</v>
      </c>
      <c r="D2834" s="8">
        <v>100</v>
      </c>
    </row>
    <row r="2835" spans="1:4">
      <c r="A2835" s="7" t="s">
        <v>872</v>
      </c>
      <c r="B2835" s="8">
        <v>70.2</v>
      </c>
      <c r="C2835" s="8">
        <v>70.2</v>
      </c>
      <c r="D2835" s="8">
        <v>100</v>
      </c>
    </row>
    <row r="2836" spans="1:4">
      <c r="A2836" s="7" t="s">
        <v>873</v>
      </c>
      <c r="B2836" s="8">
        <v>61.18</v>
      </c>
      <c r="C2836" s="8">
        <v>61.18</v>
      </c>
      <c r="D2836" s="8">
        <v>100</v>
      </c>
    </row>
    <row r="2837" spans="1:4">
      <c r="A2837" s="7" t="s">
        <v>874</v>
      </c>
      <c r="B2837" s="8">
        <v>271.39999999999998</v>
      </c>
      <c r="C2837" s="8">
        <v>243.85</v>
      </c>
      <c r="D2837" s="8">
        <v>111.3</v>
      </c>
    </row>
    <row r="2838" spans="1:4">
      <c r="A2838" s="7" t="s">
        <v>875</v>
      </c>
      <c r="B2838" s="8">
        <v>271.39999999999998</v>
      </c>
      <c r="C2838" s="8">
        <v>243.85</v>
      </c>
      <c r="D2838" s="8">
        <v>111.3</v>
      </c>
    </row>
    <row r="2839" spans="1:4">
      <c r="A2839" s="7" t="s">
        <v>876</v>
      </c>
      <c r="B2839" s="8">
        <v>70.2</v>
      </c>
      <c r="C2839" s="8">
        <v>70.2</v>
      </c>
      <c r="D2839" s="8">
        <v>100</v>
      </c>
    </row>
    <row r="2840" spans="1:4">
      <c r="A2840" s="7" t="s">
        <v>877</v>
      </c>
      <c r="B2840" s="8">
        <v>55.51</v>
      </c>
      <c r="C2840" s="8">
        <v>55.51</v>
      </c>
      <c r="D2840" s="8">
        <v>100</v>
      </c>
    </row>
    <row r="2841" spans="1:4">
      <c r="A2841" s="7" t="s">
        <v>878</v>
      </c>
      <c r="B2841" s="8">
        <v>55.2</v>
      </c>
      <c r="C2841" s="8">
        <v>55.2</v>
      </c>
      <c r="D2841" s="8">
        <v>100</v>
      </c>
    </row>
    <row r="2842" spans="1:4">
      <c r="A2842" s="7" t="s">
        <v>879</v>
      </c>
      <c r="B2842" s="8">
        <v>70.2</v>
      </c>
      <c r="C2842" s="8">
        <v>70.2</v>
      </c>
      <c r="D2842" s="8">
        <v>100</v>
      </c>
    </row>
    <row r="2843" spans="1:4">
      <c r="A2843" s="7" t="s">
        <v>880</v>
      </c>
      <c r="B2843" s="8">
        <v>61.74</v>
      </c>
      <c r="C2843" s="8">
        <v>61.74</v>
      </c>
      <c r="D2843" s="8">
        <v>100</v>
      </c>
    </row>
    <row r="2844" spans="1:4">
      <c r="A2844" s="7" t="s">
        <v>881</v>
      </c>
      <c r="B2844" s="8">
        <v>55.51</v>
      </c>
      <c r="C2844" s="8">
        <v>55.51</v>
      </c>
      <c r="D2844" s="8">
        <v>100</v>
      </c>
    </row>
    <row r="2845" spans="1:4">
      <c r="A2845" s="7" t="s">
        <v>882</v>
      </c>
      <c r="B2845" s="8">
        <v>65.2</v>
      </c>
      <c r="C2845" s="8">
        <v>65.2</v>
      </c>
      <c r="D2845" s="8">
        <v>100</v>
      </c>
    </row>
    <row r="2846" spans="1:4">
      <c r="A2846" s="7" t="s">
        <v>883</v>
      </c>
      <c r="B2846" s="8">
        <v>60.2</v>
      </c>
      <c r="C2846" s="8">
        <v>60.2</v>
      </c>
      <c r="D2846" s="8">
        <v>100</v>
      </c>
    </row>
    <row r="2847" spans="1:4">
      <c r="A2847" s="7" t="s">
        <v>884</v>
      </c>
      <c r="B2847" s="8">
        <v>55.51</v>
      </c>
      <c r="C2847" s="8">
        <v>55.51</v>
      </c>
      <c r="D2847" s="8">
        <v>100</v>
      </c>
    </row>
    <row r="2848" spans="1:4">
      <c r="A2848" s="7" t="s">
        <v>885</v>
      </c>
      <c r="B2848" s="8">
        <v>75.2</v>
      </c>
      <c r="C2848" s="8">
        <v>75.2</v>
      </c>
      <c r="D2848" s="8">
        <v>100</v>
      </c>
    </row>
    <row r="2849" spans="1:4">
      <c r="A2849" s="7" t="s">
        <v>886</v>
      </c>
      <c r="B2849" s="8">
        <v>231.67</v>
      </c>
      <c r="C2849" s="8">
        <v>206.95</v>
      </c>
      <c r="D2849" s="8">
        <v>111.94</v>
      </c>
    </row>
    <row r="2850" spans="1:4">
      <c r="A2850" s="7" t="s">
        <v>887</v>
      </c>
      <c r="B2850" s="8">
        <v>74.7</v>
      </c>
      <c r="C2850" s="8">
        <v>74.7</v>
      </c>
      <c r="D2850" s="8">
        <v>100</v>
      </c>
    </row>
    <row r="2851" spans="1:4">
      <c r="A2851" s="7" t="s">
        <v>888</v>
      </c>
      <c r="B2851" s="8">
        <v>8650.42</v>
      </c>
      <c r="C2851" s="8">
        <v>9511.7999999999993</v>
      </c>
      <c r="D2851" s="8">
        <v>90.94</v>
      </c>
    </row>
    <row r="2852" spans="1:4">
      <c r="A2852" s="7" t="s">
        <v>889</v>
      </c>
      <c r="B2852" s="8">
        <v>139.91</v>
      </c>
      <c r="C2852" s="8">
        <v>164.4</v>
      </c>
      <c r="D2852" s="8">
        <v>85.11</v>
      </c>
    </row>
    <row r="2853" spans="1:4">
      <c r="A2853" s="7" t="s">
        <v>890</v>
      </c>
      <c r="B2853" s="8">
        <v>72.790000000000006</v>
      </c>
      <c r="C2853" s="8">
        <v>80.3</v>
      </c>
      <c r="D2853" s="8">
        <v>90.65</v>
      </c>
    </row>
    <row r="2854" spans="1:4">
      <c r="A2854" s="7" t="s">
        <v>891</v>
      </c>
      <c r="B2854" s="8">
        <v>198.77</v>
      </c>
      <c r="C2854" s="8">
        <v>90.66</v>
      </c>
      <c r="D2854" s="8">
        <v>219.24</v>
      </c>
    </row>
    <row r="2855" spans="1:4">
      <c r="A2855" s="7" t="s">
        <v>892</v>
      </c>
      <c r="B2855" s="8">
        <v>314.31</v>
      </c>
      <c r="C2855" s="8">
        <v>216.43</v>
      </c>
      <c r="D2855" s="8">
        <v>145.22999999999999</v>
      </c>
    </row>
    <row r="2856" spans="1:4">
      <c r="A2856" s="7" t="s">
        <v>893</v>
      </c>
      <c r="B2856" s="8">
        <v>60</v>
      </c>
      <c r="C2856" s="8">
        <v>357.07</v>
      </c>
      <c r="D2856" s="8">
        <v>16.8</v>
      </c>
    </row>
    <row r="2857" spans="1:4">
      <c r="A2857" s="7" t="s">
        <v>894</v>
      </c>
      <c r="B2857" s="8">
        <v>2640.91</v>
      </c>
      <c r="C2857" s="8">
        <v>2544.7600000000002</v>
      </c>
      <c r="D2857" s="8">
        <v>103.78</v>
      </c>
    </row>
    <row r="2858" spans="1:4">
      <c r="A2858" s="7" t="s">
        <v>895</v>
      </c>
      <c r="B2858" s="8">
        <v>681.28</v>
      </c>
      <c r="C2858" s="8">
        <v>639.66999999999996</v>
      </c>
      <c r="D2858" s="8">
        <v>106.5</v>
      </c>
    </row>
    <row r="2859" spans="1:4">
      <c r="A2859" s="7" t="s">
        <v>896</v>
      </c>
      <c r="B2859" s="8">
        <v>130.44</v>
      </c>
      <c r="C2859" s="8">
        <v>145.19999999999999</v>
      </c>
      <c r="D2859" s="8">
        <v>89.83</v>
      </c>
    </row>
    <row r="2860" spans="1:4">
      <c r="A2860" s="7" t="s">
        <v>897</v>
      </c>
      <c r="B2860" s="8">
        <v>130.44</v>
      </c>
      <c r="C2860" s="8">
        <v>145.19999999999999</v>
      </c>
      <c r="D2860" s="8">
        <v>89.83</v>
      </c>
    </row>
    <row r="2861" spans="1:4">
      <c r="A2861" s="7" t="s">
        <v>898</v>
      </c>
      <c r="B2861" s="8">
        <v>120.3</v>
      </c>
      <c r="C2861" s="8">
        <v>120.72</v>
      </c>
      <c r="D2861" s="8">
        <v>99.65</v>
      </c>
    </row>
    <row r="2862" spans="1:4">
      <c r="A2862" s="7" t="s">
        <v>625</v>
      </c>
      <c r="B2862" s="8">
        <v>15000.24</v>
      </c>
      <c r="C2862" s="8">
        <v>5382.84</v>
      </c>
      <c r="D2862" s="8">
        <v>278.67</v>
      </c>
    </row>
    <row r="2863" spans="1:4">
      <c r="A2863" s="7" t="s">
        <v>583</v>
      </c>
      <c r="B2863" s="8">
        <v>11030.35</v>
      </c>
      <c r="C2863" s="8">
        <v>7950.02</v>
      </c>
      <c r="D2863" s="8">
        <v>138.75</v>
      </c>
    </row>
    <row r="2864" spans="1:4">
      <c r="A2864" s="7" t="s">
        <v>608</v>
      </c>
      <c r="B2864" s="8">
        <v>3499.42</v>
      </c>
      <c r="C2864" s="8">
        <v>2930.28</v>
      </c>
      <c r="D2864" s="8">
        <v>119.42</v>
      </c>
    </row>
    <row r="2865" spans="1:4">
      <c r="A2865" s="7" t="s">
        <v>609</v>
      </c>
      <c r="B2865" s="8">
        <v>4299.49</v>
      </c>
      <c r="C2865" s="8">
        <v>2619.88</v>
      </c>
      <c r="D2865" s="8">
        <v>164.11</v>
      </c>
    </row>
    <row r="2866" spans="1:4">
      <c r="A2866" s="7" t="s">
        <v>899</v>
      </c>
      <c r="B2866" s="8">
        <v>94.21</v>
      </c>
      <c r="C2866" s="8">
        <v>106.94</v>
      </c>
      <c r="D2866" s="8">
        <v>88.1</v>
      </c>
    </row>
    <row r="2867" spans="1:4">
      <c r="A2867" s="7" t="s">
        <v>900</v>
      </c>
      <c r="B2867" s="8">
        <v>85.21</v>
      </c>
      <c r="C2867" s="8">
        <v>85.21</v>
      </c>
      <c r="D2867" s="8">
        <v>100</v>
      </c>
    </row>
    <row r="2868" spans="1:4">
      <c r="A2868" s="7" t="s">
        <v>901</v>
      </c>
      <c r="B2868" s="8">
        <v>94.21</v>
      </c>
      <c r="C2868" s="8">
        <v>106.94</v>
      </c>
      <c r="D2868" s="8">
        <v>88.1</v>
      </c>
    </row>
    <row r="2869" spans="1:4">
      <c r="A2869" s="7" t="s">
        <v>902</v>
      </c>
      <c r="B2869" s="8">
        <v>73.69</v>
      </c>
      <c r="C2869" s="8">
        <v>73.69</v>
      </c>
      <c r="D2869" s="8">
        <v>100</v>
      </c>
    </row>
    <row r="2870" spans="1:4">
      <c r="A2870" s="7" t="s">
        <v>903</v>
      </c>
      <c r="B2870" s="8">
        <v>235.26</v>
      </c>
      <c r="C2870" s="8">
        <v>258.69</v>
      </c>
      <c r="D2870" s="8">
        <v>90.94</v>
      </c>
    </row>
    <row r="2871" spans="1:4">
      <c r="A2871" s="7" t="s">
        <v>904</v>
      </c>
      <c r="B2871" s="8">
        <v>94.21</v>
      </c>
      <c r="C2871" s="8">
        <v>106.94</v>
      </c>
      <c r="D2871" s="8">
        <v>88.1</v>
      </c>
    </row>
    <row r="2872" spans="1:4">
      <c r="A2872" s="7" t="s">
        <v>905</v>
      </c>
      <c r="B2872" s="8">
        <v>85.21</v>
      </c>
      <c r="C2872" s="8">
        <v>85.21</v>
      </c>
      <c r="D2872" s="8">
        <v>100</v>
      </c>
    </row>
    <row r="2873" spans="1:4">
      <c r="A2873" s="7" t="s">
        <v>906</v>
      </c>
      <c r="B2873" s="8">
        <v>94.21</v>
      </c>
      <c r="C2873" s="8">
        <v>106.94</v>
      </c>
      <c r="D2873" s="8">
        <v>88.1</v>
      </c>
    </row>
    <row r="2874" spans="1:4">
      <c r="A2874" s="7" t="s">
        <v>907</v>
      </c>
      <c r="B2874" s="8">
        <v>88.69</v>
      </c>
      <c r="C2874" s="8">
        <v>88.69</v>
      </c>
      <c r="D2874" s="8">
        <v>100</v>
      </c>
    </row>
    <row r="2875" spans="1:4">
      <c r="A2875" s="7" t="s">
        <v>908</v>
      </c>
      <c r="B2875" s="8">
        <v>273.54000000000002</v>
      </c>
      <c r="C2875" s="8">
        <v>298.89</v>
      </c>
      <c r="D2875" s="8">
        <v>91.52</v>
      </c>
    </row>
    <row r="2876" spans="1:4">
      <c r="A2876" s="7" t="s">
        <v>909</v>
      </c>
      <c r="B2876" s="8">
        <v>7145.43</v>
      </c>
      <c r="C2876" s="8">
        <v>5913.08</v>
      </c>
      <c r="D2876" s="8">
        <v>120.84</v>
      </c>
    </row>
    <row r="2877" spans="1:4">
      <c r="A2877" s="7" t="s">
        <v>910</v>
      </c>
      <c r="B2877" s="8">
        <v>6904.55</v>
      </c>
      <c r="C2877" s="8">
        <v>5762.03</v>
      </c>
      <c r="D2877" s="8">
        <v>119.83</v>
      </c>
    </row>
    <row r="2878" spans="1:4">
      <c r="A2878" s="7" t="s">
        <v>911</v>
      </c>
      <c r="B2878" s="8">
        <v>261.19</v>
      </c>
      <c r="C2878" s="8">
        <v>286.2</v>
      </c>
      <c r="D2878" s="8">
        <v>91.26</v>
      </c>
    </row>
    <row r="2879" spans="1:4">
      <c r="A2879" s="7" t="s">
        <v>912</v>
      </c>
      <c r="B2879" s="8">
        <v>100.21</v>
      </c>
      <c r="C2879" s="8">
        <v>109</v>
      </c>
      <c r="D2879" s="8">
        <v>91.94</v>
      </c>
    </row>
    <row r="2880" spans="1:4">
      <c r="A2880" s="7" t="s">
        <v>913</v>
      </c>
      <c r="B2880" s="8">
        <v>100.21</v>
      </c>
      <c r="C2880" s="8">
        <v>109</v>
      </c>
      <c r="D2880" s="8">
        <v>91.94</v>
      </c>
    </row>
    <row r="2881" spans="1:4">
      <c r="A2881" s="7" t="s">
        <v>914</v>
      </c>
      <c r="B2881" s="8">
        <v>174.53</v>
      </c>
      <c r="C2881" s="8">
        <v>196.5</v>
      </c>
      <c r="D2881" s="8">
        <v>88.82</v>
      </c>
    </row>
    <row r="2882" spans="1:4">
      <c r="A2882" s="7" t="s">
        <v>915</v>
      </c>
      <c r="B2882" s="8">
        <v>109.53</v>
      </c>
      <c r="C2882" s="8">
        <v>131.5</v>
      </c>
      <c r="D2882" s="8">
        <v>83.3</v>
      </c>
    </row>
    <row r="2883" spans="1:4">
      <c r="A2883" s="7" t="s">
        <v>916</v>
      </c>
      <c r="B2883" s="8">
        <v>100.21</v>
      </c>
      <c r="C2883" s="8">
        <v>109</v>
      </c>
      <c r="D2883" s="8">
        <v>91.94</v>
      </c>
    </row>
    <row r="2884" spans="1:4">
      <c r="A2884" s="7" t="s">
        <v>917</v>
      </c>
      <c r="B2884" s="8">
        <v>100.21</v>
      </c>
      <c r="C2884" s="8">
        <v>109</v>
      </c>
      <c r="D2884" s="8">
        <v>91.94</v>
      </c>
    </row>
    <row r="2885" spans="1:4">
      <c r="A2885" s="7" t="s">
        <v>918</v>
      </c>
      <c r="B2885" s="8">
        <v>175.01</v>
      </c>
      <c r="C2885" s="8">
        <v>196.98</v>
      </c>
      <c r="D2885" s="8">
        <v>88.85</v>
      </c>
    </row>
    <row r="2886" spans="1:4">
      <c r="A2886" s="7" t="s">
        <v>919</v>
      </c>
      <c r="B2886" s="8">
        <v>434.25</v>
      </c>
      <c r="C2886" s="8">
        <v>482.68</v>
      </c>
      <c r="D2886" s="8">
        <v>89.97</v>
      </c>
    </row>
    <row r="2887" spans="1:4">
      <c r="A2887" s="7" t="s">
        <v>920</v>
      </c>
      <c r="B2887" s="8">
        <v>149.52000000000001</v>
      </c>
      <c r="C2887" s="8">
        <v>149.52000000000001</v>
      </c>
      <c r="D2887" s="8">
        <v>100</v>
      </c>
    </row>
    <row r="2888" spans="1:4">
      <c r="A2888" s="7" t="s">
        <v>921</v>
      </c>
      <c r="B2888" s="8">
        <v>136.57</v>
      </c>
      <c r="C2888" s="8">
        <v>160</v>
      </c>
      <c r="D2888" s="8">
        <v>85.36</v>
      </c>
    </row>
    <row r="2889" spans="1:4">
      <c r="A2889" s="7" t="s">
        <v>922</v>
      </c>
      <c r="B2889" s="8">
        <v>126.21</v>
      </c>
      <c r="C2889" s="8">
        <v>135</v>
      </c>
      <c r="D2889" s="8">
        <v>93.49</v>
      </c>
    </row>
    <row r="2890" spans="1:4">
      <c r="A2890" s="7" t="s">
        <v>923</v>
      </c>
      <c r="B2890" s="8">
        <v>126.21</v>
      </c>
      <c r="C2890" s="8">
        <v>135</v>
      </c>
      <c r="D2890" s="8">
        <v>93.49</v>
      </c>
    </row>
    <row r="2891" spans="1:4">
      <c r="A2891" s="7" t="s">
        <v>924</v>
      </c>
      <c r="B2891" s="8">
        <v>136.57</v>
      </c>
      <c r="C2891" s="8">
        <v>160</v>
      </c>
      <c r="D2891" s="8">
        <v>85.36</v>
      </c>
    </row>
    <row r="2892" spans="1:4">
      <c r="A2892" s="7" t="s">
        <v>925</v>
      </c>
      <c r="B2892" s="8">
        <v>207.28</v>
      </c>
      <c r="C2892" s="8">
        <v>260</v>
      </c>
      <c r="D2892" s="8">
        <v>79.72</v>
      </c>
    </row>
    <row r="2893" spans="1:4">
      <c r="A2893" s="7" t="s">
        <v>926</v>
      </c>
      <c r="B2893" s="8">
        <v>219.71</v>
      </c>
      <c r="C2893" s="8">
        <v>290</v>
      </c>
      <c r="D2893" s="8">
        <v>75.760000000000005</v>
      </c>
    </row>
    <row r="2894" spans="1:4">
      <c r="A2894" s="7" t="s">
        <v>927</v>
      </c>
      <c r="B2894" s="8">
        <v>209.35</v>
      </c>
      <c r="C2894" s="8">
        <v>265</v>
      </c>
      <c r="D2894" s="8">
        <v>79</v>
      </c>
    </row>
    <row r="2895" spans="1:4">
      <c r="A2895" s="7" t="s">
        <v>928</v>
      </c>
      <c r="B2895" s="8">
        <v>185</v>
      </c>
      <c r="C2895" s="8">
        <v>185</v>
      </c>
      <c r="D2895" s="8">
        <v>100</v>
      </c>
    </row>
    <row r="2896" spans="1:4">
      <c r="A2896" s="7" t="s">
        <v>929</v>
      </c>
      <c r="B2896" s="8">
        <v>220.23</v>
      </c>
      <c r="C2896" s="8">
        <v>226.09</v>
      </c>
      <c r="D2896" s="8">
        <v>97.41</v>
      </c>
    </row>
    <row r="2897" spans="1:4">
      <c r="A2897" s="7" t="s">
        <v>930</v>
      </c>
      <c r="B2897" s="8">
        <v>164.64</v>
      </c>
      <c r="C2897" s="8">
        <v>177.9</v>
      </c>
      <c r="D2897" s="8">
        <v>92.55</v>
      </c>
    </row>
    <row r="2898" spans="1:4">
      <c r="A2898" s="7" t="s">
        <v>931</v>
      </c>
      <c r="B2898" s="8">
        <v>229.88</v>
      </c>
      <c r="C2898" s="8">
        <v>250.53</v>
      </c>
      <c r="D2898" s="8">
        <v>91.76</v>
      </c>
    </row>
    <row r="2899" spans="1:4">
      <c r="A2899" s="7" t="s">
        <v>932</v>
      </c>
      <c r="B2899" s="8">
        <v>145.32</v>
      </c>
      <c r="C2899" s="8">
        <v>157.04</v>
      </c>
      <c r="D2899" s="8">
        <v>92.54</v>
      </c>
    </row>
    <row r="2900" spans="1:4">
      <c r="A2900" s="7" t="s">
        <v>933</v>
      </c>
      <c r="B2900" s="8">
        <v>109.07</v>
      </c>
      <c r="C2900" s="8">
        <v>132.5</v>
      </c>
      <c r="D2900" s="8">
        <v>82.32</v>
      </c>
    </row>
    <row r="2901" spans="1:4">
      <c r="A2901" s="7" t="s">
        <v>934</v>
      </c>
      <c r="B2901" s="8">
        <v>98.71</v>
      </c>
      <c r="C2901" s="8">
        <v>107.5</v>
      </c>
      <c r="D2901" s="8">
        <v>91.83</v>
      </c>
    </row>
    <row r="2902" spans="1:4">
      <c r="A2902" s="7" t="s">
        <v>935</v>
      </c>
      <c r="B2902" s="8">
        <v>98.71</v>
      </c>
      <c r="C2902" s="8">
        <v>107.5</v>
      </c>
      <c r="D2902" s="8">
        <v>91.83</v>
      </c>
    </row>
    <row r="2903" spans="1:4">
      <c r="A2903" s="7" t="s">
        <v>936</v>
      </c>
      <c r="B2903" s="8">
        <v>109.07</v>
      </c>
      <c r="C2903" s="8">
        <v>132.5</v>
      </c>
      <c r="D2903" s="8">
        <v>82.32</v>
      </c>
    </row>
    <row r="2904" spans="1:4">
      <c r="A2904" s="7" t="s">
        <v>937</v>
      </c>
      <c r="B2904" s="8">
        <v>109.07</v>
      </c>
      <c r="C2904" s="8">
        <v>132.5</v>
      </c>
      <c r="D2904" s="8">
        <v>82.32</v>
      </c>
    </row>
    <row r="2905" spans="1:4">
      <c r="A2905" s="7" t="s">
        <v>938</v>
      </c>
      <c r="B2905" s="8">
        <v>98.71</v>
      </c>
      <c r="C2905" s="8">
        <v>107.5</v>
      </c>
      <c r="D2905" s="8">
        <v>91.83</v>
      </c>
    </row>
    <row r="2906" spans="1:4">
      <c r="A2906" s="7" t="s">
        <v>939</v>
      </c>
      <c r="B2906" s="8">
        <v>98.71</v>
      </c>
      <c r="C2906" s="8">
        <v>107.5</v>
      </c>
      <c r="D2906" s="8">
        <v>91.83</v>
      </c>
    </row>
    <row r="2907" spans="1:4">
      <c r="A2907" s="7" t="s">
        <v>940</v>
      </c>
      <c r="B2907" s="8">
        <v>109.07</v>
      </c>
      <c r="C2907" s="8">
        <v>132.5</v>
      </c>
      <c r="D2907" s="8">
        <v>82.32</v>
      </c>
    </row>
    <row r="2908" spans="1:4">
      <c r="A2908" s="7" t="s">
        <v>941</v>
      </c>
      <c r="B2908" s="8">
        <v>675.29</v>
      </c>
      <c r="C2908" s="8">
        <v>622.99</v>
      </c>
      <c r="D2908" s="8">
        <v>108.4</v>
      </c>
    </row>
    <row r="2909" spans="1:4">
      <c r="A2909" s="7" t="s">
        <v>942</v>
      </c>
      <c r="B2909" s="8">
        <v>85.59</v>
      </c>
      <c r="C2909" s="8">
        <v>85.59</v>
      </c>
      <c r="D2909" s="8">
        <v>100</v>
      </c>
    </row>
    <row r="2910" spans="1:4">
      <c r="A2910" s="7" t="s">
        <v>943</v>
      </c>
      <c r="B2910" s="8">
        <v>85.59</v>
      </c>
      <c r="C2910" s="8">
        <v>85.59</v>
      </c>
      <c r="D2910" s="8">
        <v>100</v>
      </c>
    </row>
    <row r="2911" spans="1:4">
      <c r="A2911" s="7" t="s">
        <v>944</v>
      </c>
      <c r="B2911" s="8">
        <v>90.59</v>
      </c>
      <c r="C2911" s="8">
        <v>90.59</v>
      </c>
      <c r="D2911" s="8">
        <v>100</v>
      </c>
    </row>
    <row r="2912" spans="1:4">
      <c r="A2912" s="7" t="s">
        <v>945</v>
      </c>
      <c r="B2912" s="8">
        <v>88.19</v>
      </c>
      <c r="C2912" s="8">
        <v>88.19</v>
      </c>
      <c r="D2912" s="8">
        <v>100</v>
      </c>
    </row>
    <row r="2913" spans="1:4">
      <c r="A2913" s="7" t="s">
        <v>946</v>
      </c>
      <c r="B2913" s="8">
        <v>88.19</v>
      </c>
      <c r="C2913" s="8">
        <v>88.19</v>
      </c>
      <c r="D2913" s="8">
        <v>100</v>
      </c>
    </row>
    <row r="2914" spans="1:4">
      <c r="A2914" s="7" t="s">
        <v>947</v>
      </c>
      <c r="B2914" s="8">
        <v>88.19</v>
      </c>
      <c r="C2914" s="8">
        <v>88.19</v>
      </c>
      <c r="D2914" s="8">
        <v>100</v>
      </c>
    </row>
    <row r="2915" spans="1:4">
      <c r="A2915" s="7" t="s">
        <v>948</v>
      </c>
      <c r="B2915" s="8">
        <v>90.62</v>
      </c>
      <c r="C2915" s="8">
        <v>90.62</v>
      </c>
      <c r="D2915" s="8">
        <v>100</v>
      </c>
    </row>
    <row r="2916" spans="1:4">
      <c r="A2916" s="7" t="s">
        <v>949</v>
      </c>
      <c r="B2916" s="8">
        <v>90.62</v>
      </c>
      <c r="C2916" s="8">
        <v>90.62</v>
      </c>
      <c r="D2916" s="8">
        <v>100</v>
      </c>
    </row>
    <row r="2917" spans="1:4">
      <c r="A2917" s="7" t="s">
        <v>950</v>
      </c>
      <c r="B2917" s="8">
        <v>90.62</v>
      </c>
      <c r="C2917" s="8">
        <v>90.62</v>
      </c>
      <c r="D2917" s="8">
        <v>100</v>
      </c>
    </row>
    <row r="2918" spans="1:4">
      <c r="A2918" s="7" t="s">
        <v>951</v>
      </c>
      <c r="B2918" s="8">
        <v>90.62</v>
      </c>
      <c r="C2918" s="8">
        <v>90.62</v>
      </c>
      <c r="D2918" s="8">
        <v>100</v>
      </c>
    </row>
    <row r="2919" spans="1:4">
      <c r="A2919" s="7" t="s">
        <v>952</v>
      </c>
      <c r="B2919" s="8">
        <v>90.62</v>
      </c>
      <c r="C2919" s="8">
        <v>90.62</v>
      </c>
      <c r="D2919" s="8">
        <v>100</v>
      </c>
    </row>
    <row r="2920" spans="1:4">
      <c r="A2920" s="7" t="s">
        <v>953</v>
      </c>
      <c r="B2920" s="8">
        <v>90.62</v>
      </c>
      <c r="C2920" s="8">
        <v>90.62</v>
      </c>
      <c r="D2920" s="8">
        <v>100</v>
      </c>
    </row>
    <row r="2921" spans="1:4">
      <c r="A2921" s="7" t="s">
        <v>954</v>
      </c>
      <c r="B2921" s="8">
        <v>147.81</v>
      </c>
      <c r="C2921" s="8">
        <v>158.12</v>
      </c>
      <c r="D2921" s="8">
        <v>93.48</v>
      </c>
    </row>
    <row r="2922" spans="1:4">
      <c r="A2922" s="7" t="s">
        <v>955</v>
      </c>
      <c r="B2922" s="8">
        <v>110</v>
      </c>
      <c r="C2922" s="8">
        <v>110</v>
      </c>
      <c r="D2922" s="8">
        <v>100</v>
      </c>
    </row>
    <row r="2923" spans="1:4">
      <c r="A2923" s="7" t="s">
        <v>956</v>
      </c>
      <c r="B2923" s="8">
        <v>144.88</v>
      </c>
      <c r="C2923" s="8">
        <v>158.12</v>
      </c>
      <c r="D2923" s="8">
        <v>91.63</v>
      </c>
    </row>
    <row r="2924" spans="1:4">
      <c r="A2924" s="7" t="s">
        <v>957</v>
      </c>
      <c r="B2924" s="8">
        <v>119.75</v>
      </c>
      <c r="C2924" s="8">
        <v>122.8</v>
      </c>
      <c r="D2924" s="8">
        <v>97.52</v>
      </c>
    </row>
    <row r="2925" spans="1:4">
      <c r="A2925" s="7" t="s">
        <v>958</v>
      </c>
      <c r="B2925" s="8">
        <v>95</v>
      </c>
      <c r="C2925" s="8">
        <v>95</v>
      </c>
      <c r="D2925" s="8">
        <v>100</v>
      </c>
    </row>
    <row r="2926" spans="1:4">
      <c r="A2926" s="7" t="s">
        <v>959</v>
      </c>
      <c r="B2926" s="8">
        <v>95.57</v>
      </c>
      <c r="C2926" s="8">
        <v>117.6</v>
      </c>
      <c r="D2926" s="8">
        <v>81.27</v>
      </c>
    </row>
    <row r="2927" spans="1:4">
      <c r="A2927" s="7" t="s">
        <v>960</v>
      </c>
      <c r="B2927" s="8">
        <v>147.81</v>
      </c>
      <c r="C2927" s="8">
        <v>158.12</v>
      </c>
      <c r="D2927" s="8">
        <v>93.48</v>
      </c>
    </row>
    <row r="2928" spans="1:4">
      <c r="A2928" s="7" t="s">
        <v>961</v>
      </c>
      <c r="B2928" s="8">
        <v>110</v>
      </c>
      <c r="C2928" s="8">
        <v>110</v>
      </c>
      <c r="D2928" s="8">
        <v>100</v>
      </c>
    </row>
    <row r="2929" spans="1:4">
      <c r="A2929" s="7" t="s">
        <v>962</v>
      </c>
      <c r="B2929" s="8">
        <v>144.88</v>
      </c>
      <c r="C2929" s="8">
        <v>158.12</v>
      </c>
      <c r="D2929" s="8">
        <v>91.63</v>
      </c>
    </row>
    <row r="2930" spans="1:4">
      <c r="A2930" s="7" t="s">
        <v>963</v>
      </c>
      <c r="B2930" s="8">
        <v>119.75</v>
      </c>
      <c r="C2930" s="8">
        <v>122.8</v>
      </c>
      <c r="D2930" s="8">
        <v>97.52</v>
      </c>
    </row>
    <row r="2931" spans="1:4">
      <c r="A2931" s="7" t="s">
        <v>964</v>
      </c>
      <c r="B2931" s="8">
        <v>95</v>
      </c>
      <c r="C2931" s="8">
        <v>95</v>
      </c>
      <c r="D2931" s="8">
        <v>100</v>
      </c>
    </row>
    <row r="2932" spans="1:4">
      <c r="A2932" s="7" t="s">
        <v>965</v>
      </c>
      <c r="B2932" s="8">
        <v>95.57</v>
      </c>
      <c r="C2932" s="8">
        <v>117.6</v>
      </c>
      <c r="D2932" s="8">
        <v>81.27</v>
      </c>
    </row>
    <row r="2933" spans="1:4">
      <c r="A2933" s="7" t="s">
        <v>966</v>
      </c>
      <c r="B2933" s="8">
        <v>107.29</v>
      </c>
      <c r="C2933" s="8">
        <v>117.6</v>
      </c>
      <c r="D2933" s="8">
        <v>91.23</v>
      </c>
    </row>
    <row r="2934" spans="1:4">
      <c r="A2934" s="7" t="s">
        <v>967</v>
      </c>
      <c r="B2934" s="8">
        <v>110.92</v>
      </c>
      <c r="C2934" s="8">
        <v>126.37</v>
      </c>
      <c r="D2934" s="8">
        <v>87.78</v>
      </c>
    </row>
    <row r="2935" spans="1:4">
      <c r="A2935" s="7" t="s">
        <v>968</v>
      </c>
      <c r="B2935" s="8">
        <v>126.7</v>
      </c>
      <c r="C2935" s="8">
        <v>157.4</v>
      </c>
      <c r="D2935" s="8">
        <v>80.5</v>
      </c>
    </row>
    <row r="2936" spans="1:4">
      <c r="A2936" s="7" t="s">
        <v>969</v>
      </c>
      <c r="B2936" s="8">
        <v>138.72999999999999</v>
      </c>
      <c r="C2936" s="8">
        <v>157.4</v>
      </c>
      <c r="D2936" s="8">
        <v>88.14</v>
      </c>
    </row>
    <row r="2937" spans="1:4">
      <c r="A2937" s="7" t="s">
        <v>970</v>
      </c>
      <c r="B2937" s="8">
        <v>110</v>
      </c>
      <c r="C2937" s="8">
        <v>110</v>
      </c>
      <c r="D2937" s="8">
        <v>100</v>
      </c>
    </row>
    <row r="2938" spans="1:4">
      <c r="A2938" s="7" t="s">
        <v>971</v>
      </c>
      <c r="B2938" s="8">
        <v>127.65</v>
      </c>
      <c r="C2938" s="8">
        <v>152.6</v>
      </c>
      <c r="D2938" s="8">
        <v>83.65</v>
      </c>
    </row>
    <row r="2939" spans="1:4">
      <c r="A2939" s="7" t="s">
        <v>606</v>
      </c>
      <c r="B2939" s="8">
        <v>4199.74</v>
      </c>
      <c r="C2939" s="8">
        <v>4236.95</v>
      </c>
      <c r="D2939" s="8">
        <v>99.12</v>
      </c>
    </row>
    <row r="2940" spans="1:4">
      <c r="A2940" s="7" t="s">
        <v>972</v>
      </c>
      <c r="B2940" s="8">
        <v>17810.77</v>
      </c>
      <c r="C2940" s="8">
        <v>10607.33</v>
      </c>
      <c r="D2940" s="8">
        <v>167.91</v>
      </c>
    </row>
    <row r="2941" spans="1:4">
      <c r="A2941" s="7" t="s">
        <v>973</v>
      </c>
      <c r="B2941" s="8">
        <v>11306.42</v>
      </c>
      <c r="C2941" s="8">
        <v>8643.7999999999993</v>
      </c>
      <c r="D2941" s="8">
        <v>130.80000000000001</v>
      </c>
    </row>
    <row r="2942" spans="1:4">
      <c r="A2942" s="7" t="s">
        <v>974</v>
      </c>
      <c r="B2942" s="8">
        <v>17062.25</v>
      </c>
      <c r="C2942" s="8">
        <v>7451.74</v>
      </c>
      <c r="D2942" s="8">
        <v>228.97</v>
      </c>
    </row>
    <row r="2943" spans="1:4">
      <c r="A2943" s="7" t="s">
        <v>975</v>
      </c>
      <c r="B2943" s="8">
        <v>7909.57</v>
      </c>
      <c r="C2943" s="8">
        <v>7746.3</v>
      </c>
      <c r="D2943" s="8">
        <v>102.11</v>
      </c>
    </row>
    <row r="2944" spans="1:4">
      <c r="A2944" s="7" t="s">
        <v>976</v>
      </c>
      <c r="B2944" s="8">
        <v>12704.61</v>
      </c>
      <c r="C2944" s="8">
        <v>11640.05</v>
      </c>
      <c r="D2944" s="8">
        <v>109.15</v>
      </c>
    </row>
    <row r="2945" spans="1:4">
      <c r="A2945" s="7" t="s">
        <v>977</v>
      </c>
      <c r="B2945" s="8">
        <v>14778.08</v>
      </c>
      <c r="C2945" s="8">
        <v>12337.58</v>
      </c>
      <c r="D2945" s="8">
        <v>119.78</v>
      </c>
    </row>
    <row r="2946" spans="1:4">
      <c r="A2946" s="7" t="s">
        <v>978</v>
      </c>
      <c r="B2946" s="8">
        <v>1992.17</v>
      </c>
      <c r="C2946" s="8">
        <v>14886.84</v>
      </c>
      <c r="D2946" s="8">
        <v>13.38</v>
      </c>
    </row>
    <row r="2947" spans="1:4">
      <c r="A2947" s="7" t="s">
        <v>979</v>
      </c>
      <c r="B2947" s="8">
        <v>5263.24</v>
      </c>
      <c r="C2947" s="8">
        <v>5537.64</v>
      </c>
      <c r="D2947" s="8">
        <v>95.04</v>
      </c>
    </row>
    <row r="2948" spans="1:4">
      <c r="A2948" s="7" t="s">
        <v>980</v>
      </c>
      <c r="B2948" s="8">
        <v>7176.81</v>
      </c>
      <c r="C2948" s="8">
        <v>6993.7</v>
      </c>
      <c r="D2948" s="8">
        <v>102.62</v>
      </c>
    </row>
    <row r="2949" spans="1:4">
      <c r="A2949" s="7" t="s">
        <v>981</v>
      </c>
      <c r="B2949" s="8">
        <v>1880.75</v>
      </c>
      <c r="C2949" s="8">
        <v>18412.240000000002</v>
      </c>
      <c r="D2949" s="8">
        <v>10.210000000000001</v>
      </c>
    </row>
    <row r="2950" spans="1:4">
      <c r="A2950" s="7" t="s">
        <v>628</v>
      </c>
      <c r="B2950" s="8">
        <v>15000.22</v>
      </c>
      <c r="C2950" s="8">
        <v>4737.6400000000003</v>
      </c>
      <c r="D2950" s="8">
        <v>316.62</v>
      </c>
    </row>
    <row r="2951" spans="1:4">
      <c r="A2951" s="7" t="s">
        <v>589</v>
      </c>
      <c r="B2951" s="8">
        <v>8389.9</v>
      </c>
      <c r="C2951" s="8">
        <v>6042.23</v>
      </c>
      <c r="D2951" s="8">
        <v>138.85</v>
      </c>
    </row>
    <row r="2952" spans="1:4">
      <c r="A2952" s="7" t="s">
        <v>631</v>
      </c>
      <c r="B2952" s="8">
        <v>14999.94</v>
      </c>
      <c r="C2952" s="8">
        <v>7647.48</v>
      </c>
      <c r="D2952" s="8">
        <v>196.14</v>
      </c>
    </row>
    <row r="2953" spans="1:4">
      <c r="A2953" s="7" t="s">
        <v>591</v>
      </c>
      <c r="B2953" s="8">
        <v>9899.42</v>
      </c>
      <c r="C2953" s="8">
        <v>7423.76</v>
      </c>
      <c r="D2953" s="8">
        <v>133.35</v>
      </c>
    </row>
    <row r="2954" spans="1:4">
      <c r="A2954" s="7" t="s">
        <v>982</v>
      </c>
      <c r="B2954" s="8">
        <v>204.05</v>
      </c>
      <c r="C2954" s="8">
        <v>206.58</v>
      </c>
      <c r="D2954" s="8">
        <v>98.78</v>
      </c>
    </row>
    <row r="2955" spans="1:4">
      <c r="A2955" s="7" t="s">
        <v>983</v>
      </c>
      <c r="B2955" s="8">
        <v>88.19</v>
      </c>
      <c r="C2955" s="8">
        <v>88.19</v>
      </c>
      <c r="D2955" s="8">
        <v>100</v>
      </c>
    </row>
    <row r="2956" spans="1:4">
      <c r="A2956" s="7" t="s">
        <v>984</v>
      </c>
      <c r="B2956" s="8">
        <v>103.74</v>
      </c>
      <c r="C2956" s="8">
        <v>129.12</v>
      </c>
      <c r="D2956" s="8">
        <v>80.34</v>
      </c>
    </row>
    <row r="2957" spans="1:4">
      <c r="A2957" s="7" t="s">
        <v>985</v>
      </c>
      <c r="B2957" s="8">
        <v>115.56</v>
      </c>
      <c r="C2957" s="8">
        <v>124.12</v>
      </c>
      <c r="D2957" s="8">
        <v>93.1</v>
      </c>
    </row>
    <row r="2958" spans="1:4">
      <c r="A2958" s="7" t="s">
        <v>986</v>
      </c>
      <c r="B2958" s="8">
        <v>9359.1200000000008</v>
      </c>
      <c r="C2958" s="8">
        <v>10700.64</v>
      </c>
      <c r="D2958" s="8">
        <v>87.46</v>
      </c>
    </row>
    <row r="2959" spans="1:4">
      <c r="A2959" s="7" t="s">
        <v>613</v>
      </c>
      <c r="B2959" s="8">
        <v>16999.5</v>
      </c>
      <c r="C2959" s="8">
        <v>10689.68</v>
      </c>
      <c r="D2959" s="8">
        <v>159.03</v>
      </c>
    </row>
    <row r="2960" spans="1:4">
      <c r="A2960" s="7" t="s">
        <v>987</v>
      </c>
      <c r="B2960" s="8">
        <v>114.49</v>
      </c>
      <c r="C2960" s="8">
        <v>123.39</v>
      </c>
      <c r="D2960" s="8">
        <v>92.78</v>
      </c>
    </row>
    <row r="2961" spans="1:4">
      <c r="A2961" s="7" t="s">
        <v>988</v>
      </c>
      <c r="B2961" s="8">
        <v>169.49</v>
      </c>
      <c r="C2961" s="8">
        <v>152.94999999999999</v>
      </c>
      <c r="D2961" s="8">
        <v>110.81</v>
      </c>
    </row>
    <row r="2962" spans="1:4">
      <c r="A2962" s="7" t="s">
        <v>989</v>
      </c>
      <c r="B2962" s="8">
        <v>16528.259999999998</v>
      </c>
      <c r="C2962" s="8">
        <v>15259.08</v>
      </c>
      <c r="D2962" s="8">
        <v>108.32</v>
      </c>
    </row>
    <row r="2963" spans="1:4">
      <c r="A2963" s="7" t="s">
        <v>990</v>
      </c>
      <c r="B2963" s="8">
        <v>10873.43</v>
      </c>
      <c r="C2963" s="8">
        <v>10238.59</v>
      </c>
      <c r="D2963" s="8">
        <v>106.2</v>
      </c>
    </row>
    <row r="2964" spans="1:4">
      <c r="A2964" s="7" t="s">
        <v>991</v>
      </c>
      <c r="B2964" s="8">
        <v>13252.29</v>
      </c>
      <c r="C2964" s="8">
        <v>10808.74</v>
      </c>
      <c r="D2964" s="8">
        <v>122.61</v>
      </c>
    </row>
    <row r="2965" spans="1:4">
      <c r="A2965" s="7" t="s">
        <v>992</v>
      </c>
      <c r="B2965" s="8">
        <v>948.23</v>
      </c>
      <c r="C2965" s="8">
        <v>1179.81</v>
      </c>
      <c r="D2965" s="8">
        <v>80.37</v>
      </c>
    </row>
    <row r="2966" spans="1:4">
      <c r="A2966" s="7" t="s">
        <v>993</v>
      </c>
      <c r="B2966" s="8">
        <v>709.31</v>
      </c>
      <c r="C2966" s="8">
        <v>642.44000000000005</v>
      </c>
      <c r="D2966" s="8">
        <v>110.41</v>
      </c>
    </row>
    <row r="2967" spans="1:4">
      <c r="A2967" s="7" t="s">
        <v>994</v>
      </c>
      <c r="B2967" s="8">
        <v>170.71</v>
      </c>
      <c r="C2967" s="8">
        <v>200</v>
      </c>
      <c r="D2967" s="8">
        <v>85.36</v>
      </c>
    </row>
    <row r="2968" spans="1:4">
      <c r="A2968" s="7" t="s">
        <v>995</v>
      </c>
      <c r="B2968" s="8">
        <v>100</v>
      </c>
      <c r="C2968" s="8">
        <v>100</v>
      </c>
      <c r="D2968" s="8">
        <v>100</v>
      </c>
    </row>
    <row r="2969" spans="1:4">
      <c r="A2969" s="7" t="s">
        <v>996</v>
      </c>
      <c r="B2969" s="8">
        <v>112.34</v>
      </c>
      <c r="C2969" s="8">
        <v>129.80000000000001</v>
      </c>
      <c r="D2969" s="8">
        <v>86.55</v>
      </c>
    </row>
    <row r="2970" spans="1:4">
      <c r="A2970" s="7" t="s">
        <v>997</v>
      </c>
      <c r="B2970" s="8">
        <v>118.64</v>
      </c>
      <c r="C2970" s="8">
        <v>145</v>
      </c>
      <c r="D2970" s="8">
        <v>81.819999999999993</v>
      </c>
    </row>
    <row r="2971" spans="1:4">
      <c r="A2971" s="7" t="s">
        <v>998</v>
      </c>
      <c r="B2971" s="8">
        <v>162.43</v>
      </c>
      <c r="C2971" s="8">
        <v>180</v>
      </c>
      <c r="D2971" s="8">
        <v>90.24</v>
      </c>
    </row>
    <row r="2972" spans="1:4">
      <c r="A2972" s="7" t="s">
        <v>999</v>
      </c>
      <c r="B2972" s="8">
        <v>361.04</v>
      </c>
      <c r="C2972" s="8">
        <v>300</v>
      </c>
      <c r="D2972" s="8">
        <v>120.35</v>
      </c>
    </row>
    <row r="2973" spans="1:4">
      <c r="A2973" s="7" t="s">
        <v>1000</v>
      </c>
      <c r="B2973" s="8">
        <v>990.73</v>
      </c>
      <c r="C2973" s="8">
        <v>1008.19</v>
      </c>
      <c r="D2973" s="8">
        <v>98.27</v>
      </c>
    </row>
    <row r="2974" spans="1:4">
      <c r="A2974" s="7" t="s">
        <v>1001</v>
      </c>
      <c r="B2974" s="8">
        <v>144.28</v>
      </c>
      <c r="C2974" s="8">
        <v>167.95</v>
      </c>
      <c r="D2974" s="8">
        <v>85.91</v>
      </c>
    </row>
    <row r="2975" spans="1:4">
      <c r="A2975" s="7" t="s">
        <v>1002</v>
      </c>
      <c r="B2975" s="8">
        <v>188.93</v>
      </c>
      <c r="C2975" s="8">
        <v>232.75</v>
      </c>
      <c r="D2975" s="8">
        <v>81.17</v>
      </c>
    </row>
    <row r="2976" spans="1:4">
      <c r="A2976" s="7" t="s">
        <v>1003</v>
      </c>
      <c r="B2976" s="8">
        <v>188.93</v>
      </c>
      <c r="C2976" s="8">
        <v>232.75</v>
      </c>
      <c r="D2976" s="8">
        <v>81.17</v>
      </c>
    </row>
    <row r="2977" spans="1:4">
      <c r="A2977" s="7" t="s">
        <v>1004</v>
      </c>
      <c r="B2977" s="8">
        <v>143.96</v>
      </c>
      <c r="C2977" s="8">
        <v>167.95</v>
      </c>
      <c r="D2977" s="8">
        <v>85.72</v>
      </c>
    </row>
    <row r="2978" spans="1:4">
      <c r="A2978" s="7" t="s">
        <v>1005</v>
      </c>
      <c r="B2978" s="8">
        <v>144.28</v>
      </c>
      <c r="C2978" s="8">
        <v>167.95</v>
      </c>
      <c r="D2978" s="8">
        <v>85.91</v>
      </c>
    </row>
    <row r="2979" spans="1:4">
      <c r="A2979" s="7" t="s">
        <v>1006</v>
      </c>
      <c r="B2979" s="8">
        <v>188.93</v>
      </c>
      <c r="C2979" s="8">
        <v>232.75</v>
      </c>
      <c r="D2979" s="8">
        <v>81.17</v>
      </c>
    </row>
    <row r="2980" spans="1:4">
      <c r="A2980" s="7" t="s">
        <v>1007</v>
      </c>
      <c r="B2980" s="8">
        <v>188.93</v>
      </c>
      <c r="C2980" s="8">
        <v>232.75</v>
      </c>
      <c r="D2980" s="8">
        <v>81.17</v>
      </c>
    </row>
    <row r="2981" spans="1:4">
      <c r="A2981" s="7" t="s">
        <v>1008</v>
      </c>
      <c r="B2981" s="8">
        <v>143.72999999999999</v>
      </c>
      <c r="C2981" s="8">
        <v>167.4</v>
      </c>
      <c r="D2981" s="8">
        <v>85.86</v>
      </c>
    </row>
    <row r="2982" spans="1:4">
      <c r="A2982" s="7" t="s">
        <v>1009</v>
      </c>
      <c r="B2982" s="8">
        <v>215.16</v>
      </c>
      <c r="C2982" s="8">
        <v>165.2</v>
      </c>
      <c r="D2982" s="8">
        <v>130.24</v>
      </c>
    </row>
    <row r="2983" spans="1:4">
      <c r="A2983" s="7" t="s">
        <v>1010</v>
      </c>
      <c r="B2983" s="8">
        <v>242.31</v>
      </c>
      <c r="C2983" s="8">
        <v>192.6</v>
      </c>
      <c r="D2983" s="8">
        <v>125.81</v>
      </c>
    </row>
    <row r="2984" spans="1:4">
      <c r="A2984" s="7" t="s">
        <v>1011</v>
      </c>
      <c r="B2984" s="8">
        <v>144.28</v>
      </c>
      <c r="C2984" s="8">
        <v>167.95</v>
      </c>
      <c r="D2984" s="8">
        <v>85.91</v>
      </c>
    </row>
    <row r="2985" spans="1:4">
      <c r="A2985" s="7" t="s">
        <v>1012</v>
      </c>
      <c r="B2985" s="8">
        <v>225.85</v>
      </c>
      <c r="C2985" s="8">
        <v>234.1</v>
      </c>
      <c r="D2985" s="8">
        <v>96.47</v>
      </c>
    </row>
    <row r="2986" spans="1:4">
      <c r="A2986" s="7" t="s">
        <v>1013</v>
      </c>
      <c r="B2986" s="8">
        <v>195.23</v>
      </c>
      <c r="C2986" s="8">
        <v>157.94999999999999</v>
      </c>
      <c r="D2986" s="8">
        <v>123.6</v>
      </c>
    </row>
    <row r="2987" spans="1:4">
      <c r="A2987" s="7" t="s">
        <v>1014</v>
      </c>
      <c r="B2987" s="8">
        <v>551.41</v>
      </c>
      <c r="C2987" s="8">
        <v>390</v>
      </c>
      <c r="D2987" s="8">
        <v>141.38999999999999</v>
      </c>
    </row>
    <row r="2988" spans="1:4">
      <c r="A2988" s="7" t="s">
        <v>1015</v>
      </c>
      <c r="B2988" s="8">
        <v>144.28</v>
      </c>
      <c r="C2988" s="8">
        <v>167.95</v>
      </c>
      <c r="D2988" s="8">
        <v>85.91</v>
      </c>
    </row>
    <row r="2989" spans="1:4">
      <c r="A2989" s="7" t="s">
        <v>1016</v>
      </c>
      <c r="B2989" s="8">
        <v>188.93</v>
      </c>
      <c r="C2989" s="8">
        <v>232.75</v>
      </c>
      <c r="D2989" s="8">
        <v>81.17</v>
      </c>
    </row>
    <row r="2990" spans="1:4">
      <c r="A2990" s="7" t="s">
        <v>1017</v>
      </c>
      <c r="B2990" s="8">
        <v>188.93</v>
      </c>
      <c r="C2990" s="8">
        <v>232.75</v>
      </c>
      <c r="D2990" s="8">
        <v>81.17</v>
      </c>
    </row>
    <row r="2991" spans="1:4">
      <c r="A2991" s="7" t="s">
        <v>1018</v>
      </c>
      <c r="B2991" s="8">
        <v>143.96</v>
      </c>
      <c r="C2991" s="8">
        <v>167.95</v>
      </c>
      <c r="D2991" s="8">
        <v>85.72</v>
      </c>
    </row>
    <row r="2992" spans="1:4">
      <c r="A2992" s="7" t="s">
        <v>1019</v>
      </c>
      <c r="B2992" s="8">
        <v>144.28</v>
      </c>
      <c r="C2992" s="8">
        <v>167.95</v>
      </c>
      <c r="D2992" s="8">
        <v>85.91</v>
      </c>
    </row>
    <row r="2993" spans="1:4">
      <c r="A2993" s="7" t="s">
        <v>1020</v>
      </c>
      <c r="B2993" s="8">
        <v>188.93</v>
      </c>
      <c r="C2993" s="8">
        <v>232.75</v>
      </c>
      <c r="D2993" s="8">
        <v>81.17</v>
      </c>
    </row>
    <row r="2994" spans="1:4">
      <c r="A2994" s="7" t="s">
        <v>1021</v>
      </c>
      <c r="B2994" s="8">
        <v>190.01</v>
      </c>
      <c r="C2994" s="8">
        <v>235.35</v>
      </c>
      <c r="D2994" s="8">
        <v>80.739999999999995</v>
      </c>
    </row>
    <row r="2995" spans="1:4">
      <c r="A2995" s="7" t="s">
        <v>1022</v>
      </c>
      <c r="B2995" s="8">
        <v>143.96</v>
      </c>
      <c r="C2995" s="8">
        <v>167.95</v>
      </c>
      <c r="D2995" s="8">
        <v>85.72</v>
      </c>
    </row>
    <row r="2996" spans="1:4">
      <c r="A2996" s="7" t="s">
        <v>1023</v>
      </c>
      <c r="B2996" s="8">
        <v>144.28</v>
      </c>
      <c r="C2996" s="8">
        <v>167.95</v>
      </c>
      <c r="D2996" s="8">
        <v>85.91</v>
      </c>
    </row>
    <row r="2997" spans="1:4">
      <c r="A2997" s="7" t="s">
        <v>1024</v>
      </c>
      <c r="B2997" s="8">
        <v>188.93</v>
      </c>
      <c r="C2997" s="8">
        <v>232.75</v>
      </c>
      <c r="D2997" s="8">
        <v>81.17</v>
      </c>
    </row>
    <row r="2998" spans="1:4">
      <c r="A2998" s="7" t="s">
        <v>1025</v>
      </c>
      <c r="B2998" s="8">
        <v>188.93</v>
      </c>
      <c r="C2998" s="8">
        <v>232.75</v>
      </c>
      <c r="D2998" s="8">
        <v>81.17</v>
      </c>
    </row>
    <row r="2999" spans="1:4">
      <c r="A2999" s="7" t="s">
        <v>1026</v>
      </c>
      <c r="B2999" s="8">
        <v>143.96</v>
      </c>
      <c r="C2999" s="8">
        <v>167.95</v>
      </c>
      <c r="D2999" s="8">
        <v>85.72</v>
      </c>
    </row>
    <row r="3000" spans="1:4">
      <c r="A3000" s="7" t="s">
        <v>1027</v>
      </c>
      <c r="B3000" s="8">
        <v>144.28</v>
      </c>
      <c r="C3000" s="8">
        <v>167.95</v>
      </c>
      <c r="D3000" s="8">
        <v>85.91</v>
      </c>
    </row>
    <row r="3001" spans="1:4">
      <c r="A3001" s="7" t="s">
        <v>1028</v>
      </c>
      <c r="B3001" s="8">
        <v>188.93</v>
      </c>
      <c r="C3001" s="8">
        <v>232.75</v>
      </c>
      <c r="D3001" s="8">
        <v>81.17</v>
      </c>
    </row>
    <row r="3002" spans="1:4">
      <c r="A3002" s="7" t="s">
        <v>1029</v>
      </c>
      <c r="B3002" s="8">
        <v>188.93</v>
      </c>
      <c r="C3002" s="8">
        <v>232.75</v>
      </c>
      <c r="D3002" s="8">
        <v>81.17</v>
      </c>
    </row>
    <row r="3003" spans="1:4">
      <c r="A3003" s="7" t="s">
        <v>1030</v>
      </c>
      <c r="B3003" s="8">
        <v>143.96</v>
      </c>
      <c r="C3003" s="8">
        <v>167.95</v>
      </c>
      <c r="D3003" s="8">
        <v>85.72</v>
      </c>
    </row>
    <row r="3004" spans="1:4">
      <c r="A3004" s="7" t="s">
        <v>1031</v>
      </c>
      <c r="B3004" s="8">
        <v>144.52000000000001</v>
      </c>
      <c r="C3004" s="8">
        <v>167.95</v>
      </c>
      <c r="D3004" s="8">
        <v>86.05</v>
      </c>
    </row>
    <row r="3005" spans="1:4">
      <c r="A3005" s="7" t="s">
        <v>1032</v>
      </c>
      <c r="B3005" s="8">
        <v>336.01</v>
      </c>
      <c r="C3005" s="8">
        <v>179.35</v>
      </c>
      <c r="D3005" s="8">
        <v>187.35</v>
      </c>
    </row>
    <row r="3006" spans="1:4">
      <c r="A3006" s="7" t="s">
        <v>1033</v>
      </c>
      <c r="B3006" s="8">
        <v>198.13</v>
      </c>
      <c r="C3006" s="8">
        <v>179.35</v>
      </c>
      <c r="D3006" s="8">
        <v>110.47</v>
      </c>
    </row>
    <row r="3007" spans="1:4">
      <c r="A3007" s="7" t="s">
        <v>1034</v>
      </c>
      <c r="B3007" s="8">
        <v>147.44999999999999</v>
      </c>
      <c r="C3007" s="8">
        <v>167.95</v>
      </c>
      <c r="D3007" s="8">
        <v>87.8</v>
      </c>
    </row>
    <row r="3008" spans="1:4">
      <c r="A3008" s="7" t="s">
        <v>1035</v>
      </c>
      <c r="B3008" s="8">
        <v>399.35</v>
      </c>
      <c r="C3008" s="8">
        <v>365</v>
      </c>
      <c r="D3008" s="8">
        <v>109.41</v>
      </c>
    </row>
    <row r="3009" spans="1:4">
      <c r="A3009" s="7" t="s">
        <v>1036</v>
      </c>
      <c r="B3009" s="8">
        <v>556.4</v>
      </c>
      <c r="C3009" s="8">
        <v>282.25</v>
      </c>
      <c r="D3009" s="8">
        <v>197.13</v>
      </c>
    </row>
    <row r="3010" spans="1:4">
      <c r="A3010" s="7" t="s">
        <v>2236</v>
      </c>
      <c r="B3010" s="8">
        <v>223.68</v>
      </c>
      <c r="C3010" s="8">
        <v>234.1</v>
      </c>
      <c r="D3010" s="8">
        <v>95.55</v>
      </c>
    </row>
    <row r="3011" spans="1:4">
      <c r="A3011" s="7" t="s">
        <v>1037</v>
      </c>
      <c r="B3011" s="8">
        <v>424.35</v>
      </c>
      <c r="C3011" s="8">
        <v>380</v>
      </c>
      <c r="D3011" s="8">
        <v>111.67</v>
      </c>
    </row>
    <row r="3012" spans="1:4">
      <c r="A3012" s="7" t="s">
        <v>1038</v>
      </c>
      <c r="B3012" s="8">
        <v>144.28</v>
      </c>
      <c r="C3012" s="8">
        <v>167.95</v>
      </c>
      <c r="D3012" s="8">
        <v>85.91</v>
      </c>
    </row>
    <row r="3013" spans="1:4">
      <c r="A3013" s="7" t="s">
        <v>1039</v>
      </c>
      <c r="B3013" s="8">
        <v>218.36</v>
      </c>
      <c r="C3013" s="8">
        <v>234.1</v>
      </c>
      <c r="D3013" s="8">
        <v>93.28</v>
      </c>
    </row>
    <row r="3014" spans="1:4">
      <c r="A3014" s="7" t="s">
        <v>1040</v>
      </c>
      <c r="B3014" s="8">
        <v>196.84</v>
      </c>
      <c r="C3014" s="8">
        <v>157.94999999999999</v>
      </c>
      <c r="D3014" s="8">
        <v>124.62</v>
      </c>
    </row>
    <row r="3015" spans="1:4">
      <c r="A3015" s="7" t="s">
        <v>1041</v>
      </c>
      <c r="B3015" s="8">
        <v>552.9</v>
      </c>
      <c r="C3015" s="8">
        <v>390</v>
      </c>
      <c r="D3015" s="8">
        <v>141.77000000000001</v>
      </c>
    </row>
    <row r="3016" spans="1:4">
      <c r="A3016" s="7" t="s">
        <v>1042</v>
      </c>
      <c r="B3016" s="8">
        <v>114.57</v>
      </c>
      <c r="C3016" s="8">
        <v>142.24</v>
      </c>
      <c r="D3016" s="8">
        <v>80.55</v>
      </c>
    </row>
    <row r="3017" spans="1:4">
      <c r="A3017" s="7" t="s">
        <v>1043</v>
      </c>
      <c r="B3017" s="8">
        <v>178.47</v>
      </c>
      <c r="C3017" s="8">
        <v>221</v>
      </c>
      <c r="D3017" s="8">
        <v>80.760000000000005</v>
      </c>
    </row>
    <row r="3018" spans="1:4">
      <c r="A3018" s="7" t="s">
        <v>1044</v>
      </c>
      <c r="B3018" s="8">
        <v>405.6</v>
      </c>
      <c r="C3018" s="8">
        <v>394.22</v>
      </c>
      <c r="D3018" s="8">
        <v>102.89</v>
      </c>
    </row>
    <row r="3019" spans="1:4">
      <c r="A3019" s="7" t="s">
        <v>1045</v>
      </c>
      <c r="B3019" s="8">
        <v>405.6</v>
      </c>
      <c r="C3019" s="8">
        <v>394.22</v>
      </c>
      <c r="D3019" s="8">
        <v>102.89</v>
      </c>
    </row>
    <row r="3020" spans="1:4">
      <c r="A3020" s="7" t="s">
        <v>1046</v>
      </c>
      <c r="B3020" s="8">
        <v>178.47</v>
      </c>
      <c r="C3020" s="8">
        <v>221</v>
      </c>
      <c r="D3020" s="8">
        <v>80.760000000000005</v>
      </c>
    </row>
    <row r="3021" spans="1:4">
      <c r="A3021" s="7" t="s">
        <v>1047</v>
      </c>
      <c r="B3021" s="8">
        <v>114.57</v>
      </c>
      <c r="C3021" s="8">
        <v>142.24</v>
      </c>
      <c r="D3021" s="8">
        <v>80.55</v>
      </c>
    </row>
    <row r="3022" spans="1:4">
      <c r="A3022" s="7" t="s">
        <v>1048</v>
      </c>
      <c r="B3022" s="8">
        <v>216.57</v>
      </c>
      <c r="C3022" s="8">
        <v>240</v>
      </c>
      <c r="D3022" s="8">
        <v>90.24</v>
      </c>
    </row>
    <row r="3023" spans="1:4">
      <c r="A3023" s="7" t="s">
        <v>1049</v>
      </c>
      <c r="B3023" s="8">
        <v>408.34</v>
      </c>
      <c r="C3023" s="8">
        <v>455.2</v>
      </c>
      <c r="D3023" s="8">
        <v>89.7</v>
      </c>
    </row>
    <row r="3024" spans="1:4">
      <c r="A3024" s="7" t="s">
        <v>1050</v>
      </c>
      <c r="B3024" s="8">
        <v>322.62</v>
      </c>
      <c r="C3024" s="8">
        <v>277.95</v>
      </c>
      <c r="D3024" s="8">
        <v>116.07</v>
      </c>
    </row>
    <row r="3025" spans="1:4">
      <c r="A3025" s="7" t="s">
        <v>1051</v>
      </c>
      <c r="B3025" s="8">
        <v>108.27</v>
      </c>
      <c r="C3025" s="8">
        <v>134.1</v>
      </c>
      <c r="D3025" s="8">
        <v>80.739999999999995</v>
      </c>
    </row>
    <row r="3026" spans="1:4">
      <c r="A3026" s="7" t="s">
        <v>1052</v>
      </c>
      <c r="B3026" s="8">
        <v>108.27</v>
      </c>
      <c r="C3026" s="8">
        <v>134.1</v>
      </c>
      <c r="D3026" s="8">
        <v>80.739999999999995</v>
      </c>
    </row>
    <row r="3027" spans="1:4">
      <c r="A3027" s="7" t="s">
        <v>1053</v>
      </c>
      <c r="B3027" s="8">
        <v>319.37</v>
      </c>
      <c r="C3027" s="8">
        <v>277.95</v>
      </c>
      <c r="D3027" s="8">
        <v>114.9</v>
      </c>
    </row>
    <row r="3028" spans="1:4">
      <c r="A3028" s="7" t="s">
        <v>1054</v>
      </c>
      <c r="B3028" s="8">
        <v>399.35</v>
      </c>
      <c r="C3028" s="8">
        <v>365</v>
      </c>
      <c r="D3028" s="8">
        <v>109.41</v>
      </c>
    </row>
    <row r="3029" spans="1:4">
      <c r="A3029" s="7" t="s">
        <v>1055</v>
      </c>
      <c r="B3029" s="8">
        <v>551.62</v>
      </c>
      <c r="C3029" s="8">
        <v>282.25</v>
      </c>
      <c r="D3029" s="8">
        <v>195.44</v>
      </c>
    </row>
    <row r="3030" spans="1:4">
      <c r="A3030" s="7" t="s">
        <v>2237</v>
      </c>
      <c r="B3030" s="8">
        <v>223.68</v>
      </c>
      <c r="C3030" s="8">
        <v>234.1</v>
      </c>
      <c r="D3030" s="8">
        <v>95.55</v>
      </c>
    </row>
    <row r="3031" spans="1:4">
      <c r="A3031" s="7" t="s">
        <v>1056</v>
      </c>
      <c r="B3031" s="8">
        <v>424.69</v>
      </c>
      <c r="C3031" s="8">
        <v>380</v>
      </c>
      <c r="D3031" s="8">
        <v>111.76</v>
      </c>
    </row>
    <row r="3032" spans="1:4">
      <c r="A3032" s="7" t="s">
        <v>1057</v>
      </c>
      <c r="B3032" s="8">
        <v>334.57</v>
      </c>
      <c r="C3032" s="8">
        <v>390</v>
      </c>
      <c r="D3032" s="8">
        <v>85.79</v>
      </c>
    </row>
    <row r="3033" spans="1:4">
      <c r="A3033" s="7" t="s">
        <v>2233</v>
      </c>
      <c r="B3033" s="8">
        <v>108.27</v>
      </c>
      <c r="C3033" s="8">
        <v>134.1</v>
      </c>
      <c r="D3033" s="8">
        <v>80.739999999999995</v>
      </c>
    </row>
    <row r="3034" spans="1:4">
      <c r="A3034" s="7" t="s">
        <v>1058</v>
      </c>
      <c r="B3034" s="8">
        <v>108.27</v>
      </c>
      <c r="C3034" s="8">
        <v>134.1</v>
      </c>
      <c r="D3034" s="8">
        <v>80.739999999999995</v>
      </c>
    </row>
    <row r="3035" spans="1:4">
      <c r="A3035" s="7" t="s">
        <v>1059</v>
      </c>
      <c r="B3035" s="8">
        <v>321.42</v>
      </c>
      <c r="C3035" s="8">
        <v>380</v>
      </c>
      <c r="D3035" s="8">
        <v>84.58</v>
      </c>
    </row>
    <row r="3036" spans="1:4">
      <c r="A3036" s="7" t="s">
        <v>1060</v>
      </c>
      <c r="B3036" s="8">
        <v>216.57</v>
      </c>
      <c r="C3036" s="8">
        <v>240</v>
      </c>
      <c r="D3036" s="8">
        <v>90.24</v>
      </c>
    </row>
    <row r="3037" spans="1:4">
      <c r="A3037" s="7" t="s">
        <v>1061</v>
      </c>
      <c r="B3037" s="8">
        <v>547.65</v>
      </c>
      <c r="C3037" s="8">
        <v>655.20000000000005</v>
      </c>
      <c r="D3037" s="8">
        <v>83.59</v>
      </c>
    </row>
    <row r="3038" spans="1:4">
      <c r="A3038" s="7" t="s">
        <v>1062</v>
      </c>
      <c r="B3038" s="8">
        <v>414.2</v>
      </c>
      <c r="C3038" s="8">
        <v>505</v>
      </c>
      <c r="D3038" s="8">
        <v>82.02</v>
      </c>
    </row>
    <row r="3039" spans="1:4">
      <c r="A3039" s="7" t="s">
        <v>1063</v>
      </c>
      <c r="B3039" s="8">
        <v>568.39</v>
      </c>
      <c r="C3039" s="8">
        <v>282.25</v>
      </c>
      <c r="D3039" s="8">
        <v>201.38</v>
      </c>
    </row>
    <row r="3040" spans="1:4">
      <c r="A3040" s="7" t="s">
        <v>2238</v>
      </c>
      <c r="B3040" s="8">
        <v>223.68</v>
      </c>
      <c r="C3040" s="8">
        <v>234.1</v>
      </c>
      <c r="D3040" s="8">
        <v>95.55</v>
      </c>
    </row>
    <row r="3041" spans="1:4">
      <c r="A3041" s="7" t="s">
        <v>1064</v>
      </c>
      <c r="B3041" s="8">
        <v>321.42</v>
      </c>
      <c r="C3041" s="8">
        <v>380</v>
      </c>
      <c r="D3041" s="8">
        <v>84.58</v>
      </c>
    </row>
    <row r="3042" spans="1:4">
      <c r="A3042" s="7" t="s">
        <v>1065</v>
      </c>
      <c r="B3042" s="8">
        <v>355.87</v>
      </c>
      <c r="C3042" s="8">
        <v>301.39999999999998</v>
      </c>
      <c r="D3042" s="8">
        <v>118.07</v>
      </c>
    </row>
    <row r="3043" spans="1:4">
      <c r="A3043" s="7" t="s">
        <v>1066</v>
      </c>
      <c r="B3043" s="8">
        <v>108.27</v>
      </c>
      <c r="C3043" s="8">
        <v>134.1</v>
      </c>
      <c r="D3043" s="8">
        <v>80.739999999999995</v>
      </c>
    </row>
    <row r="3044" spans="1:4">
      <c r="A3044" s="7" t="s">
        <v>1067</v>
      </c>
      <c r="B3044" s="8">
        <v>108.27</v>
      </c>
      <c r="C3044" s="8">
        <v>134.1</v>
      </c>
      <c r="D3044" s="8">
        <v>80.739999999999995</v>
      </c>
    </row>
    <row r="3045" spans="1:4">
      <c r="A3045" s="7" t="s">
        <v>1068</v>
      </c>
      <c r="B3045" s="8">
        <v>346.72</v>
      </c>
      <c r="C3045" s="8">
        <v>301.39999999999998</v>
      </c>
      <c r="D3045" s="8">
        <v>115.04</v>
      </c>
    </row>
    <row r="3046" spans="1:4">
      <c r="A3046" s="7" t="s">
        <v>1069</v>
      </c>
      <c r="B3046" s="8">
        <v>414.2</v>
      </c>
      <c r="C3046" s="8">
        <v>505</v>
      </c>
      <c r="D3046" s="8">
        <v>82.02</v>
      </c>
    </row>
    <row r="3047" spans="1:4">
      <c r="A3047" s="7" t="s">
        <v>1070</v>
      </c>
      <c r="B3047" s="8">
        <v>575.49</v>
      </c>
      <c r="C3047" s="8">
        <v>282.25</v>
      </c>
      <c r="D3047" s="8">
        <v>203.89</v>
      </c>
    </row>
    <row r="3048" spans="1:4">
      <c r="A3048" s="7" t="s">
        <v>2239</v>
      </c>
      <c r="B3048" s="8">
        <v>223.68</v>
      </c>
      <c r="C3048" s="8">
        <v>234.1</v>
      </c>
      <c r="D3048" s="8">
        <v>95.55</v>
      </c>
    </row>
    <row r="3049" spans="1:4">
      <c r="A3049" s="7" t="s">
        <v>1071</v>
      </c>
      <c r="B3049" s="8">
        <v>321.42</v>
      </c>
      <c r="C3049" s="8">
        <v>380</v>
      </c>
      <c r="D3049" s="8">
        <v>84.58</v>
      </c>
    </row>
    <row r="3050" spans="1:4">
      <c r="A3050" s="7" t="s">
        <v>1072</v>
      </c>
      <c r="B3050" s="8">
        <v>147.83000000000001</v>
      </c>
      <c r="C3050" s="8">
        <v>167.95</v>
      </c>
      <c r="D3050" s="8">
        <v>88.02</v>
      </c>
    </row>
    <row r="3051" spans="1:4">
      <c r="A3051" s="7" t="s">
        <v>1073</v>
      </c>
      <c r="B3051" s="8">
        <v>188.93</v>
      </c>
      <c r="C3051" s="8">
        <v>232.75</v>
      </c>
      <c r="D3051" s="8">
        <v>81.17</v>
      </c>
    </row>
    <row r="3052" spans="1:4">
      <c r="A3052" s="7" t="s">
        <v>1074</v>
      </c>
      <c r="B3052" s="8">
        <v>188.93</v>
      </c>
      <c r="C3052" s="8">
        <v>232.75</v>
      </c>
      <c r="D3052" s="8">
        <v>81.17</v>
      </c>
    </row>
    <row r="3053" spans="1:4">
      <c r="A3053" s="7" t="s">
        <v>1075</v>
      </c>
      <c r="B3053" s="8">
        <v>153.69</v>
      </c>
      <c r="C3053" s="8">
        <v>167.95</v>
      </c>
      <c r="D3053" s="8">
        <v>91.51</v>
      </c>
    </row>
    <row r="3054" spans="1:4">
      <c r="A3054" s="7" t="s">
        <v>1076</v>
      </c>
      <c r="B3054" s="8">
        <v>535.62</v>
      </c>
      <c r="C3054" s="8">
        <v>635.20000000000005</v>
      </c>
      <c r="D3054" s="8">
        <v>84.32</v>
      </c>
    </row>
    <row r="3055" spans="1:4">
      <c r="A3055" s="7" t="s">
        <v>1077</v>
      </c>
      <c r="B3055" s="8">
        <v>551.62</v>
      </c>
      <c r="C3055" s="8">
        <v>282.25</v>
      </c>
      <c r="D3055" s="8">
        <v>195.44</v>
      </c>
    </row>
    <row r="3056" spans="1:4">
      <c r="A3056" s="7" t="s">
        <v>2240</v>
      </c>
      <c r="B3056" s="8">
        <v>223.68</v>
      </c>
      <c r="C3056" s="8">
        <v>234.1</v>
      </c>
      <c r="D3056" s="8">
        <v>95.55</v>
      </c>
    </row>
    <row r="3057" spans="1:4">
      <c r="A3057" s="7" t="s">
        <v>1078</v>
      </c>
      <c r="B3057" s="8">
        <v>423.19</v>
      </c>
      <c r="C3057" s="8">
        <v>380</v>
      </c>
      <c r="D3057" s="8">
        <v>111.37</v>
      </c>
    </row>
    <row r="3058" spans="1:4">
      <c r="A3058" s="7" t="s">
        <v>1079</v>
      </c>
      <c r="B3058" s="8">
        <v>145.72</v>
      </c>
      <c r="C3058" s="8">
        <v>167.95</v>
      </c>
      <c r="D3058" s="8">
        <v>86.76</v>
      </c>
    </row>
    <row r="3059" spans="1:4">
      <c r="A3059" s="7" t="s">
        <v>1080</v>
      </c>
      <c r="B3059" s="8">
        <v>188.93</v>
      </c>
      <c r="C3059" s="8">
        <v>232.75</v>
      </c>
      <c r="D3059" s="8">
        <v>81.17</v>
      </c>
    </row>
    <row r="3060" spans="1:4">
      <c r="A3060" s="7" t="s">
        <v>1081</v>
      </c>
      <c r="B3060" s="8">
        <v>188.93</v>
      </c>
      <c r="C3060" s="8">
        <v>232.75</v>
      </c>
      <c r="D3060" s="8">
        <v>81.17</v>
      </c>
    </row>
    <row r="3061" spans="1:4">
      <c r="A3061" s="7" t="s">
        <v>1082</v>
      </c>
      <c r="B3061" s="8">
        <v>145.72</v>
      </c>
      <c r="C3061" s="8">
        <v>167.95</v>
      </c>
      <c r="D3061" s="8">
        <v>86.76</v>
      </c>
    </row>
    <row r="3062" spans="1:4">
      <c r="A3062" s="7" t="s">
        <v>1083</v>
      </c>
      <c r="B3062" s="8">
        <v>500</v>
      </c>
      <c r="C3062" s="8">
        <v>1369.07</v>
      </c>
      <c r="D3062" s="8">
        <v>36.520000000000003</v>
      </c>
    </row>
    <row r="3063" spans="1:4">
      <c r="A3063" s="7" t="s">
        <v>1084</v>
      </c>
      <c r="B3063" s="8">
        <v>338.99</v>
      </c>
      <c r="C3063" s="8">
        <v>280</v>
      </c>
      <c r="D3063" s="8">
        <v>121.07</v>
      </c>
    </row>
    <row r="3064" spans="1:4">
      <c r="A3064" s="7" t="s">
        <v>1085</v>
      </c>
      <c r="B3064" s="8">
        <v>108.27</v>
      </c>
      <c r="C3064" s="8">
        <v>134.1</v>
      </c>
      <c r="D3064" s="8">
        <v>80.739999999999995</v>
      </c>
    </row>
    <row r="3065" spans="1:4">
      <c r="A3065" s="7" t="s">
        <v>1086</v>
      </c>
      <c r="B3065" s="8">
        <v>108.27</v>
      </c>
      <c r="C3065" s="8">
        <v>134.1</v>
      </c>
      <c r="D3065" s="8">
        <v>80.739999999999995</v>
      </c>
    </row>
    <row r="3066" spans="1:4">
      <c r="A3066" s="7" t="s">
        <v>1087</v>
      </c>
      <c r="B3066" s="8">
        <v>436.75</v>
      </c>
      <c r="C3066" s="8">
        <v>354.8</v>
      </c>
      <c r="D3066" s="8">
        <v>123.1</v>
      </c>
    </row>
    <row r="3067" spans="1:4">
      <c r="A3067" s="7" t="s">
        <v>1088</v>
      </c>
      <c r="B3067" s="8">
        <v>571.86</v>
      </c>
      <c r="C3067" s="8">
        <v>354.8</v>
      </c>
      <c r="D3067" s="8">
        <v>161.18</v>
      </c>
    </row>
    <row r="3068" spans="1:4">
      <c r="A3068" s="7" t="s">
        <v>1089</v>
      </c>
      <c r="B3068" s="8">
        <v>121.18</v>
      </c>
      <c r="C3068" s="8">
        <v>134.1</v>
      </c>
      <c r="D3068" s="8">
        <v>90.37</v>
      </c>
    </row>
    <row r="3069" spans="1:4">
      <c r="A3069" s="7" t="s">
        <v>1090</v>
      </c>
      <c r="B3069" s="8">
        <v>124.11</v>
      </c>
      <c r="C3069" s="8">
        <v>134.1</v>
      </c>
      <c r="D3069" s="8">
        <v>92.55</v>
      </c>
    </row>
    <row r="3070" spans="1:4">
      <c r="A3070" s="7" t="s">
        <v>1091</v>
      </c>
      <c r="B3070" s="8">
        <v>571.86</v>
      </c>
      <c r="C3070" s="8">
        <v>354.8</v>
      </c>
      <c r="D3070" s="8">
        <v>161.18</v>
      </c>
    </row>
    <row r="3071" spans="1:4">
      <c r="A3071" s="7" t="s">
        <v>1092</v>
      </c>
      <c r="B3071" s="8">
        <v>166.17</v>
      </c>
      <c r="C3071" s="8">
        <v>223</v>
      </c>
      <c r="D3071" s="8">
        <v>74.52</v>
      </c>
    </row>
    <row r="3072" spans="1:4">
      <c r="A3072" s="7" t="s">
        <v>1093</v>
      </c>
      <c r="B3072" s="8">
        <v>183.98</v>
      </c>
      <c r="C3072" s="8">
        <v>223.01</v>
      </c>
      <c r="D3072" s="8">
        <v>82.5</v>
      </c>
    </row>
    <row r="3073" spans="1:4">
      <c r="A3073" s="7" t="s">
        <v>1094</v>
      </c>
      <c r="B3073" s="8">
        <v>295</v>
      </c>
      <c r="C3073" s="8">
        <v>223</v>
      </c>
      <c r="D3073" s="8">
        <v>132.29</v>
      </c>
    </row>
    <row r="3074" spans="1:4">
      <c r="A3074" s="7" t="s">
        <v>1095</v>
      </c>
      <c r="B3074" s="8">
        <v>292.17</v>
      </c>
      <c r="C3074" s="8">
        <v>223</v>
      </c>
      <c r="D3074" s="8">
        <v>131.02000000000001</v>
      </c>
    </row>
    <row r="3075" spans="1:4">
      <c r="A3075" s="7" t="s">
        <v>1096</v>
      </c>
      <c r="B3075" s="8">
        <v>183.98</v>
      </c>
      <c r="C3075" s="8">
        <v>223.01</v>
      </c>
      <c r="D3075" s="8">
        <v>82.5</v>
      </c>
    </row>
    <row r="3076" spans="1:4">
      <c r="A3076" s="7" t="s">
        <v>1097</v>
      </c>
      <c r="B3076" s="8">
        <v>166.17</v>
      </c>
      <c r="C3076" s="8">
        <v>223</v>
      </c>
      <c r="D3076" s="8">
        <v>74.52</v>
      </c>
    </row>
    <row r="3077" spans="1:4">
      <c r="A3077" s="7" t="s">
        <v>1098</v>
      </c>
      <c r="B3077" s="8">
        <v>144.28</v>
      </c>
      <c r="C3077" s="8">
        <v>167.95</v>
      </c>
      <c r="D3077" s="8">
        <v>85.91</v>
      </c>
    </row>
    <row r="3078" spans="1:4">
      <c r="A3078" s="7" t="s">
        <v>1099</v>
      </c>
      <c r="B3078" s="8">
        <v>225.85</v>
      </c>
      <c r="C3078" s="8">
        <v>234.1</v>
      </c>
      <c r="D3078" s="8">
        <v>96.47</v>
      </c>
    </row>
    <row r="3079" spans="1:4">
      <c r="A3079" s="7" t="s">
        <v>1100</v>
      </c>
      <c r="B3079" s="8">
        <v>195.23</v>
      </c>
      <c r="C3079" s="8">
        <v>157.94999999999999</v>
      </c>
      <c r="D3079" s="8">
        <v>123.6</v>
      </c>
    </row>
    <row r="3080" spans="1:4">
      <c r="A3080" s="7" t="s">
        <v>1101</v>
      </c>
      <c r="B3080" s="8">
        <v>547.27</v>
      </c>
      <c r="C3080" s="8">
        <v>390</v>
      </c>
      <c r="D3080" s="8">
        <v>140.33000000000001</v>
      </c>
    </row>
    <row r="3081" spans="1:4">
      <c r="A3081" s="7" t="s">
        <v>1102</v>
      </c>
      <c r="B3081" s="8">
        <v>215.16</v>
      </c>
      <c r="C3081" s="8">
        <v>165.2</v>
      </c>
      <c r="D3081" s="8">
        <v>130.24</v>
      </c>
    </row>
    <row r="3082" spans="1:4">
      <c r="A3082" s="7" t="s">
        <v>1103</v>
      </c>
      <c r="B3082" s="8">
        <v>242.31</v>
      </c>
      <c r="C3082" s="8">
        <v>192.6</v>
      </c>
      <c r="D3082" s="8">
        <v>125.81</v>
      </c>
    </row>
    <row r="3083" spans="1:4">
      <c r="A3083" s="7" t="s">
        <v>1104</v>
      </c>
      <c r="B3083" s="8">
        <v>249.5</v>
      </c>
      <c r="C3083" s="8">
        <v>240</v>
      </c>
      <c r="D3083" s="8">
        <v>103.96</v>
      </c>
    </row>
    <row r="3084" spans="1:4">
      <c r="A3084" s="7" t="s">
        <v>1105</v>
      </c>
      <c r="B3084" s="8">
        <v>341.95</v>
      </c>
      <c r="C3084" s="8">
        <v>297.60000000000002</v>
      </c>
      <c r="D3084" s="8">
        <v>114.9</v>
      </c>
    </row>
    <row r="3085" spans="1:4">
      <c r="A3085" s="7" t="s">
        <v>1106</v>
      </c>
      <c r="B3085" s="8">
        <v>80</v>
      </c>
      <c r="C3085" s="8">
        <v>80</v>
      </c>
      <c r="D3085" s="8">
        <v>100</v>
      </c>
    </row>
    <row r="3086" spans="1:4">
      <c r="A3086" s="7" t="s">
        <v>1107</v>
      </c>
      <c r="B3086" s="8">
        <v>80</v>
      </c>
      <c r="C3086" s="8">
        <v>80</v>
      </c>
      <c r="D3086" s="8">
        <v>100</v>
      </c>
    </row>
    <row r="3087" spans="1:4">
      <c r="A3087" s="7" t="s">
        <v>1108</v>
      </c>
      <c r="B3087" s="8">
        <v>80</v>
      </c>
      <c r="C3087" s="8">
        <v>80</v>
      </c>
      <c r="D3087" s="8">
        <v>100</v>
      </c>
    </row>
    <row r="3088" spans="1:4">
      <c r="A3088" s="7" t="s">
        <v>1109</v>
      </c>
      <c r="B3088" s="8">
        <v>80</v>
      </c>
      <c r="C3088" s="8">
        <v>80</v>
      </c>
      <c r="D3088" s="8">
        <v>100</v>
      </c>
    </row>
    <row r="3089" spans="1:4">
      <c r="A3089" s="7" t="s">
        <v>1110</v>
      </c>
      <c r="B3089" s="8">
        <v>157.87</v>
      </c>
      <c r="C3089" s="8">
        <v>172.4</v>
      </c>
      <c r="D3089" s="8">
        <v>91.57</v>
      </c>
    </row>
    <row r="3090" spans="1:4">
      <c r="A3090" s="7" t="s">
        <v>1111</v>
      </c>
      <c r="B3090" s="8">
        <v>141.91999999999999</v>
      </c>
      <c r="C3090" s="8">
        <v>180</v>
      </c>
      <c r="D3090" s="8">
        <v>78.849999999999994</v>
      </c>
    </row>
    <row r="3091" spans="1:4">
      <c r="A3091" s="7" t="s">
        <v>1112</v>
      </c>
      <c r="B3091" s="8">
        <v>926</v>
      </c>
      <c r="C3091" s="8">
        <v>1128.31</v>
      </c>
      <c r="D3091" s="8">
        <v>82.07</v>
      </c>
    </row>
    <row r="3092" spans="1:4">
      <c r="A3092" s="7" t="s">
        <v>1113</v>
      </c>
      <c r="B3092" s="8">
        <v>728.4</v>
      </c>
      <c r="C3092" s="8">
        <v>677.21</v>
      </c>
      <c r="D3092" s="8">
        <v>107.56</v>
      </c>
    </row>
    <row r="3093" spans="1:4">
      <c r="A3093" s="7" t="s">
        <v>1114</v>
      </c>
      <c r="B3093" s="8">
        <v>170.71</v>
      </c>
      <c r="C3093" s="8">
        <v>200</v>
      </c>
      <c r="D3093" s="8">
        <v>85.36</v>
      </c>
    </row>
    <row r="3094" spans="1:4">
      <c r="A3094" s="7" t="s">
        <v>1115</v>
      </c>
      <c r="B3094" s="8">
        <v>100</v>
      </c>
      <c r="C3094" s="8">
        <v>100</v>
      </c>
      <c r="D3094" s="8">
        <v>100</v>
      </c>
    </row>
    <row r="3095" spans="1:4">
      <c r="A3095" s="7" t="s">
        <v>1116</v>
      </c>
      <c r="B3095" s="8">
        <v>112.34</v>
      </c>
      <c r="C3095" s="8">
        <v>129.80000000000001</v>
      </c>
      <c r="D3095" s="8">
        <v>86.55</v>
      </c>
    </row>
    <row r="3096" spans="1:4">
      <c r="A3096" s="7" t="s">
        <v>1117</v>
      </c>
      <c r="B3096" s="8">
        <v>118.64</v>
      </c>
      <c r="C3096" s="8">
        <v>145</v>
      </c>
      <c r="D3096" s="8">
        <v>81.819999999999993</v>
      </c>
    </row>
    <row r="3097" spans="1:4">
      <c r="A3097" s="7" t="s">
        <v>1118</v>
      </c>
      <c r="B3097" s="8">
        <v>162.43</v>
      </c>
      <c r="C3097" s="8">
        <v>180</v>
      </c>
      <c r="D3097" s="8">
        <v>90.24</v>
      </c>
    </row>
    <row r="3098" spans="1:4">
      <c r="A3098" s="7" t="s">
        <v>1119</v>
      </c>
      <c r="B3098" s="8">
        <v>361.04</v>
      </c>
      <c r="C3098" s="8">
        <v>300</v>
      </c>
      <c r="D3098" s="8">
        <v>120.35</v>
      </c>
    </row>
    <row r="3099" spans="1:4">
      <c r="A3099" s="7" t="s">
        <v>1120</v>
      </c>
      <c r="B3099" s="8">
        <v>1892.81</v>
      </c>
      <c r="C3099" s="8">
        <v>1919.1</v>
      </c>
      <c r="D3099" s="8">
        <v>98.63</v>
      </c>
    </row>
    <row r="3100" spans="1:4">
      <c r="A3100" s="7" t="s">
        <v>1121</v>
      </c>
      <c r="B3100" s="8">
        <v>172.64</v>
      </c>
      <c r="C3100" s="8">
        <v>155.08000000000001</v>
      </c>
      <c r="D3100" s="8">
        <v>111.32</v>
      </c>
    </row>
    <row r="3101" spans="1:4">
      <c r="A3101" s="7" t="s">
        <v>1122</v>
      </c>
      <c r="B3101" s="8">
        <v>117.51</v>
      </c>
      <c r="C3101" s="8">
        <v>142.28</v>
      </c>
      <c r="D3101" s="8">
        <v>82.59</v>
      </c>
    </row>
    <row r="3102" spans="1:4">
      <c r="A3102" s="7" t="s">
        <v>1123</v>
      </c>
      <c r="B3102" s="8">
        <v>289.36</v>
      </c>
      <c r="C3102" s="8">
        <v>263.8</v>
      </c>
      <c r="D3102" s="8">
        <v>109.69</v>
      </c>
    </row>
    <row r="3103" spans="1:4">
      <c r="A3103" s="7" t="s">
        <v>1124</v>
      </c>
      <c r="B3103" s="8">
        <v>450.23</v>
      </c>
      <c r="C3103" s="8">
        <v>297.60000000000002</v>
      </c>
      <c r="D3103" s="8">
        <v>151.29</v>
      </c>
    </row>
    <row r="3104" spans="1:4">
      <c r="A3104" s="7" t="s">
        <v>1125</v>
      </c>
      <c r="B3104" s="8">
        <v>142.79</v>
      </c>
      <c r="C3104" s="8">
        <v>167.95</v>
      </c>
      <c r="D3104" s="8">
        <v>85.02</v>
      </c>
    </row>
    <row r="3105" spans="1:4">
      <c r="A3105" s="7" t="s">
        <v>1126</v>
      </c>
      <c r="B3105" s="8">
        <v>188.93</v>
      </c>
      <c r="C3105" s="8">
        <v>232.75</v>
      </c>
      <c r="D3105" s="8">
        <v>81.17</v>
      </c>
    </row>
    <row r="3106" spans="1:4">
      <c r="A3106" s="7" t="s">
        <v>1127</v>
      </c>
      <c r="B3106" s="8">
        <v>188.93</v>
      </c>
      <c r="C3106" s="8">
        <v>232.75</v>
      </c>
      <c r="D3106" s="8">
        <v>81.17</v>
      </c>
    </row>
    <row r="3107" spans="1:4">
      <c r="A3107" s="7" t="s">
        <v>1128</v>
      </c>
      <c r="B3107" s="8">
        <v>142.79</v>
      </c>
      <c r="C3107" s="8">
        <v>167.95</v>
      </c>
      <c r="D3107" s="8">
        <v>85.02</v>
      </c>
    </row>
    <row r="3108" spans="1:4">
      <c r="A3108" s="7" t="s">
        <v>1129</v>
      </c>
      <c r="B3108" s="8">
        <v>143.9</v>
      </c>
      <c r="C3108" s="8">
        <v>167.95</v>
      </c>
      <c r="D3108" s="8">
        <v>85.68</v>
      </c>
    </row>
    <row r="3109" spans="1:4">
      <c r="A3109" s="7" t="s">
        <v>1130</v>
      </c>
      <c r="B3109" s="8">
        <v>188.93</v>
      </c>
      <c r="C3109" s="8">
        <v>232.75</v>
      </c>
      <c r="D3109" s="8">
        <v>81.17</v>
      </c>
    </row>
    <row r="3110" spans="1:4">
      <c r="A3110" s="7" t="s">
        <v>1131</v>
      </c>
      <c r="B3110" s="8">
        <v>188.93</v>
      </c>
      <c r="C3110" s="8">
        <v>232.75</v>
      </c>
      <c r="D3110" s="8">
        <v>81.17</v>
      </c>
    </row>
    <row r="3111" spans="1:4">
      <c r="A3111" s="7" t="s">
        <v>1132</v>
      </c>
      <c r="B3111" s="8">
        <v>143.9</v>
      </c>
      <c r="C3111" s="8">
        <v>167.95</v>
      </c>
      <c r="D3111" s="8">
        <v>85.68</v>
      </c>
    </row>
    <row r="3112" spans="1:4">
      <c r="A3112" s="7" t="s">
        <v>1133</v>
      </c>
      <c r="B3112" s="8">
        <v>595.58000000000004</v>
      </c>
      <c r="C3112" s="8">
        <v>240</v>
      </c>
      <c r="D3112" s="8">
        <v>248.16</v>
      </c>
    </row>
    <row r="3113" spans="1:4">
      <c r="A3113" s="7" t="s">
        <v>1134</v>
      </c>
      <c r="B3113" s="8">
        <v>424.96</v>
      </c>
      <c r="C3113" s="8">
        <v>297.60000000000002</v>
      </c>
      <c r="D3113" s="8">
        <v>142.80000000000001</v>
      </c>
    </row>
    <row r="3114" spans="1:4">
      <c r="A3114" s="7" t="s">
        <v>1135</v>
      </c>
      <c r="B3114" s="8">
        <v>171.81</v>
      </c>
      <c r="C3114" s="8">
        <v>155.08000000000001</v>
      </c>
      <c r="D3114" s="8">
        <v>110.79</v>
      </c>
    </row>
    <row r="3115" spans="1:4">
      <c r="A3115" s="7" t="s">
        <v>1136</v>
      </c>
      <c r="B3115" s="8">
        <v>111.69</v>
      </c>
      <c r="C3115" s="8">
        <v>132.44999999999999</v>
      </c>
      <c r="D3115" s="8">
        <v>84.33</v>
      </c>
    </row>
    <row r="3116" spans="1:4">
      <c r="A3116" s="7" t="s">
        <v>1137</v>
      </c>
      <c r="B3116" s="8">
        <v>171.4</v>
      </c>
      <c r="C3116" s="8">
        <v>198.82</v>
      </c>
      <c r="D3116" s="8">
        <v>86.21</v>
      </c>
    </row>
    <row r="3117" spans="1:4">
      <c r="A3117" s="7" t="s">
        <v>1138</v>
      </c>
      <c r="B3117" s="8">
        <v>427.12</v>
      </c>
      <c r="C3117" s="8">
        <v>394.2</v>
      </c>
      <c r="D3117" s="8">
        <v>108.35</v>
      </c>
    </row>
    <row r="3118" spans="1:4">
      <c r="A3118" s="7" t="s">
        <v>1139</v>
      </c>
      <c r="B3118" s="8">
        <v>338.55</v>
      </c>
      <c r="C3118" s="8">
        <v>394.2</v>
      </c>
      <c r="D3118" s="8">
        <v>85.88</v>
      </c>
    </row>
    <row r="3119" spans="1:4">
      <c r="A3119" s="7" t="s">
        <v>1140</v>
      </c>
      <c r="B3119" s="8">
        <v>120.62</v>
      </c>
      <c r="C3119" s="8">
        <v>154.02000000000001</v>
      </c>
      <c r="D3119" s="8">
        <v>78.319999999999993</v>
      </c>
    </row>
    <row r="3120" spans="1:4">
      <c r="A3120" s="7" t="s">
        <v>1141</v>
      </c>
      <c r="B3120" s="8">
        <v>109.68</v>
      </c>
      <c r="C3120" s="8">
        <v>130.44</v>
      </c>
      <c r="D3120" s="8">
        <v>84.08</v>
      </c>
    </row>
    <row r="3121" spans="1:4">
      <c r="A3121" s="7" t="s">
        <v>1142</v>
      </c>
      <c r="B3121" s="8">
        <v>148.65</v>
      </c>
      <c r="C3121" s="8">
        <v>167.95</v>
      </c>
      <c r="D3121" s="8">
        <v>88.51</v>
      </c>
    </row>
    <row r="3122" spans="1:4">
      <c r="A3122" s="7" t="s">
        <v>1143</v>
      </c>
      <c r="B3122" s="8">
        <v>188.93</v>
      </c>
      <c r="C3122" s="8">
        <v>232.75</v>
      </c>
      <c r="D3122" s="8">
        <v>81.17</v>
      </c>
    </row>
    <row r="3123" spans="1:4">
      <c r="A3123" s="7" t="s">
        <v>1144</v>
      </c>
      <c r="B3123" s="8">
        <v>188.93</v>
      </c>
      <c r="C3123" s="8">
        <v>232.75</v>
      </c>
      <c r="D3123" s="8">
        <v>81.17</v>
      </c>
    </row>
    <row r="3124" spans="1:4">
      <c r="A3124" s="7" t="s">
        <v>1145</v>
      </c>
      <c r="B3124" s="8">
        <v>148.65</v>
      </c>
      <c r="C3124" s="8">
        <v>167.95</v>
      </c>
      <c r="D3124" s="8">
        <v>88.51</v>
      </c>
    </row>
    <row r="3125" spans="1:4">
      <c r="A3125" s="7" t="s">
        <v>1146</v>
      </c>
      <c r="B3125" s="8">
        <v>148.65</v>
      </c>
      <c r="C3125" s="8">
        <v>167.95</v>
      </c>
      <c r="D3125" s="8">
        <v>88.51</v>
      </c>
    </row>
    <row r="3126" spans="1:4">
      <c r="A3126" s="7" t="s">
        <v>1147</v>
      </c>
      <c r="B3126" s="8">
        <v>188.93</v>
      </c>
      <c r="C3126" s="8">
        <v>232.75</v>
      </c>
      <c r="D3126" s="8">
        <v>81.17</v>
      </c>
    </row>
    <row r="3127" spans="1:4">
      <c r="A3127" s="7" t="s">
        <v>1148</v>
      </c>
      <c r="B3127" s="8">
        <v>188.93</v>
      </c>
      <c r="C3127" s="8">
        <v>232.75</v>
      </c>
      <c r="D3127" s="8">
        <v>81.17</v>
      </c>
    </row>
    <row r="3128" spans="1:4">
      <c r="A3128" s="7" t="s">
        <v>1149</v>
      </c>
      <c r="B3128" s="8">
        <v>148.65</v>
      </c>
      <c r="C3128" s="8">
        <v>167.95</v>
      </c>
      <c r="D3128" s="8">
        <v>88.51</v>
      </c>
    </row>
    <row r="3129" spans="1:4">
      <c r="A3129" s="7" t="s">
        <v>1150</v>
      </c>
      <c r="B3129" s="8">
        <v>475.17</v>
      </c>
      <c r="C3129" s="8">
        <v>523.22</v>
      </c>
      <c r="D3129" s="8">
        <v>90.82</v>
      </c>
    </row>
    <row r="3130" spans="1:4">
      <c r="A3130" s="7" t="s">
        <v>1151</v>
      </c>
      <c r="B3130" s="8">
        <v>857.98</v>
      </c>
      <c r="C3130" s="8">
        <v>990.62</v>
      </c>
      <c r="D3130" s="8">
        <v>86.61</v>
      </c>
    </row>
    <row r="3131" spans="1:4">
      <c r="A3131" s="7" t="s">
        <v>1152</v>
      </c>
      <c r="B3131" s="8">
        <v>80</v>
      </c>
      <c r="C3131" s="8">
        <v>80</v>
      </c>
      <c r="D3131" s="8">
        <v>100</v>
      </c>
    </row>
    <row r="3132" spans="1:4">
      <c r="A3132" s="7" t="s">
        <v>1153</v>
      </c>
      <c r="B3132" s="8">
        <v>80</v>
      </c>
      <c r="C3132" s="8">
        <v>80</v>
      </c>
      <c r="D3132" s="8">
        <v>100</v>
      </c>
    </row>
    <row r="3133" spans="1:4">
      <c r="A3133" s="7" t="s">
        <v>1154</v>
      </c>
      <c r="B3133" s="8">
        <v>480</v>
      </c>
      <c r="C3133" s="8">
        <v>9861.61</v>
      </c>
      <c r="D3133" s="8">
        <v>4.87</v>
      </c>
    </row>
    <row r="3134" spans="1:4">
      <c r="A3134" s="7" t="s">
        <v>1155</v>
      </c>
      <c r="B3134" s="8">
        <v>390.19</v>
      </c>
      <c r="C3134" s="8">
        <v>401.15</v>
      </c>
      <c r="D3134" s="8">
        <v>97.27</v>
      </c>
    </row>
    <row r="3135" spans="1:4">
      <c r="A3135" s="7" t="s">
        <v>1156</v>
      </c>
      <c r="B3135" s="8">
        <v>6999.45</v>
      </c>
      <c r="C3135" s="8">
        <v>645</v>
      </c>
      <c r="D3135" s="8">
        <v>1085.19</v>
      </c>
    </row>
    <row r="3136" spans="1:4">
      <c r="A3136" s="7" t="s">
        <v>1157</v>
      </c>
      <c r="B3136" s="8">
        <v>958.37</v>
      </c>
      <c r="C3136" s="8">
        <v>789.8</v>
      </c>
      <c r="D3136" s="8">
        <v>121.34</v>
      </c>
    </row>
    <row r="3137" spans="1:4">
      <c r="A3137" s="7" t="s">
        <v>1158</v>
      </c>
      <c r="B3137" s="8">
        <v>108.27</v>
      </c>
      <c r="C3137" s="8">
        <v>134.1</v>
      </c>
      <c r="D3137" s="8">
        <v>80.739999999999995</v>
      </c>
    </row>
    <row r="3138" spans="1:4">
      <c r="A3138" s="7" t="s">
        <v>1159</v>
      </c>
      <c r="B3138" s="8">
        <v>108.27</v>
      </c>
      <c r="C3138" s="8">
        <v>134.1</v>
      </c>
      <c r="D3138" s="8">
        <v>80.739999999999995</v>
      </c>
    </row>
    <row r="3139" spans="1:4">
      <c r="A3139" s="7" t="s">
        <v>1160</v>
      </c>
      <c r="B3139" s="8">
        <v>822.13</v>
      </c>
      <c r="C3139" s="8">
        <v>910</v>
      </c>
      <c r="D3139" s="8">
        <v>90.34</v>
      </c>
    </row>
    <row r="3140" spans="1:4">
      <c r="A3140" s="7" t="s">
        <v>1161</v>
      </c>
      <c r="B3140" s="8">
        <v>116.58</v>
      </c>
      <c r="C3140" s="8">
        <v>144.25</v>
      </c>
      <c r="D3140" s="8">
        <v>80.819999999999993</v>
      </c>
    </row>
    <row r="3141" spans="1:4">
      <c r="A3141" s="7" t="s">
        <v>1162</v>
      </c>
      <c r="B3141" s="8">
        <v>296.87</v>
      </c>
      <c r="C3141" s="8">
        <v>223.01</v>
      </c>
      <c r="D3141" s="8">
        <v>133.12</v>
      </c>
    </row>
    <row r="3142" spans="1:4">
      <c r="A3142" s="7" t="s">
        <v>1163</v>
      </c>
      <c r="B3142" s="8">
        <v>604.02</v>
      </c>
      <c r="C3142" s="8">
        <v>433.22</v>
      </c>
      <c r="D3142" s="8">
        <v>139.43</v>
      </c>
    </row>
    <row r="3143" spans="1:4">
      <c r="A3143" s="7" t="s">
        <v>1164</v>
      </c>
      <c r="B3143" s="8">
        <v>448.52</v>
      </c>
      <c r="C3143" s="8">
        <v>433.22</v>
      </c>
      <c r="D3143" s="8">
        <v>103.53</v>
      </c>
    </row>
    <row r="3144" spans="1:4">
      <c r="A3144" s="7" t="s">
        <v>1165</v>
      </c>
      <c r="B3144" s="8">
        <v>304.86</v>
      </c>
      <c r="C3144" s="8">
        <v>221</v>
      </c>
      <c r="D3144" s="8">
        <v>137.94</v>
      </c>
    </row>
    <row r="3145" spans="1:4">
      <c r="A3145" s="7" t="s">
        <v>1166</v>
      </c>
      <c r="B3145" s="8">
        <v>114.57</v>
      </c>
      <c r="C3145" s="8">
        <v>142.24</v>
      </c>
      <c r="D3145" s="8">
        <v>80.55</v>
      </c>
    </row>
    <row r="3146" spans="1:4">
      <c r="A3146" s="7" t="s">
        <v>1167</v>
      </c>
      <c r="B3146" s="8">
        <v>112.62</v>
      </c>
      <c r="C3146" s="8">
        <v>116.33</v>
      </c>
      <c r="D3146" s="8">
        <v>96.81</v>
      </c>
    </row>
    <row r="3147" spans="1:4">
      <c r="A3147" s="7" t="s">
        <v>1168</v>
      </c>
      <c r="B3147" s="8">
        <v>108.27</v>
      </c>
      <c r="C3147" s="8">
        <v>134.1</v>
      </c>
      <c r="D3147" s="8">
        <v>80.739999999999995</v>
      </c>
    </row>
    <row r="3148" spans="1:4">
      <c r="A3148" s="7" t="s">
        <v>1169</v>
      </c>
      <c r="B3148" s="8">
        <v>108.27</v>
      </c>
      <c r="C3148" s="8">
        <v>134.1</v>
      </c>
      <c r="D3148" s="8">
        <v>80.739999999999995</v>
      </c>
    </row>
    <row r="3149" spans="1:4">
      <c r="A3149" s="7" t="s">
        <v>1170</v>
      </c>
      <c r="B3149" s="8">
        <v>828.43</v>
      </c>
      <c r="C3149" s="8">
        <v>296.33</v>
      </c>
      <c r="D3149" s="8">
        <v>279.56</v>
      </c>
    </row>
    <row r="3150" spans="1:4">
      <c r="A3150" s="7" t="s">
        <v>1171</v>
      </c>
      <c r="B3150" s="8">
        <v>80</v>
      </c>
      <c r="C3150" s="8">
        <v>80</v>
      </c>
      <c r="D3150" s="8">
        <v>100</v>
      </c>
    </row>
    <row r="3151" spans="1:4">
      <c r="A3151" s="7" t="s">
        <v>1172</v>
      </c>
      <c r="B3151" s="8">
        <v>80</v>
      </c>
      <c r="C3151" s="8">
        <v>80</v>
      </c>
      <c r="D3151" s="8">
        <v>100</v>
      </c>
    </row>
    <row r="3152" spans="1:4">
      <c r="A3152" s="7" t="s">
        <v>1173</v>
      </c>
      <c r="B3152" s="8">
        <v>80</v>
      </c>
      <c r="C3152" s="8">
        <v>80</v>
      </c>
      <c r="D3152" s="8">
        <v>100</v>
      </c>
    </row>
    <row r="3153" spans="1:4">
      <c r="A3153" s="7" t="s">
        <v>1174</v>
      </c>
      <c r="B3153" s="8">
        <v>80</v>
      </c>
      <c r="C3153" s="8">
        <v>80</v>
      </c>
      <c r="D3153" s="8">
        <v>100</v>
      </c>
    </row>
    <row r="3154" spans="1:4">
      <c r="A3154" s="7" t="s">
        <v>1175</v>
      </c>
      <c r="B3154" s="8">
        <v>80</v>
      </c>
      <c r="C3154" s="8">
        <v>80</v>
      </c>
      <c r="D3154" s="8">
        <v>100</v>
      </c>
    </row>
    <row r="3155" spans="1:4">
      <c r="A3155" s="7" t="s">
        <v>1176</v>
      </c>
      <c r="B3155" s="8">
        <v>80</v>
      </c>
      <c r="C3155" s="8">
        <v>80</v>
      </c>
      <c r="D3155" s="8">
        <v>100</v>
      </c>
    </row>
    <row r="3156" spans="1:4">
      <c r="A3156" s="7" t="s">
        <v>1177</v>
      </c>
      <c r="B3156" s="8">
        <v>80</v>
      </c>
      <c r="C3156" s="8">
        <v>80</v>
      </c>
      <c r="D3156" s="8">
        <v>100</v>
      </c>
    </row>
    <row r="3157" spans="1:4">
      <c r="A3157" s="7" t="s">
        <v>1178</v>
      </c>
      <c r="B3157" s="8">
        <v>80</v>
      </c>
      <c r="C3157" s="8">
        <v>80</v>
      </c>
      <c r="D3157" s="8">
        <v>100</v>
      </c>
    </row>
    <row r="3158" spans="1:4">
      <c r="A3158" s="7" t="s">
        <v>1179</v>
      </c>
      <c r="B3158" s="8">
        <v>80</v>
      </c>
      <c r="C3158" s="8">
        <v>80</v>
      </c>
      <c r="D3158" s="8">
        <v>100</v>
      </c>
    </row>
    <row r="3159" spans="1:4">
      <c r="A3159" s="7" t="s">
        <v>1180</v>
      </c>
      <c r="B3159" s="8">
        <v>80</v>
      </c>
      <c r="C3159" s="8">
        <v>80</v>
      </c>
      <c r="D3159" s="8">
        <v>100</v>
      </c>
    </row>
    <row r="3160" spans="1:4">
      <c r="A3160" s="7" t="s">
        <v>1181</v>
      </c>
      <c r="B3160" s="8">
        <v>80</v>
      </c>
      <c r="C3160" s="8">
        <v>80</v>
      </c>
      <c r="D3160" s="8">
        <v>100</v>
      </c>
    </row>
    <row r="3161" spans="1:4">
      <c r="A3161" s="7" t="s">
        <v>1182</v>
      </c>
      <c r="B3161" s="8">
        <v>80</v>
      </c>
      <c r="C3161" s="8">
        <v>80</v>
      </c>
      <c r="D3161" s="8">
        <v>100</v>
      </c>
    </row>
    <row r="3162" spans="1:4">
      <c r="A3162" s="7" t="s">
        <v>1183</v>
      </c>
      <c r="B3162" s="8">
        <v>116.58</v>
      </c>
      <c r="C3162" s="8">
        <v>144.25</v>
      </c>
      <c r="D3162" s="8">
        <v>80.819999999999993</v>
      </c>
    </row>
    <row r="3163" spans="1:4">
      <c r="A3163" s="7" t="s">
        <v>1184</v>
      </c>
      <c r="B3163" s="8">
        <v>186.19</v>
      </c>
      <c r="C3163" s="8">
        <v>223.01</v>
      </c>
      <c r="D3163" s="8">
        <v>83.49</v>
      </c>
    </row>
    <row r="3164" spans="1:4">
      <c r="A3164" s="7" t="s">
        <v>1185</v>
      </c>
      <c r="B3164" s="8">
        <v>440.25</v>
      </c>
      <c r="C3164" s="8">
        <v>433.22</v>
      </c>
      <c r="D3164" s="8">
        <v>101.62</v>
      </c>
    </row>
    <row r="3165" spans="1:4">
      <c r="A3165" s="7" t="s">
        <v>1186</v>
      </c>
      <c r="B3165" s="8">
        <v>455.1</v>
      </c>
      <c r="C3165" s="8">
        <v>433.22</v>
      </c>
      <c r="D3165" s="8">
        <v>105.05</v>
      </c>
    </row>
    <row r="3166" spans="1:4">
      <c r="A3166" s="7" t="s">
        <v>1187</v>
      </c>
      <c r="B3166" s="8">
        <v>184.53</v>
      </c>
      <c r="C3166" s="8">
        <v>221</v>
      </c>
      <c r="D3166" s="8">
        <v>83.5</v>
      </c>
    </row>
    <row r="3167" spans="1:4">
      <c r="A3167" s="7" t="s">
        <v>1188</v>
      </c>
      <c r="B3167" s="8">
        <v>114.57</v>
      </c>
      <c r="C3167" s="8">
        <v>142.24</v>
      </c>
      <c r="D3167" s="8">
        <v>80.55</v>
      </c>
    </row>
    <row r="3168" spans="1:4">
      <c r="A3168" s="7" t="s">
        <v>1189</v>
      </c>
      <c r="B3168" s="8">
        <v>80</v>
      </c>
      <c r="C3168" s="8">
        <v>80</v>
      </c>
      <c r="D3168" s="8">
        <v>100</v>
      </c>
    </row>
    <row r="3169" spans="1:4">
      <c r="A3169" s="7" t="s">
        <v>1190</v>
      </c>
      <c r="B3169" s="8">
        <v>80</v>
      </c>
      <c r="C3169" s="8">
        <v>80</v>
      </c>
      <c r="D3169" s="8">
        <v>100</v>
      </c>
    </row>
    <row r="3170" spans="1:4">
      <c r="A3170" s="7" t="s">
        <v>1191</v>
      </c>
      <c r="B3170" s="8">
        <v>80</v>
      </c>
      <c r="C3170" s="8">
        <v>80</v>
      </c>
      <c r="D3170" s="8">
        <v>100</v>
      </c>
    </row>
    <row r="3171" spans="1:4">
      <c r="A3171" s="7" t="s">
        <v>1192</v>
      </c>
      <c r="B3171" s="8">
        <v>80</v>
      </c>
      <c r="C3171" s="8">
        <v>80</v>
      </c>
      <c r="D3171" s="8">
        <v>100</v>
      </c>
    </row>
    <row r="3172" spans="1:4">
      <c r="A3172" s="7" t="s">
        <v>1193</v>
      </c>
      <c r="B3172" s="8">
        <v>249.5</v>
      </c>
      <c r="C3172" s="8">
        <v>240</v>
      </c>
      <c r="D3172" s="8">
        <v>103.96</v>
      </c>
    </row>
    <row r="3173" spans="1:4">
      <c r="A3173" s="7" t="s">
        <v>1194</v>
      </c>
      <c r="B3173" s="8">
        <v>239.02</v>
      </c>
      <c r="C3173" s="8">
        <v>297.60000000000002</v>
      </c>
      <c r="D3173" s="8">
        <v>80.319999999999993</v>
      </c>
    </row>
    <row r="3174" spans="1:4">
      <c r="A3174" s="7" t="s">
        <v>1195</v>
      </c>
      <c r="B3174" s="8">
        <v>148.65</v>
      </c>
      <c r="C3174" s="8">
        <v>167.95</v>
      </c>
      <c r="D3174" s="8">
        <v>88.51</v>
      </c>
    </row>
    <row r="3175" spans="1:4">
      <c r="A3175" s="7" t="s">
        <v>1196</v>
      </c>
      <c r="B3175" s="8">
        <v>188.93</v>
      </c>
      <c r="C3175" s="8">
        <v>232.75</v>
      </c>
      <c r="D3175" s="8">
        <v>81.17</v>
      </c>
    </row>
    <row r="3176" spans="1:4">
      <c r="A3176" s="7" t="s">
        <v>1197</v>
      </c>
      <c r="B3176" s="8">
        <v>188.93</v>
      </c>
      <c r="C3176" s="8">
        <v>232.75</v>
      </c>
      <c r="D3176" s="8">
        <v>81.17</v>
      </c>
    </row>
    <row r="3177" spans="1:4">
      <c r="A3177" s="7" t="s">
        <v>1198</v>
      </c>
      <c r="B3177" s="8">
        <v>148.65</v>
      </c>
      <c r="C3177" s="8">
        <v>167.95</v>
      </c>
      <c r="D3177" s="8">
        <v>88.51</v>
      </c>
    </row>
    <row r="3178" spans="1:4">
      <c r="A3178" s="7" t="s">
        <v>1199</v>
      </c>
      <c r="B3178" s="8">
        <v>144.28</v>
      </c>
      <c r="C3178" s="8">
        <v>167.95</v>
      </c>
      <c r="D3178" s="8">
        <v>85.91</v>
      </c>
    </row>
    <row r="3179" spans="1:4">
      <c r="A3179" s="7" t="s">
        <v>1200</v>
      </c>
      <c r="B3179" s="8">
        <v>188.93</v>
      </c>
      <c r="C3179" s="8">
        <v>232.75</v>
      </c>
      <c r="D3179" s="8">
        <v>81.17</v>
      </c>
    </row>
    <row r="3180" spans="1:4">
      <c r="A3180" s="7" t="s">
        <v>1201</v>
      </c>
      <c r="B3180" s="8">
        <v>188.93</v>
      </c>
      <c r="C3180" s="8">
        <v>232.75</v>
      </c>
      <c r="D3180" s="8">
        <v>81.17</v>
      </c>
    </row>
    <row r="3181" spans="1:4">
      <c r="A3181" s="7" t="s">
        <v>1202</v>
      </c>
      <c r="B3181" s="8">
        <v>143.96</v>
      </c>
      <c r="C3181" s="8">
        <v>167.95</v>
      </c>
      <c r="D3181" s="8">
        <v>85.72</v>
      </c>
    </row>
    <row r="3182" spans="1:4">
      <c r="A3182" s="7" t="s">
        <v>1203</v>
      </c>
      <c r="B3182" s="8">
        <v>144.28</v>
      </c>
      <c r="C3182" s="8">
        <v>167.95</v>
      </c>
      <c r="D3182" s="8">
        <v>85.91</v>
      </c>
    </row>
    <row r="3183" spans="1:4">
      <c r="A3183" s="7" t="s">
        <v>1204</v>
      </c>
      <c r="B3183" s="8">
        <v>188.93</v>
      </c>
      <c r="C3183" s="8">
        <v>232.75</v>
      </c>
      <c r="D3183" s="8">
        <v>81.17</v>
      </c>
    </row>
    <row r="3184" spans="1:4">
      <c r="A3184" s="7" t="s">
        <v>1205</v>
      </c>
      <c r="B3184" s="8">
        <v>188.93</v>
      </c>
      <c r="C3184" s="8">
        <v>232.75</v>
      </c>
      <c r="D3184" s="8">
        <v>81.17</v>
      </c>
    </row>
    <row r="3185" spans="1:4">
      <c r="A3185" s="7" t="s">
        <v>1206</v>
      </c>
      <c r="B3185" s="8">
        <v>143.96</v>
      </c>
      <c r="C3185" s="8">
        <v>167.95</v>
      </c>
      <c r="D3185" s="8">
        <v>85.72</v>
      </c>
    </row>
    <row r="3186" spans="1:4">
      <c r="A3186" s="7" t="s">
        <v>1207</v>
      </c>
      <c r="B3186" s="8">
        <v>144.28</v>
      </c>
      <c r="C3186" s="8">
        <v>167.95</v>
      </c>
      <c r="D3186" s="8">
        <v>85.91</v>
      </c>
    </row>
    <row r="3187" spans="1:4">
      <c r="A3187" s="7" t="s">
        <v>1208</v>
      </c>
      <c r="B3187" s="8">
        <v>188.93</v>
      </c>
      <c r="C3187" s="8">
        <v>232.75</v>
      </c>
      <c r="D3187" s="8">
        <v>81.17</v>
      </c>
    </row>
    <row r="3188" spans="1:4">
      <c r="A3188" s="7" t="s">
        <v>1209</v>
      </c>
      <c r="B3188" s="8">
        <v>188.93</v>
      </c>
      <c r="C3188" s="8">
        <v>232.75</v>
      </c>
      <c r="D3188" s="8">
        <v>81.17</v>
      </c>
    </row>
    <row r="3189" spans="1:4">
      <c r="A3189" s="7" t="s">
        <v>1210</v>
      </c>
      <c r="B3189" s="8">
        <v>143.96</v>
      </c>
      <c r="C3189" s="8">
        <v>167.95</v>
      </c>
      <c r="D3189" s="8">
        <v>85.72</v>
      </c>
    </row>
    <row r="3190" spans="1:4">
      <c r="A3190" s="7" t="s">
        <v>1211</v>
      </c>
      <c r="B3190" s="8">
        <v>320.66000000000003</v>
      </c>
      <c r="C3190" s="8">
        <v>150</v>
      </c>
      <c r="D3190" s="8">
        <v>213.78</v>
      </c>
    </row>
    <row r="3191" spans="1:4">
      <c r="A3191" s="7" t="s">
        <v>1212</v>
      </c>
      <c r="B3191" s="8">
        <v>227.34</v>
      </c>
      <c r="C3191" s="8">
        <v>202.6</v>
      </c>
      <c r="D3191" s="8">
        <v>112.21</v>
      </c>
    </row>
    <row r="3192" spans="1:4">
      <c r="A3192" s="7" t="s">
        <v>1213</v>
      </c>
      <c r="B3192" s="8">
        <v>80</v>
      </c>
      <c r="C3192" s="8">
        <v>80</v>
      </c>
      <c r="D3192" s="8">
        <v>100</v>
      </c>
    </row>
    <row r="3193" spans="1:4">
      <c r="A3193" s="7" t="s">
        <v>1214</v>
      </c>
      <c r="B3193" s="8">
        <v>80</v>
      </c>
      <c r="C3193" s="8">
        <v>80</v>
      </c>
      <c r="D3193" s="8">
        <v>100</v>
      </c>
    </row>
    <row r="3194" spans="1:4">
      <c r="A3194" s="7" t="s">
        <v>1215</v>
      </c>
      <c r="B3194" s="8">
        <v>80</v>
      </c>
      <c r="C3194" s="8">
        <v>80</v>
      </c>
      <c r="D3194" s="8">
        <v>100</v>
      </c>
    </row>
    <row r="3195" spans="1:4">
      <c r="A3195" s="7" t="s">
        <v>1216</v>
      </c>
      <c r="B3195" s="8">
        <v>80</v>
      </c>
      <c r="C3195" s="8">
        <v>80</v>
      </c>
      <c r="D3195" s="8">
        <v>100</v>
      </c>
    </row>
    <row r="3196" spans="1:4">
      <c r="A3196" s="7" t="s">
        <v>1217</v>
      </c>
      <c r="B3196" s="8">
        <v>144.9</v>
      </c>
      <c r="C3196" s="8">
        <v>167.95</v>
      </c>
      <c r="D3196" s="8">
        <v>86.28</v>
      </c>
    </row>
    <row r="3197" spans="1:4">
      <c r="A3197" s="7" t="s">
        <v>1218</v>
      </c>
      <c r="B3197" s="8">
        <v>188.93</v>
      </c>
      <c r="C3197" s="8">
        <v>232.75</v>
      </c>
      <c r="D3197" s="8">
        <v>81.17</v>
      </c>
    </row>
    <row r="3198" spans="1:4">
      <c r="A3198" s="7" t="s">
        <v>1219</v>
      </c>
      <c r="B3198" s="8">
        <v>188.93</v>
      </c>
      <c r="C3198" s="8">
        <v>232.75</v>
      </c>
      <c r="D3198" s="8">
        <v>81.17</v>
      </c>
    </row>
    <row r="3199" spans="1:4">
      <c r="A3199" s="7" t="s">
        <v>1220</v>
      </c>
      <c r="B3199" s="8">
        <v>147.83000000000001</v>
      </c>
      <c r="C3199" s="8">
        <v>167.95</v>
      </c>
      <c r="D3199" s="8">
        <v>88.02</v>
      </c>
    </row>
    <row r="3200" spans="1:4">
      <c r="A3200" s="7" t="s">
        <v>1221</v>
      </c>
      <c r="B3200" s="8">
        <v>249.5</v>
      </c>
      <c r="C3200" s="8">
        <v>240</v>
      </c>
      <c r="D3200" s="8">
        <v>103.96</v>
      </c>
    </row>
    <row r="3201" spans="1:4">
      <c r="A3201" s="7" t="s">
        <v>1222</v>
      </c>
      <c r="B3201" s="8">
        <v>239.02</v>
      </c>
      <c r="C3201" s="8">
        <v>297.60000000000002</v>
      </c>
      <c r="D3201" s="8">
        <v>80.319999999999993</v>
      </c>
    </row>
    <row r="3202" spans="1:4">
      <c r="A3202" s="7" t="s">
        <v>1223</v>
      </c>
      <c r="B3202" s="8">
        <v>320.98</v>
      </c>
      <c r="C3202" s="8">
        <v>364.8</v>
      </c>
      <c r="D3202" s="8">
        <v>87.99</v>
      </c>
    </row>
    <row r="3203" spans="1:4">
      <c r="A3203" s="7" t="s">
        <v>1224</v>
      </c>
      <c r="B3203" s="8">
        <v>121.18</v>
      </c>
      <c r="C3203" s="8">
        <v>134.1</v>
      </c>
      <c r="D3203" s="8">
        <v>90.37</v>
      </c>
    </row>
    <row r="3204" spans="1:4">
      <c r="A3204" s="7" t="s">
        <v>1225</v>
      </c>
      <c r="B3204" s="8">
        <v>121.18</v>
      </c>
      <c r="C3204" s="8">
        <v>134.1</v>
      </c>
      <c r="D3204" s="8">
        <v>90.37</v>
      </c>
    </row>
    <row r="3205" spans="1:4">
      <c r="A3205" s="7" t="s">
        <v>1226</v>
      </c>
      <c r="B3205" s="8">
        <v>320.98</v>
      </c>
      <c r="C3205" s="8">
        <v>364.8</v>
      </c>
      <c r="D3205" s="8">
        <v>87.99</v>
      </c>
    </row>
    <row r="3206" spans="1:4">
      <c r="A3206" s="7" t="s">
        <v>1227</v>
      </c>
      <c r="B3206" s="8">
        <v>574.79999999999995</v>
      </c>
      <c r="C3206" s="8">
        <v>240</v>
      </c>
      <c r="D3206" s="8">
        <v>239.5</v>
      </c>
    </row>
    <row r="3207" spans="1:4">
      <c r="A3207" s="7" t="s">
        <v>1228</v>
      </c>
      <c r="B3207" s="8">
        <v>424.96</v>
      </c>
      <c r="C3207" s="8">
        <v>297.60000000000002</v>
      </c>
      <c r="D3207" s="8">
        <v>142.80000000000001</v>
      </c>
    </row>
    <row r="3208" spans="1:4">
      <c r="A3208" s="7" t="s">
        <v>1229</v>
      </c>
      <c r="B3208" s="8">
        <v>595.58000000000004</v>
      </c>
      <c r="C3208" s="8">
        <v>240</v>
      </c>
      <c r="D3208" s="8">
        <v>248.16</v>
      </c>
    </row>
    <row r="3209" spans="1:4">
      <c r="A3209" s="7" t="s">
        <v>1230</v>
      </c>
      <c r="B3209" s="8">
        <v>424.96</v>
      </c>
      <c r="C3209" s="8">
        <v>297.60000000000002</v>
      </c>
      <c r="D3209" s="8">
        <v>142.80000000000001</v>
      </c>
    </row>
    <row r="3210" spans="1:4">
      <c r="A3210" s="7" t="s">
        <v>1231</v>
      </c>
      <c r="B3210" s="8">
        <v>117.51</v>
      </c>
      <c r="C3210" s="8">
        <v>142.28</v>
      </c>
      <c r="D3210" s="8">
        <v>82.59</v>
      </c>
    </row>
    <row r="3211" spans="1:4">
      <c r="A3211" s="7" t="s">
        <v>1232</v>
      </c>
      <c r="B3211" s="8">
        <v>595.58000000000004</v>
      </c>
      <c r="C3211" s="8">
        <v>240</v>
      </c>
      <c r="D3211" s="8">
        <v>248.16</v>
      </c>
    </row>
    <row r="3212" spans="1:4">
      <c r="A3212" s="7" t="s">
        <v>1233</v>
      </c>
      <c r="B3212" s="8">
        <v>424.96</v>
      </c>
      <c r="C3212" s="8">
        <v>297.60000000000002</v>
      </c>
      <c r="D3212" s="8">
        <v>142.80000000000001</v>
      </c>
    </row>
    <row r="3213" spans="1:4">
      <c r="A3213" s="7" t="s">
        <v>1234</v>
      </c>
      <c r="B3213" s="8">
        <v>595.58000000000004</v>
      </c>
      <c r="C3213" s="8">
        <v>240</v>
      </c>
      <c r="D3213" s="8">
        <v>248.16</v>
      </c>
    </row>
    <row r="3214" spans="1:4">
      <c r="A3214" s="7" t="s">
        <v>1235</v>
      </c>
      <c r="B3214" s="8">
        <v>424.96</v>
      </c>
      <c r="C3214" s="8">
        <v>297.60000000000002</v>
      </c>
      <c r="D3214" s="8">
        <v>142.80000000000001</v>
      </c>
    </row>
    <row r="3215" spans="1:4">
      <c r="A3215" s="7" t="s">
        <v>1236</v>
      </c>
      <c r="B3215" s="8">
        <v>595.58000000000004</v>
      </c>
      <c r="C3215" s="8">
        <v>240</v>
      </c>
      <c r="D3215" s="8">
        <v>248.16</v>
      </c>
    </row>
    <row r="3216" spans="1:4">
      <c r="A3216" s="7" t="s">
        <v>1237</v>
      </c>
      <c r="B3216" s="8">
        <v>424.96</v>
      </c>
      <c r="C3216" s="8">
        <v>297.60000000000002</v>
      </c>
      <c r="D3216" s="8">
        <v>142.80000000000001</v>
      </c>
    </row>
    <row r="3217" spans="1:4">
      <c r="A3217" s="7" t="s">
        <v>1238</v>
      </c>
      <c r="B3217" s="8">
        <v>607.95000000000005</v>
      </c>
      <c r="C3217" s="8">
        <v>240</v>
      </c>
      <c r="D3217" s="8">
        <v>253.31</v>
      </c>
    </row>
    <row r="3218" spans="1:4">
      <c r="A3218" s="7" t="s">
        <v>1239</v>
      </c>
      <c r="B3218" s="8">
        <v>424.96</v>
      </c>
      <c r="C3218" s="8">
        <v>297.60000000000002</v>
      </c>
      <c r="D3218" s="8">
        <v>142.80000000000001</v>
      </c>
    </row>
    <row r="3219" spans="1:4">
      <c r="A3219" s="7" t="s">
        <v>1240</v>
      </c>
      <c r="B3219" s="8">
        <v>373.06</v>
      </c>
      <c r="C3219" s="8">
        <v>323.35000000000002</v>
      </c>
      <c r="D3219" s="8">
        <v>115.37</v>
      </c>
    </row>
    <row r="3220" spans="1:4">
      <c r="A3220" s="7" t="s">
        <v>1241</v>
      </c>
      <c r="B3220" s="8">
        <v>97.61</v>
      </c>
      <c r="C3220" s="8">
        <v>101.29</v>
      </c>
      <c r="D3220" s="8">
        <v>96.36</v>
      </c>
    </row>
    <row r="3221" spans="1:4">
      <c r="A3221" s="7" t="s">
        <v>1242</v>
      </c>
      <c r="B3221" s="8">
        <v>97.61</v>
      </c>
      <c r="C3221" s="8">
        <v>101.29</v>
      </c>
      <c r="D3221" s="8">
        <v>96.36</v>
      </c>
    </row>
    <row r="3222" spans="1:4">
      <c r="A3222" s="7" t="s">
        <v>1243</v>
      </c>
      <c r="B3222" s="8">
        <v>377.2</v>
      </c>
      <c r="C3222" s="8">
        <v>323.35000000000002</v>
      </c>
      <c r="D3222" s="8">
        <v>116.65</v>
      </c>
    </row>
    <row r="3223" spans="1:4">
      <c r="A3223" s="7" t="s">
        <v>1244</v>
      </c>
      <c r="B3223" s="8">
        <v>4250.3</v>
      </c>
      <c r="C3223" s="8">
        <v>4911.58</v>
      </c>
      <c r="D3223" s="8">
        <v>86.54</v>
      </c>
    </row>
    <row r="3224" spans="1:4">
      <c r="A3224" s="7" t="s">
        <v>1245</v>
      </c>
      <c r="B3224" s="8">
        <v>5817.73</v>
      </c>
      <c r="C3224" s="8">
        <v>5973.16</v>
      </c>
      <c r="D3224" s="8">
        <v>97.4</v>
      </c>
    </row>
    <row r="3225" spans="1:4">
      <c r="A3225" s="7" t="s">
        <v>1246</v>
      </c>
      <c r="B3225" s="8">
        <v>6506.44</v>
      </c>
      <c r="C3225" s="8">
        <v>7434.96</v>
      </c>
      <c r="D3225" s="8">
        <v>87.51</v>
      </c>
    </row>
    <row r="3226" spans="1:4">
      <c r="A3226" s="7" t="s">
        <v>1247</v>
      </c>
      <c r="B3226" s="8">
        <v>13101.55</v>
      </c>
      <c r="C3226" s="8">
        <v>11137.37</v>
      </c>
      <c r="D3226" s="8">
        <v>117.64</v>
      </c>
    </row>
    <row r="3227" spans="1:4">
      <c r="A3227" s="7" t="s">
        <v>1248</v>
      </c>
      <c r="B3227" s="8">
        <v>19729.59</v>
      </c>
      <c r="C3227" s="8">
        <v>11501.53</v>
      </c>
      <c r="D3227" s="8">
        <v>171.54</v>
      </c>
    </row>
    <row r="3228" spans="1:4">
      <c r="A3228" s="7" t="s">
        <v>1249</v>
      </c>
      <c r="B3228" s="8">
        <v>6870.36</v>
      </c>
      <c r="C3228" s="8">
        <v>7102.86</v>
      </c>
      <c r="D3228" s="8">
        <v>96.73</v>
      </c>
    </row>
    <row r="3229" spans="1:4">
      <c r="A3229" s="7" t="s">
        <v>630</v>
      </c>
      <c r="B3229" s="8">
        <v>14999.64</v>
      </c>
      <c r="C3229" s="8">
        <v>6323.29</v>
      </c>
      <c r="D3229" s="8">
        <v>237.21</v>
      </c>
    </row>
    <row r="3230" spans="1:4">
      <c r="A3230" s="7" t="s">
        <v>590</v>
      </c>
      <c r="B3230" s="8">
        <v>8214.2999999999993</v>
      </c>
      <c r="C3230" s="8">
        <v>7522.7</v>
      </c>
      <c r="D3230" s="8">
        <v>109.19</v>
      </c>
    </row>
    <row r="3231" spans="1:4">
      <c r="A3231" s="7" t="s">
        <v>1250</v>
      </c>
      <c r="B3231" s="8">
        <v>10378.870000000001</v>
      </c>
      <c r="C3231" s="8">
        <v>11082.3</v>
      </c>
      <c r="D3231" s="8">
        <v>93.65</v>
      </c>
    </row>
    <row r="3232" spans="1:4">
      <c r="A3232" s="7" t="s">
        <v>1251</v>
      </c>
      <c r="B3232" s="8">
        <v>18700.240000000002</v>
      </c>
      <c r="C3232" s="8">
        <v>15355.28</v>
      </c>
      <c r="D3232" s="8">
        <v>121.78</v>
      </c>
    </row>
    <row r="3233" spans="1:4">
      <c r="A3233" s="7" t="s">
        <v>1252</v>
      </c>
      <c r="B3233" s="8">
        <v>12007.52</v>
      </c>
      <c r="C3233" s="8">
        <v>12456.38</v>
      </c>
      <c r="D3233" s="8">
        <v>96.4</v>
      </c>
    </row>
    <row r="3234" spans="1:4">
      <c r="A3234" s="7" t="s">
        <v>611</v>
      </c>
      <c r="B3234" s="8">
        <v>15999.52</v>
      </c>
      <c r="C3234" s="8">
        <v>13135.06</v>
      </c>
      <c r="D3234" s="8">
        <v>121.81</v>
      </c>
    </row>
    <row r="3235" spans="1:4">
      <c r="A3235" s="7" t="s">
        <v>632</v>
      </c>
      <c r="B3235" s="8">
        <v>15000.06</v>
      </c>
      <c r="C3235" s="8">
        <v>9014.73</v>
      </c>
      <c r="D3235" s="8">
        <v>166.4</v>
      </c>
    </row>
    <row r="3236" spans="1:4">
      <c r="A3236" s="7" t="s">
        <v>592</v>
      </c>
      <c r="B3236" s="8">
        <v>19499.419999999998</v>
      </c>
      <c r="C3236" s="8">
        <v>8753.39</v>
      </c>
      <c r="D3236" s="8">
        <v>222.76</v>
      </c>
    </row>
    <row r="3237" spans="1:4">
      <c r="A3237" s="7" t="s">
        <v>1253</v>
      </c>
      <c r="B3237" s="8">
        <v>2365.5100000000002</v>
      </c>
      <c r="C3237" s="8">
        <v>1377.05</v>
      </c>
      <c r="D3237" s="8">
        <v>171.78</v>
      </c>
    </row>
    <row r="3238" spans="1:4">
      <c r="A3238" s="7" t="s">
        <v>1254</v>
      </c>
      <c r="B3238" s="8">
        <v>197.77</v>
      </c>
      <c r="C3238" s="8">
        <v>493.27</v>
      </c>
      <c r="D3238" s="8">
        <v>40.090000000000003</v>
      </c>
    </row>
    <row r="3239" spans="1:4">
      <c r="A3239" s="7" t="s">
        <v>1255</v>
      </c>
      <c r="B3239" s="8">
        <v>693.81</v>
      </c>
      <c r="C3239" s="8">
        <v>614.64</v>
      </c>
      <c r="D3239" s="8">
        <v>112.88</v>
      </c>
    </row>
    <row r="3240" spans="1:4">
      <c r="A3240" s="7" t="s">
        <v>1256</v>
      </c>
      <c r="B3240" s="8">
        <v>134.66999999999999</v>
      </c>
      <c r="C3240" s="8">
        <v>134.69</v>
      </c>
      <c r="D3240" s="8">
        <v>99.98</v>
      </c>
    </row>
    <row r="3241" spans="1:4">
      <c r="A3241" s="7" t="s">
        <v>1257</v>
      </c>
      <c r="B3241" s="8">
        <v>693.81</v>
      </c>
      <c r="C3241" s="8">
        <v>614.64</v>
      </c>
      <c r="D3241" s="8">
        <v>112.88</v>
      </c>
    </row>
    <row r="3242" spans="1:4">
      <c r="A3242" s="7" t="s">
        <v>1258</v>
      </c>
      <c r="B3242" s="8">
        <v>134.61000000000001</v>
      </c>
      <c r="C3242" s="8">
        <v>134.61000000000001</v>
      </c>
      <c r="D3242" s="8">
        <v>100</v>
      </c>
    </row>
    <row r="3243" spans="1:4">
      <c r="A3243" s="7" t="s">
        <v>1259</v>
      </c>
      <c r="B3243" s="8">
        <v>999.96</v>
      </c>
      <c r="C3243" s="8">
        <v>914.51</v>
      </c>
      <c r="D3243" s="8">
        <v>109.34</v>
      </c>
    </row>
    <row r="3244" spans="1:4">
      <c r="A3244" s="7" t="s">
        <v>1260</v>
      </c>
      <c r="B3244" s="8">
        <v>828.28</v>
      </c>
      <c r="C3244" s="8">
        <v>823.93</v>
      </c>
      <c r="D3244" s="8">
        <v>100.53</v>
      </c>
    </row>
    <row r="3245" spans="1:4">
      <c r="A3245" s="7" t="s">
        <v>1261</v>
      </c>
      <c r="B3245" s="8">
        <v>431.65</v>
      </c>
      <c r="C3245" s="8">
        <v>342.99</v>
      </c>
      <c r="D3245" s="8">
        <v>125.85</v>
      </c>
    </row>
    <row r="3246" spans="1:4">
      <c r="A3246" s="7" t="s">
        <v>1262</v>
      </c>
      <c r="B3246" s="8">
        <v>701.52</v>
      </c>
      <c r="C3246" s="8">
        <v>340.98</v>
      </c>
      <c r="D3246" s="8">
        <v>205.74</v>
      </c>
    </row>
    <row r="3247" spans="1:4">
      <c r="A3247" s="7" t="s">
        <v>1263</v>
      </c>
      <c r="B3247" s="8">
        <v>225.4</v>
      </c>
      <c r="C3247" s="8">
        <v>225.4</v>
      </c>
      <c r="D3247" s="8">
        <v>100</v>
      </c>
    </row>
    <row r="3248" spans="1:4">
      <c r="A3248" s="7" t="s">
        <v>1264</v>
      </c>
      <c r="B3248" s="8">
        <v>70</v>
      </c>
      <c r="C3248" s="8">
        <v>70</v>
      </c>
      <c r="D3248" s="8">
        <v>100</v>
      </c>
    </row>
    <row r="3249" spans="1:4">
      <c r="A3249" s="7" t="s">
        <v>1265</v>
      </c>
      <c r="B3249" s="8">
        <v>70</v>
      </c>
      <c r="C3249" s="8">
        <v>70</v>
      </c>
      <c r="D3249" s="8">
        <v>100</v>
      </c>
    </row>
    <row r="3250" spans="1:4">
      <c r="A3250" s="7" t="s">
        <v>1266</v>
      </c>
      <c r="B3250" s="8">
        <v>471.73</v>
      </c>
      <c r="C3250" s="8">
        <v>373.08</v>
      </c>
      <c r="D3250" s="8">
        <v>126.44</v>
      </c>
    </row>
    <row r="3251" spans="1:4">
      <c r="A3251" s="7" t="s">
        <v>1267</v>
      </c>
      <c r="B3251" s="8">
        <v>199.46</v>
      </c>
      <c r="C3251" s="8">
        <v>220.4</v>
      </c>
      <c r="D3251" s="8">
        <v>90.5</v>
      </c>
    </row>
    <row r="3252" spans="1:4">
      <c r="A3252" s="7" t="s">
        <v>1268</v>
      </c>
      <c r="B3252" s="8">
        <v>82.15</v>
      </c>
      <c r="C3252" s="8">
        <v>85.2</v>
      </c>
      <c r="D3252" s="8">
        <v>96.42</v>
      </c>
    </row>
    <row r="3253" spans="1:4">
      <c r="A3253" s="7" t="s">
        <v>1269</v>
      </c>
      <c r="B3253" s="8">
        <v>913.77</v>
      </c>
      <c r="C3253" s="8">
        <v>860.08</v>
      </c>
      <c r="D3253" s="8">
        <v>106.24</v>
      </c>
    </row>
    <row r="3254" spans="1:4">
      <c r="A3254" s="7" t="s">
        <v>1270</v>
      </c>
      <c r="B3254" s="8">
        <v>524.92999999999995</v>
      </c>
      <c r="C3254" s="8">
        <v>555</v>
      </c>
      <c r="D3254" s="8">
        <v>94.58</v>
      </c>
    </row>
    <row r="3255" spans="1:4">
      <c r="A3255" s="7" t="s">
        <v>1271</v>
      </c>
      <c r="B3255" s="8">
        <v>179.28</v>
      </c>
      <c r="C3255" s="8">
        <v>220.4</v>
      </c>
      <c r="D3255" s="8">
        <v>81.34</v>
      </c>
    </row>
    <row r="3256" spans="1:4">
      <c r="A3256" s="7" t="s">
        <v>1272</v>
      </c>
      <c r="B3256" s="8">
        <v>82.15</v>
      </c>
      <c r="C3256" s="8">
        <v>85.2</v>
      </c>
      <c r="D3256" s="8">
        <v>96.42</v>
      </c>
    </row>
    <row r="3257" spans="1:4">
      <c r="A3257" s="7" t="s">
        <v>1273</v>
      </c>
      <c r="B3257" s="8">
        <v>55.2</v>
      </c>
      <c r="C3257" s="8">
        <v>55.2</v>
      </c>
      <c r="D3257" s="8">
        <v>100</v>
      </c>
    </row>
    <row r="3258" spans="1:4">
      <c r="A3258" s="7" t="s">
        <v>1274</v>
      </c>
      <c r="B3258" s="8">
        <v>135.63999999999999</v>
      </c>
      <c r="C3258" s="8">
        <v>150.4</v>
      </c>
      <c r="D3258" s="8">
        <v>90.18</v>
      </c>
    </row>
    <row r="3259" spans="1:4">
      <c r="A3259" s="7" t="s">
        <v>1275</v>
      </c>
      <c r="B3259" s="8">
        <v>80</v>
      </c>
      <c r="C3259" s="8">
        <v>80</v>
      </c>
      <c r="D3259" s="8">
        <v>100</v>
      </c>
    </row>
    <row r="3260" spans="1:4">
      <c r="A3260" s="7" t="s">
        <v>1276</v>
      </c>
      <c r="B3260" s="8">
        <v>135.63999999999999</v>
      </c>
      <c r="C3260" s="8">
        <v>150.4</v>
      </c>
      <c r="D3260" s="8">
        <v>90.18</v>
      </c>
    </row>
    <row r="3261" spans="1:4">
      <c r="A3261" s="7" t="s">
        <v>1277</v>
      </c>
      <c r="B3261" s="8">
        <v>80</v>
      </c>
      <c r="C3261" s="8">
        <v>80</v>
      </c>
      <c r="D3261" s="8">
        <v>100</v>
      </c>
    </row>
    <row r="3262" spans="1:4">
      <c r="A3262" s="7" t="s">
        <v>1278</v>
      </c>
      <c r="B3262" s="8">
        <v>108.48</v>
      </c>
      <c r="C3262" s="8">
        <v>120.2</v>
      </c>
      <c r="D3262" s="8">
        <v>90.25</v>
      </c>
    </row>
    <row r="3263" spans="1:4">
      <c r="A3263" s="7" t="s">
        <v>1279</v>
      </c>
      <c r="B3263" s="8">
        <v>92.87</v>
      </c>
      <c r="C3263" s="8">
        <v>95.92</v>
      </c>
      <c r="D3263" s="8">
        <v>96.82</v>
      </c>
    </row>
    <row r="3264" spans="1:4">
      <c r="A3264" s="7" t="s">
        <v>1280</v>
      </c>
      <c r="B3264" s="8">
        <v>65.2</v>
      </c>
      <c r="C3264" s="8">
        <v>65.2</v>
      </c>
      <c r="D3264" s="8">
        <v>100</v>
      </c>
    </row>
    <row r="3265" spans="1:4">
      <c r="A3265" s="7" t="s">
        <v>1281</v>
      </c>
      <c r="B3265" s="8">
        <v>70.2</v>
      </c>
      <c r="C3265" s="8">
        <v>70.2</v>
      </c>
      <c r="D3265" s="8">
        <v>100</v>
      </c>
    </row>
    <row r="3266" spans="1:4">
      <c r="A3266" s="7" t="s">
        <v>1282</v>
      </c>
      <c r="B3266" s="8">
        <v>471.62</v>
      </c>
      <c r="C3266" s="8">
        <v>373</v>
      </c>
      <c r="D3266" s="8">
        <v>126.44</v>
      </c>
    </row>
    <row r="3267" spans="1:4">
      <c r="A3267" s="7" t="s">
        <v>1283</v>
      </c>
      <c r="B3267" s="8">
        <v>70.2</v>
      </c>
      <c r="C3267" s="8">
        <v>70.2</v>
      </c>
      <c r="D3267" s="8">
        <v>100</v>
      </c>
    </row>
    <row r="3268" spans="1:4">
      <c r="A3268" s="7" t="s">
        <v>1284</v>
      </c>
      <c r="B3268" s="8">
        <v>61.18</v>
      </c>
      <c r="C3268" s="8">
        <v>61.18</v>
      </c>
      <c r="D3268" s="8">
        <v>100</v>
      </c>
    </row>
    <row r="3269" spans="1:4">
      <c r="A3269" s="7" t="s">
        <v>1285</v>
      </c>
      <c r="B3269" s="8">
        <v>271.39999999999998</v>
      </c>
      <c r="C3269" s="8">
        <v>243.85</v>
      </c>
      <c r="D3269" s="8">
        <v>111.3</v>
      </c>
    </row>
    <row r="3270" spans="1:4">
      <c r="A3270" s="7" t="s">
        <v>1286</v>
      </c>
      <c r="B3270" s="8">
        <v>271.39999999999998</v>
      </c>
      <c r="C3270" s="8">
        <v>243.85</v>
      </c>
      <c r="D3270" s="8">
        <v>111.3</v>
      </c>
    </row>
    <row r="3271" spans="1:4">
      <c r="A3271" s="7" t="s">
        <v>1287</v>
      </c>
      <c r="B3271" s="8">
        <v>70.2</v>
      </c>
      <c r="C3271" s="8">
        <v>70.2</v>
      </c>
      <c r="D3271" s="8">
        <v>100</v>
      </c>
    </row>
    <row r="3272" spans="1:4">
      <c r="A3272" s="7" t="s">
        <v>1288</v>
      </c>
      <c r="B3272" s="8">
        <v>70.2</v>
      </c>
      <c r="C3272" s="8">
        <v>70.2</v>
      </c>
      <c r="D3272" s="8">
        <v>100</v>
      </c>
    </row>
    <row r="3273" spans="1:4">
      <c r="A3273" s="7" t="s">
        <v>1289</v>
      </c>
      <c r="B3273" s="8">
        <v>70.2</v>
      </c>
      <c r="C3273" s="8">
        <v>70.2</v>
      </c>
      <c r="D3273" s="8">
        <v>100</v>
      </c>
    </row>
    <row r="3274" spans="1:4">
      <c r="A3274" s="7" t="s">
        <v>1290</v>
      </c>
      <c r="B3274" s="8">
        <v>421.66</v>
      </c>
      <c r="C3274" s="8">
        <v>379.17</v>
      </c>
      <c r="D3274" s="8">
        <v>111.21</v>
      </c>
    </row>
    <row r="3275" spans="1:4">
      <c r="A3275" s="7" t="s">
        <v>1291</v>
      </c>
      <c r="B3275" s="8">
        <v>80</v>
      </c>
      <c r="C3275" s="8">
        <v>80</v>
      </c>
      <c r="D3275" s="8">
        <v>100</v>
      </c>
    </row>
    <row r="3276" spans="1:4">
      <c r="A3276" s="7" t="s">
        <v>1292</v>
      </c>
      <c r="B3276" s="8">
        <v>80</v>
      </c>
      <c r="C3276" s="8">
        <v>80</v>
      </c>
      <c r="D3276" s="8">
        <v>100</v>
      </c>
    </row>
    <row r="3277" spans="1:4">
      <c r="A3277" s="7" t="s">
        <v>1293</v>
      </c>
      <c r="B3277" s="8">
        <v>70.2</v>
      </c>
      <c r="C3277" s="8">
        <v>70.2</v>
      </c>
      <c r="D3277" s="8">
        <v>100</v>
      </c>
    </row>
    <row r="3278" spans="1:4">
      <c r="A3278" s="7" t="s">
        <v>1294</v>
      </c>
      <c r="B3278" s="8">
        <v>55.51</v>
      </c>
      <c r="C3278" s="8">
        <v>55.51</v>
      </c>
      <c r="D3278" s="8">
        <v>100</v>
      </c>
    </row>
    <row r="3279" spans="1:4">
      <c r="A3279" s="7" t="s">
        <v>1295</v>
      </c>
      <c r="B3279" s="8">
        <v>55.2</v>
      </c>
      <c r="C3279" s="8">
        <v>55.2</v>
      </c>
      <c r="D3279" s="8">
        <v>100</v>
      </c>
    </row>
    <row r="3280" spans="1:4">
      <c r="A3280" s="7" t="s">
        <v>1296</v>
      </c>
      <c r="B3280" s="8">
        <v>70.2</v>
      </c>
      <c r="C3280" s="8">
        <v>70.2</v>
      </c>
      <c r="D3280" s="8">
        <v>100</v>
      </c>
    </row>
    <row r="3281" spans="1:4">
      <c r="A3281" s="7" t="s">
        <v>1297</v>
      </c>
      <c r="B3281" s="8">
        <v>61.74</v>
      </c>
      <c r="C3281" s="8">
        <v>61.74</v>
      </c>
      <c r="D3281" s="8">
        <v>100</v>
      </c>
    </row>
    <row r="3282" spans="1:4">
      <c r="A3282" s="7" t="s">
        <v>1298</v>
      </c>
      <c r="B3282" s="8">
        <v>55.51</v>
      </c>
      <c r="C3282" s="8">
        <v>55.51</v>
      </c>
      <c r="D3282" s="8">
        <v>100</v>
      </c>
    </row>
    <row r="3283" spans="1:4">
      <c r="A3283" s="7" t="s">
        <v>1299</v>
      </c>
      <c r="B3283" s="8">
        <v>65.2</v>
      </c>
      <c r="C3283" s="8">
        <v>65.2</v>
      </c>
      <c r="D3283" s="8">
        <v>100</v>
      </c>
    </row>
    <row r="3284" spans="1:4">
      <c r="A3284" s="7" t="s">
        <v>1300</v>
      </c>
      <c r="B3284" s="8">
        <v>60.2</v>
      </c>
      <c r="C3284" s="8">
        <v>60.2</v>
      </c>
      <c r="D3284" s="8">
        <v>100</v>
      </c>
    </row>
    <row r="3285" spans="1:4">
      <c r="A3285" s="7" t="s">
        <v>1301</v>
      </c>
      <c r="B3285" s="8">
        <v>55.51</v>
      </c>
      <c r="C3285" s="8">
        <v>55.51</v>
      </c>
      <c r="D3285" s="8">
        <v>100</v>
      </c>
    </row>
    <row r="3286" spans="1:4">
      <c r="A3286" s="7" t="s">
        <v>1302</v>
      </c>
      <c r="B3286" s="8">
        <v>75.2</v>
      </c>
      <c r="C3286" s="8">
        <v>75.2</v>
      </c>
      <c r="D3286" s="8">
        <v>100</v>
      </c>
    </row>
    <row r="3287" spans="1:4">
      <c r="A3287" s="7" t="s">
        <v>1303</v>
      </c>
      <c r="B3287" s="8">
        <v>231.67</v>
      </c>
      <c r="C3287" s="8">
        <v>206.95</v>
      </c>
      <c r="D3287" s="8">
        <v>111.94</v>
      </c>
    </row>
    <row r="3288" spans="1:4">
      <c r="A3288" s="7" t="s">
        <v>1304</v>
      </c>
      <c r="B3288" s="8">
        <v>74.7</v>
      </c>
      <c r="C3288" s="8">
        <v>74.7</v>
      </c>
      <c r="D3288" s="8">
        <v>100</v>
      </c>
    </row>
    <row r="3289" spans="1:4">
      <c r="A3289" s="7" t="s">
        <v>1305</v>
      </c>
      <c r="B3289" s="8">
        <v>8817.7199999999993</v>
      </c>
      <c r="C3289" s="8">
        <v>3756.8</v>
      </c>
      <c r="D3289" s="8">
        <v>234.71</v>
      </c>
    </row>
    <row r="3290" spans="1:4">
      <c r="A3290" s="7" t="s">
        <v>1306</v>
      </c>
      <c r="B3290" s="8">
        <v>139.91</v>
      </c>
      <c r="C3290" s="8">
        <v>164.4</v>
      </c>
      <c r="D3290" s="8">
        <v>85.11</v>
      </c>
    </row>
    <row r="3291" spans="1:4">
      <c r="A3291" s="7" t="s">
        <v>1307</v>
      </c>
      <c r="B3291" s="8">
        <v>72.790000000000006</v>
      </c>
      <c r="C3291" s="8">
        <v>80.3</v>
      </c>
      <c r="D3291" s="8">
        <v>90.65</v>
      </c>
    </row>
    <row r="3292" spans="1:4">
      <c r="A3292" s="7" t="s">
        <v>1308</v>
      </c>
      <c r="B3292" s="8">
        <v>198.77</v>
      </c>
      <c r="C3292" s="8">
        <v>90.66</v>
      </c>
      <c r="D3292" s="8">
        <v>219.24</v>
      </c>
    </row>
    <row r="3293" spans="1:4">
      <c r="A3293" s="7" t="s">
        <v>1309</v>
      </c>
      <c r="B3293" s="8">
        <v>314.31</v>
      </c>
      <c r="C3293" s="8">
        <v>216.43</v>
      </c>
      <c r="D3293" s="8">
        <v>145.22999999999999</v>
      </c>
    </row>
    <row r="3294" spans="1:4">
      <c r="A3294" s="7" t="s">
        <v>1310</v>
      </c>
      <c r="B3294" s="8">
        <v>60</v>
      </c>
      <c r="C3294" s="8">
        <v>357.07</v>
      </c>
      <c r="D3294" s="8">
        <v>16.8</v>
      </c>
    </row>
    <row r="3295" spans="1:4">
      <c r="A3295" s="7" t="s">
        <v>1311</v>
      </c>
      <c r="B3295" s="8">
        <v>1972.79</v>
      </c>
      <c r="C3295" s="8">
        <v>2179.7600000000002</v>
      </c>
      <c r="D3295" s="8">
        <v>90.5</v>
      </c>
    </row>
    <row r="3296" spans="1:4">
      <c r="A3296" s="7" t="s">
        <v>1312</v>
      </c>
      <c r="B3296" s="8">
        <v>802.48</v>
      </c>
      <c r="C3296" s="8">
        <v>845.26</v>
      </c>
      <c r="D3296" s="8">
        <v>94.94</v>
      </c>
    </row>
    <row r="3297" spans="1:4">
      <c r="A3297" s="7" t="s">
        <v>1313</v>
      </c>
      <c r="B3297" s="8">
        <v>130.44</v>
      </c>
      <c r="C3297" s="8">
        <v>145.19999999999999</v>
      </c>
      <c r="D3297" s="8">
        <v>89.83</v>
      </c>
    </row>
    <row r="3298" spans="1:4">
      <c r="A3298" s="7" t="s">
        <v>1314</v>
      </c>
      <c r="B3298" s="8">
        <v>130.44</v>
      </c>
      <c r="C3298" s="8">
        <v>145.19999999999999</v>
      </c>
      <c r="D3298" s="8">
        <v>89.83</v>
      </c>
    </row>
    <row r="3299" spans="1:4">
      <c r="A3299" s="7" t="s">
        <v>1315</v>
      </c>
      <c r="B3299" s="8">
        <v>120.3</v>
      </c>
      <c r="C3299" s="8">
        <v>120.72</v>
      </c>
      <c r="D3299" s="8">
        <v>99.65</v>
      </c>
    </row>
    <row r="3300" spans="1:4">
      <c r="A3300" s="7" t="s">
        <v>629</v>
      </c>
      <c r="B3300" s="8">
        <v>15000.31</v>
      </c>
      <c r="C3300" s="8">
        <v>8025.34</v>
      </c>
      <c r="D3300" s="8">
        <v>186.91</v>
      </c>
    </row>
    <row r="3301" spans="1:4">
      <c r="A3301" s="7" t="s">
        <v>584</v>
      </c>
      <c r="B3301" s="8">
        <v>11030.4</v>
      </c>
      <c r="C3301" s="8">
        <v>8777.5</v>
      </c>
      <c r="D3301" s="8">
        <v>125.67</v>
      </c>
    </row>
    <row r="3302" spans="1:4">
      <c r="A3302" s="7" t="s">
        <v>612</v>
      </c>
      <c r="B3302" s="8">
        <v>3499.79</v>
      </c>
      <c r="C3302" s="8">
        <v>2216.58</v>
      </c>
      <c r="D3302" s="8">
        <v>157.88999999999999</v>
      </c>
    </row>
    <row r="3303" spans="1:4">
      <c r="A3303" s="7" t="s">
        <v>614</v>
      </c>
      <c r="B3303" s="8">
        <v>4299.6000000000004</v>
      </c>
      <c r="C3303" s="8">
        <v>2526.1799999999998</v>
      </c>
      <c r="D3303" s="8">
        <v>170.2</v>
      </c>
    </row>
    <row r="3304" spans="1:4">
      <c r="A3304" s="7" t="s">
        <v>1316</v>
      </c>
      <c r="B3304" s="8">
        <v>94.21</v>
      </c>
      <c r="C3304" s="8">
        <v>106.94</v>
      </c>
      <c r="D3304" s="8">
        <v>88.1</v>
      </c>
    </row>
    <row r="3305" spans="1:4">
      <c r="A3305" s="7" t="s">
        <v>1317</v>
      </c>
      <c r="B3305" s="8">
        <v>85.21</v>
      </c>
      <c r="C3305" s="8">
        <v>85.21</v>
      </c>
      <c r="D3305" s="8">
        <v>100</v>
      </c>
    </row>
    <row r="3306" spans="1:4">
      <c r="A3306" s="7" t="s">
        <v>1318</v>
      </c>
      <c r="B3306" s="8">
        <v>94.21</v>
      </c>
      <c r="C3306" s="8">
        <v>106.94</v>
      </c>
      <c r="D3306" s="8">
        <v>88.1</v>
      </c>
    </row>
    <row r="3307" spans="1:4">
      <c r="A3307" s="7" t="s">
        <v>1319</v>
      </c>
      <c r="B3307" s="8">
        <v>73.69</v>
      </c>
      <c r="C3307" s="8">
        <v>73.69</v>
      </c>
      <c r="D3307" s="8">
        <v>100</v>
      </c>
    </row>
    <row r="3308" spans="1:4">
      <c r="A3308" s="7" t="s">
        <v>1320</v>
      </c>
      <c r="B3308" s="8">
        <v>235.26</v>
      </c>
      <c r="C3308" s="8">
        <v>258.69</v>
      </c>
      <c r="D3308" s="8">
        <v>90.94</v>
      </c>
    </row>
    <row r="3309" spans="1:4">
      <c r="A3309" s="7" t="s">
        <v>1321</v>
      </c>
      <c r="B3309" s="8">
        <v>94.21</v>
      </c>
      <c r="C3309" s="8">
        <v>106.94</v>
      </c>
      <c r="D3309" s="8">
        <v>88.1</v>
      </c>
    </row>
    <row r="3310" spans="1:4">
      <c r="A3310" s="7" t="s">
        <v>1322</v>
      </c>
      <c r="B3310" s="8">
        <v>85.21</v>
      </c>
      <c r="C3310" s="8">
        <v>85.21</v>
      </c>
      <c r="D3310" s="8">
        <v>100</v>
      </c>
    </row>
    <row r="3311" spans="1:4">
      <c r="A3311" s="7" t="s">
        <v>1323</v>
      </c>
      <c r="B3311" s="8">
        <v>94.21</v>
      </c>
      <c r="C3311" s="8">
        <v>106.94</v>
      </c>
      <c r="D3311" s="8">
        <v>88.1</v>
      </c>
    </row>
    <row r="3312" spans="1:4">
      <c r="A3312" s="7" t="s">
        <v>1324</v>
      </c>
      <c r="B3312" s="8">
        <v>88.69</v>
      </c>
      <c r="C3312" s="8">
        <v>88.69</v>
      </c>
      <c r="D3312" s="8">
        <v>100</v>
      </c>
    </row>
    <row r="3313" spans="1:4">
      <c r="A3313" s="7" t="s">
        <v>1325</v>
      </c>
      <c r="B3313" s="8">
        <v>273.54000000000002</v>
      </c>
      <c r="C3313" s="8">
        <v>298.89</v>
      </c>
      <c r="D3313" s="8">
        <v>91.52</v>
      </c>
    </row>
    <row r="3314" spans="1:4">
      <c r="A3314" s="7" t="s">
        <v>1326</v>
      </c>
      <c r="B3314" s="8">
        <v>1462.54</v>
      </c>
      <c r="C3314" s="8">
        <v>1462.59</v>
      </c>
      <c r="D3314" s="8">
        <v>100</v>
      </c>
    </row>
    <row r="3315" spans="1:4">
      <c r="A3315" s="7" t="s">
        <v>1327</v>
      </c>
      <c r="B3315" s="8">
        <v>2347.56</v>
      </c>
      <c r="C3315" s="8">
        <v>2543.44</v>
      </c>
      <c r="D3315" s="8">
        <v>92.3</v>
      </c>
    </row>
    <row r="3316" spans="1:4">
      <c r="A3316" s="7" t="s">
        <v>1328</v>
      </c>
      <c r="B3316" s="8">
        <v>261.19</v>
      </c>
      <c r="C3316" s="8">
        <v>286.2</v>
      </c>
      <c r="D3316" s="8">
        <v>91.26</v>
      </c>
    </row>
    <row r="3317" spans="1:4">
      <c r="A3317" s="7" t="s">
        <v>1329</v>
      </c>
      <c r="B3317" s="8">
        <v>100.21</v>
      </c>
      <c r="C3317" s="8">
        <v>109</v>
      </c>
      <c r="D3317" s="8">
        <v>91.94</v>
      </c>
    </row>
    <row r="3318" spans="1:4">
      <c r="A3318" s="7" t="s">
        <v>1330</v>
      </c>
      <c r="B3318" s="8">
        <v>100.21</v>
      </c>
      <c r="C3318" s="8">
        <v>109</v>
      </c>
      <c r="D3318" s="8">
        <v>91.94</v>
      </c>
    </row>
    <row r="3319" spans="1:4">
      <c r="A3319" s="7" t="s">
        <v>1331</v>
      </c>
      <c r="B3319" s="8">
        <v>174.53</v>
      </c>
      <c r="C3319" s="8">
        <v>196.5</v>
      </c>
      <c r="D3319" s="8">
        <v>88.82</v>
      </c>
    </row>
    <row r="3320" spans="1:4">
      <c r="A3320" s="7" t="s">
        <v>1332</v>
      </c>
      <c r="B3320" s="8">
        <v>109.53</v>
      </c>
      <c r="C3320" s="8">
        <v>131.5</v>
      </c>
      <c r="D3320" s="8">
        <v>83.3</v>
      </c>
    </row>
    <row r="3321" spans="1:4">
      <c r="A3321" s="7" t="s">
        <v>1333</v>
      </c>
      <c r="B3321" s="8">
        <v>100.21</v>
      </c>
      <c r="C3321" s="8">
        <v>109</v>
      </c>
      <c r="D3321" s="8">
        <v>91.94</v>
      </c>
    </row>
    <row r="3322" spans="1:4">
      <c r="A3322" s="7" t="s">
        <v>1334</v>
      </c>
      <c r="B3322" s="8">
        <v>100.21</v>
      </c>
      <c r="C3322" s="8">
        <v>109</v>
      </c>
      <c r="D3322" s="8">
        <v>91.94</v>
      </c>
    </row>
    <row r="3323" spans="1:4">
      <c r="A3323" s="7" t="s">
        <v>1335</v>
      </c>
      <c r="B3323" s="8">
        <v>175.01</v>
      </c>
      <c r="C3323" s="8">
        <v>196.98</v>
      </c>
      <c r="D3323" s="8">
        <v>88.85</v>
      </c>
    </row>
    <row r="3324" spans="1:4">
      <c r="A3324" s="7" t="s">
        <v>1336</v>
      </c>
      <c r="B3324" s="8">
        <v>434.25</v>
      </c>
      <c r="C3324" s="8">
        <v>482.68</v>
      </c>
      <c r="D3324" s="8">
        <v>89.97</v>
      </c>
    </row>
    <row r="3325" spans="1:4">
      <c r="A3325" s="7" t="s">
        <v>1337</v>
      </c>
      <c r="B3325" s="8">
        <v>149.52000000000001</v>
      </c>
      <c r="C3325" s="8">
        <v>149.52000000000001</v>
      </c>
      <c r="D3325" s="8">
        <v>100</v>
      </c>
    </row>
    <row r="3326" spans="1:4">
      <c r="A3326" s="7" t="s">
        <v>1338</v>
      </c>
      <c r="B3326" s="8">
        <v>136.57</v>
      </c>
      <c r="C3326" s="8">
        <v>160</v>
      </c>
      <c r="D3326" s="8">
        <v>85.36</v>
      </c>
    </row>
    <row r="3327" spans="1:4">
      <c r="A3327" s="7" t="s">
        <v>1339</v>
      </c>
      <c r="B3327" s="8">
        <v>126.21</v>
      </c>
      <c r="C3327" s="8">
        <v>135</v>
      </c>
      <c r="D3327" s="8">
        <v>93.49</v>
      </c>
    </row>
    <row r="3328" spans="1:4">
      <c r="A3328" s="7" t="s">
        <v>1340</v>
      </c>
      <c r="B3328" s="8">
        <v>126.21</v>
      </c>
      <c r="C3328" s="8">
        <v>135</v>
      </c>
      <c r="D3328" s="8">
        <v>93.49</v>
      </c>
    </row>
    <row r="3329" spans="1:4">
      <c r="A3329" s="7" t="s">
        <v>1341</v>
      </c>
      <c r="B3329" s="8">
        <v>136.57</v>
      </c>
      <c r="C3329" s="8">
        <v>160</v>
      </c>
      <c r="D3329" s="8">
        <v>85.36</v>
      </c>
    </row>
    <row r="3330" spans="1:4">
      <c r="A3330" s="7" t="s">
        <v>1342</v>
      </c>
      <c r="B3330" s="8">
        <v>207.28</v>
      </c>
      <c r="C3330" s="8">
        <v>260</v>
      </c>
      <c r="D3330" s="8">
        <v>79.72</v>
      </c>
    </row>
    <row r="3331" spans="1:4">
      <c r="A3331" s="7" t="s">
        <v>1343</v>
      </c>
      <c r="B3331" s="8">
        <v>251.92</v>
      </c>
      <c r="C3331" s="8">
        <v>290</v>
      </c>
      <c r="D3331" s="8">
        <v>86.87</v>
      </c>
    </row>
    <row r="3332" spans="1:4">
      <c r="A3332" s="7" t="s">
        <v>1344</v>
      </c>
      <c r="B3332" s="8">
        <v>209.35</v>
      </c>
      <c r="C3332" s="8">
        <v>265</v>
      </c>
      <c r="D3332" s="8">
        <v>79</v>
      </c>
    </row>
    <row r="3333" spans="1:4">
      <c r="A3333" s="7" t="s">
        <v>1345</v>
      </c>
      <c r="B3333" s="8">
        <v>185</v>
      </c>
      <c r="C3333" s="8">
        <v>185</v>
      </c>
      <c r="D3333" s="8">
        <v>100</v>
      </c>
    </row>
    <row r="3334" spans="1:4">
      <c r="A3334" s="7" t="s">
        <v>1346</v>
      </c>
      <c r="B3334" s="8">
        <v>220.23</v>
      </c>
      <c r="C3334" s="8">
        <v>226.09</v>
      </c>
      <c r="D3334" s="8">
        <v>97.41</v>
      </c>
    </row>
    <row r="3335" spans="1:4">
      <c r="A3335" s="7" t="s">
        <v>1347</v>
      </c>
      <c r="B3335" s="8">
        <v>164.64</v>
      </c>
      <c r="C3335" s="8">
        <v>177.9</v>
      </c>
      <c r="D3335" s="8">
        <v>92.55</v>
      </c>
    </row>
    <row r="3336" spans="1:4">
      <c r="A3336" s="7" t="s">
        <v>1348</v>
      </c>
      <c r="B3336" s="8">
        <v>229.88</v>
      </c>
      <c r="C3336" s="8">
        <v>250.53</v>
      </c>
      <c r="D3336" s="8">
        <v>91.76</v>
      </c>
    </row>
    <row r="3337" spans="1:4">
      <c r="A3337" s="7" t="s">
        <v>1349</v>
      </c>
      <c r="B3337" s="8">
        <v>145.32</v>
      </c>
      <c r="C3337" s="8">
        <v>157.04</v>
      </c>
      <c r="D3337" s="8">
        <v>92.54</v>
      </c>
    </row>
    <row r="3338" spans="1:4">
      <c r="A3338" s="7" t="s">
        <v>1350</v>
      </c>
      <c r="B3338" s="8">
        <v>109.07</v>
      </c>
      <c r="C3338" s="8">
        <v>132.5</v>
      </c>
      <c r="D3338" s="8">
        <v>82.32</v>
      </c>
    </row>
    <row r="3339" spans="1:4">
      <c r="A3339" s="7" t="s">
        <v>1351</v>
      </c>
      <c r="B3339" s="8">
        <v>98.71</v>
      </c>
      <c r="C3339" s="8">
        <v>107.5</v>
      </c>
      <c r="D3339" s="8">
        <v>91.83</v>
      </c>
    </row>
    <row r="3340" spans="1:4">
      <c r="A3340" s="7" t="s">
        <v>1352</v>
      </c>
      <c r="B3340" s="8">
        <v>98.71</v>
      </c>
      <c r="C3340" s="8">
        <v>107.5</v>
      </c>
      <c r="D3340" s="8">
        <v>91.83</v>
      </c>
    </row>
    <row r="3341" spans="1:4">
      <c r="A3341" s="7" t="s">
        <v>1353</v>
      </c>
      <c r="B3341" s="8">
        <v>109.07</v>
      </c>
      <c r="C3341" s="8">
        <v>132.5</v>
      </c>
      <c r="D3341" s="8">
        <v>82.32</v>
      </c>
    </row>
    <row r="3342" spans="1:4">
      <c r="A3342" s="7" t="s">
        <v>1354</v>
      </c>
      <c r="B3342" s="8">
        <v>109.07</v>
      </c>
      <c r="C3342" s="8">
        <v>132.5</v>
      </c>
      <c r="D3342" s="8">
        <v>82.32</v>
      </c>
    </row>
    <row r="3343" spans="1:4">
      <c r="A3343" s="7" t="s">
        <v>1355</v>
      </c>
      <c r="B3343" s="8">
        <v>98.71</v>
      </c>
      <c r="C3343" s="8">
        <v>107.5</v>
      </c>
      <c r="D3343" s="8">
        <v>91.83</v>
      </c>
    </row>
    <row r="3344" spans="1:4">
      <c r="A3344" s="7" t="s">
        <v>1356</v>
      </c>
      <c r="B3344" s="8">
        <v>98.71</v>
      </c>
      <c r="C3344" s="8">
        <v>107.5</v>
      </c>
      <c r="D3344" s="8">
        <v>91.83</v>
      </c>
    </row>
    <row r="3345" spans="1:4">
      <c r="A3345" s="7" t="s">
        <v>1357</v>
      </c>
      <c r="B3345" s="8">
        <v>109.07</v>
      </c>
      <c r="C3345" s="8">
        <v>132.5</v>
      </c>
      <c r="D3345" s="8">
        <v>82.32</v>
      </c>
    </row>
    <row r="3346" spans="1:4">
      <c r="A3346" s="7" t="s">
        <v>1358</v>
      </c>
      <c r="B3346" s="8">
        <v>780.99</v>
      </c>
      <c r="C3346" s="8">
        <v>836.92</v>
      </c>
      <c r="D3346" s="8">
        <v>93.32</v>
      </c>
    </row>
    <row r="3347" spans="1:4">
      <c r="A3347" s="7" t="s">
        <v>1359</v>
      </c>
      <c r="B3347" s="8">
        <v>85.59</v>
      </c>
      <c r="C3347" s="8">
        <v>85.59</v>
      </c>
      <c r="D3347" s="8">
        <v>100</v>
      </c>
    </row>
    <row r="3348" spans="1:4">
      <c r="A3348" s="7" t="s">
        <v>1360</v>
      </c>
      <c r="B3348" s="8">
        <v>85.59</v>
      </c>
      <c r="C3348" s="8">
        <v>85.59</v>
      </c>
      <c r="D3348" s="8">
        <v>100</v>
      </c>
    </row>
    <row r="3349" spans="1:4">
      <c r="A3349" s="7" t="s">
        <v>1361</v>
      </c>
      <c r="B3349" s="8">
        <v>90.59</v>
      </c>
      <c r="C3349" s="8">
        <v>90.59</v>
      </c>
      <c r="D3349" s="8">
        <v>100</v>
      </c>
    </row>
    <row r="3350" spans="1:4">
      <c r="A3350" s="7" t="s">
        <v>1362</v>
      </c>
      <c r="B3350" s="8">
        <v>88.19</v>
      </c>
      <c r="C3350" s="8">
        <v>88.19</v>
      </c>
      <c r="D3350" s="8">
        <v>100</v>
      </c>
    </row>
    <row r="3351" spans="1:4">
      <c r="A3351" s="7" t="s">
        <v>1363</v>
      </c>
      <c r="B3351" s="8">
        <v>88.19</v>
      </c>
      <c r="C3351" s="8">
        <v>88.19</v>
      </c>
      <c r="D3351" s="8">
        <v>100</v>
      </c>
    </row>
    <row r="3352" spans="1:4">
      <c r="A3352" s="7" t="s">
        <v>1364</v>
      </c>
      <c r="B3352" s="8">
        <v>88.19</v>
      </c>
      <c r="C3352" s="8">
        <v>88.19</v>
      </c>
      <c r="D3352" s="8">
        <v>100</v>
      </c>
    </row>
    <row r="3353" spans="1:4">
      <c r="A3353" s="7" t="s">
        <v>1365</v>
      </c>
      <c r="B3353" s="8">
        <v>90.62</v>
      </c>
      <c r="C3353" s="8">
        <v>90.62</v>
      </c>
      <c r="D3353" s="8">
        <v>100</v>
      </c>
    </row>
    <row r="3354" spans="1:4">
      <c r="A3354" s="7" t="s">
        <v>1366</v>
      </c>
      <c r="B3354" s="8">
        <v>90.62</v>
      </c>
      <c r="C3354" s="8">
        <v>90.62</v>
      </c>
      <c r="D3354" s="8">
        <v>100</v>
      </c>
    </row>
    <row r="3355" spans="1:4">
      <c r="A3355" s="7" t="s">
        <v>1367</v>
      </c>
      <c r="B3355" s="8">
        <v>90.62</v>
      </c>
      <c r="C3355" s="8">
        <v>90.62</v>
      </c>
      <c r="D3355" s="8">
        <v>100</v>
      </c>
    </row>
    <row r="3356" spans="1:4">
      <c r="A3356" s="7" t="s">
        <v>1368</v>
      </c>
      <c r="B3356" s="8">
        <v>90.62</v>
      </c>
      <c r="C3356" s="8">
        <v>90.62</v>
      </c>
      <c r="D3356" s="8">
        <v>100</v>
      </c>
    </row>
    <row r="3357" spans="1:4">
      <c r="A3357" s="7" t="s">
        <v>1369</v>
      </c>
      <c r="B3357" s="8">
        <v>90.62</v>
      </c>
      <c r="C3357" s="8">
        <v>90.62</v>
      </c>
      <c r="D3357" s="8">
        <v>100</v>
      </c>
    </row>
    <row r="3358" spans="1:4">
      <c r="A3358" s="7" t="s">
        <v>1370</v>
      </c>
      <c r="B3358" s="8">
        <v>90.62</v>
      </c>
      <c r="C3358" s="8">
        <v>90.62</v>
      </c>
      <c r="D3358" s="8">
        <v>100</v>
      </c>
    </row>
    <row r="3359" spans="1:4">
      <c r="A3359" s="7" t="s">
        <v>1371</v>
      </c>
      <c r="B3359" s="8">
        <v>147.81</v>
      </c>
      <c r="C3359" s="8">
        <v>158.12</v>
      </c>
      <c r="D3359" s="8">
        <v>93.48</v>
      </c>
    </row>
    <row r="3360" spans="1:4">
      <c r="A3360" s="7" t="s">
        <v>1372</v>
      </c>
      <c r="B3360" s="8">
        <v>110</v>
      </c>
      <c r="C3360" s="8">
        <v>110</v>
      </c>
      <c r="D3360" s="8">
        <v>100</v>
      </c>
    </row>
    <row r="3361" spans="1:4">
      <c r="A3361" s="7" t="s">
        <v>1373</v>
      </c>
      <c r="B3361" s="8">
        <v>144.88</v>
      </c>
      <c r="C3361" s="8">
        <v>158.12</v>
      </c>
      <c r="D3361" s="8">
        <v>91.63</v>
      </c>
    </row>
    <row r="3362" spans="1:4">
      <c r="A3362" s="7" t="s">
        <v>1374</v>
      </c>
      <c r="B3362" s="8">
        <v>119.75</v>
      </c>
      <c r="C3362" s="8">
        <v>122.8</v>
      </c>
      <c r="D3362" s="8">
        <v>97.52</v>
      </c>
    </row>
    <row r="3363" spans="1:4">
      <c r="A3363" s="7" t="s">
        <v>1375</v>
      </c>
      <c r="B3363" s="8">
        <v>95</v>
      </c>
      <c r="C3363" s="8">
        <v>95</v>
      </c>
      <c r="D3363" s="8">
        <v>100</v>
      </c>
    </row>
    <row r="3364" spans="1:4">
      <c r="A3364" s="7" t="s">
        <v>1376</v>
      </c>
      <c r="B3364" s="8">
        <v>95.57</v>
      </c>
      <c r="C3364" s="8">
        <v>117.6</v>
      </c>
      <c r="D3364" s="8">
        <v>81.27</v>
      </c>
    </row>
    <row r="3365" spans="1:4">
      <c r="A3365" s="7" t="s">
        <v>1377</v>
      </c>
      <c r="B3365" s="8">
        <v>147.81</v>
      </c>
      <c r="C3365" s="8">
        <v>158.12</v>
      </c>
      <c r="D3365" s="8">
        <v>93.48</v>
      </c>
    </row>
    <row r="3366" spans="1:4">
      <c r="A3366" s="7" t="s">
        <v>1378</v>
      </c>
      <c r="B3366" s="8">
        <v>110</v>
      </c>
      <c r="C3366" s="8">
        <v>110</v>
      </c>
      <c r="D3366" s="8">
        <v>100</v>
      </c>
    </row>
    <row r="3367" spans="1:4">
      <c r="A3367" s="7" t="s">
        <v>1379</v>
      </c>
      <c r="B3367" s="8">
        <v>144.88</v>
      </c>
      <c r="C3367" s="8">
        <v>158.12</v>
      </c>
      <c r="D3367" s="8">
        <v>91.63</v>
      </c>
    </row>
    <row r="3368" spans="1:4">
      <c r="A3368" s="7" t="s">
        <v>1380</v>
      </c>
      <c r="B3368" s="8">
        <v>119.75</v>
      </c>
      <c r="C3368" s="8">
        <v>122.8</v>
      </c>
      <c r="D3368" s="8">
        <v>97.52</v>
      </c>
    </row>
    <row r="3369" spans="1:4">
      <c r="A3369" s="7" t="s">
        <v>1381</v>
      </c>
      <c r="B3369" s="8">
        <v>95</v>
      </c>
      <c r="C3369" s="8">
        <v>95</v>
      </c>
      <c r="D3369" s="8">
        <v>100</v>
      </c>
    </row>
    <row r="3370" spans="1:4">
      <c r="A3370" s="7" t="s">
        <v>1382</v>
      </c>
      <c r="B3370" s="8">
        <v>95.57</v>
      </c>
      <c r="C3370" s="8">
        <v>117.6</v>
      </c>
      <c r="D3370" s="8">
        <v>81.27</v>
      </c>
    </row>
    <row r="3371" spans="1:4">
      <c r="A3371" s="7" t="s">
        <v>1383</v>
      </c>
      <c r="B3371" s="8">
        <v>107.29</v>
      </c>
      <c r="C3371" s="8">
        <v>117.6</v>
      </c>
      <c r="D3371" s="8">
        <v>91.23</v>
      </c>
    </row>
    <row r="3372" spans="1:4">
      <c r="A3372" s="7" t="s">
        <v>1384</v>
      </c>
      <c r="B3372" s="8">
        <v>110.92</v>
      </c>
      <c r="C3372" s="8">
        <v>126.37</v>
      </c>
      <c r="D3372" s="8">
        <v>87.78</v>
      </c>
    </row>
    <row r="3373" spans="1:4">
      <c r="A3373" s="7" t="s">
        <v>1385</v>
      </c>
      <c r="B3373" s="8">
        <v>126.7</v>
      </c>
      <c r="C3373" s="8">
        <v>157.4</v>
      </c>
      <c r="D3373" s="8">
        <v>80.5</v>
      </c>
    </row>
    <row r="3374" spans="1:4">
      <c r="A3374" s="7" t="s">
        <v>1386</v>
      </c>
      <c r="B3374" s="8">
        <v>138.72999999999999</v>
      </c>
      <c r="C3374" s="8">
        <v>157.4</v>
      </c>
      <c r="D3374" s="8">
        <v>88.14</v>
      </c>
    </row>
    <row r="3375" spans="1:4">
      <c r="A3375" s="7" t="s">
        <v>1387</v>
      </c>
      <c r="B3375" s="8">
        <v>110</v>
      </c>
      <c r="C3375" s="8">
        <v>110</v>
      </c>
      <c r="D3375" s="8">
        <v>100</v>
      </c>
    </row>
    <row r="3376" spans="1:4">
      <c r="A3376" s="7" t="s">
        <v>1388</v>
      </c>
      <c r="B3376" s="8">
        <v>127.65</v>
      </c>
      <c r="C3376" s="8">
        <v>152.6</v>
      </c>
      <c r="D3376" s="8">
        <v>83.65</v>
      </c>
    </row>
    <row r="3377" spans="1:4">
      <c r="A3377" s="7" t="s">
        <v>610</v>
      </c>
      <c r="B3377" s="8">
        <v>4199.7</v>
      </c>
      <c r="C3377" s="8">
        <v>2939.98</v>
      </c>
      <c r="D3377" s="8">
        <v>142.85</v>
      </c>
    </row>
    <row r="3378" spans="1:4">
      <c r="A3378" s="7" t="s">
        <v>1389</v>
      </c>
      <c r="B3378" s="8">
        <v>18242.34</v>
      </c>
      <c r="C3378" s="8">
        <v>13709.58</v>
      </c>
      <c r="D3378" s="8">
        <v>133.06</v>
      </c>
    </row>
    <row r="3379" spans="1:4">
      <c r="A3379" s="7" t="s">
        <v>1390</v>
      </c>
      <c r="B3379" s="8">
        <v>14064.81</v>
      </c>
      <c r="C3379" s="8">
        <v>11573.19</v>
      </c>
      <c r="D3379" s="8">
        <v>121.53</v>
      </c>
    </row>
    <row r="3380" spans="1:4">
      <c r="A3380" s="7" t="s">
        <v>1391</v>
      </c>
      <c r="B3380" s="8">
        <v>8319.4</v>
      </c>
      <c r="C3380" s="8">
        <v>8274.84</v>
      </c>
      <c r="D3380" s="8">
        <v>100.54</v>
      </c>
    </row>
    <row r="3381" spans="1:4">
      <c r="A3381" s="7" t="s">
        <v>1392</v>
      </c>
      <c r="B3381" s="8">
        <v>13963.88</v>
      </c>
      <c r="C3381" s="8">
        <v>8392</v>
      </c>
      <c r="D3381" s="8">
        <v>166.4</v>
      </c>
    </row>
    <row r="3382" spans="1:4">
      <c r="A3382" s="7" t="s">
        <v>1393</v>
      </c>
      <c r="B3382" s="8">
        <v>11207.74</v>
      </c>
      <c r="C3382" s="8">
        <v>9615.52</v>
      </c>
      <c r="D3382" s="8">
        <v>116.56</v>
      </c>
    </row>
    <row r="3383" spans="1:4">
      <c r="A3383" s="7" t="s">
        <v>1394</v>
      </c>
      <c r="B3383" s="8">
        <v>18925.77</v>
      </c>
      <c r="C3383" s="8">
        <v>11892.84</v>
      </c>
      <c r="D3383" s="8">
        <v>159.13999999999999</v>
      </c>
    </row>
    <row r="3384" spans="1:4">
      <c r="A3384" s="7" t="s">
        <v>1395</v>
      </c>
      <c r="B3384" s="8">
        <v>1919.79</v>
      </c>
      <c r="C3384" s="8">
        <v>14770.54</v>
      </c>
      <c r="D3384" s="8">
        <v>13</v>
      </c>
    </row>
    <row r="3385" spans="1:4">
      <c r="A3385" s="7" t="s">
        <v>1396</v>
      </c>
      <c r="B3385" s="8">
        <v>7299.38</v>
      </c>
      <c r="C3385" s="8">
        <v>8297.74</v>
      </c>
      <c r="D3385" s="8">
        <v>87.97</v>
      </c>
    </row>
    <row r="3386" spans="1:4">
      <c r="A3386" s="7" t="s">
        <v>1397</v>
      </c>
      <c r="B3386" s="8">
        <v>6220.24</v>
      </c>
      <c r="C3386" s="8">
        <v>6354.9</v>
      </c>
      <c r="D3386" s="8">
        <v>97.88</v>
      </c>
    </row>
    <row r="3387" spans="1:4">
      <c r="A3387" s="7" t="s">
        <v>1398</v>
      </c>
      <c r="B3387" s="8">
        <v>1738.46</v>
      </c>
      <c r="C3387" s="8">
        <v>16214.45</v>
      </c>
      <c r="D3387" s="8">
        <v>10.72</v>
      </c>
    </row>
    <row r="3388" spans="1:4">
      <c r="A3388" s="7" t="s">
        <v>633</v>
      </c>
      <c r="B3388" s="8">
        <v>15000.26</v>
      </c>
      <c r="C3388" s="8">
        <v>7728.64</v>
      </c>
      <c r="D3388" s="8">
        <v>194.09</v>
      </c>
    </row>
    <row r="3389" spans="1:4">
      <c r="A3389" s="7" t="s">
        <v>593</v>
      </c>
      <c r="B3389" s="8">
        <v>7713.79</v>
      </c>
      <c r="C3389" s="8">
        <v>8116.03</v>
      </c>
      <c r="D3389" s="8">
        <v>95.04</v>
      </c>
    </row>
    <row r="3390" spans="1:4">
      <c r="A3390" s="7" t="s">
        <v>636</v>
      </c>
      <c r="B3390" s="8">
        <v>15000.47</v>
      </c>
      <c r="C3390" s="8">
        <v>5686.76</v>
      </c>
      <c r="D3390" s="8">
        <v>263.77999999999997</v>
      </c>
    </row>
    <row r="3391" spans="1:4">
      <c r="A3391" s="7" t="s">
        <v>595</v>
      </c>
      <c r="B3391" s="8">
        <v>9899.27</v>
      </c>
      <c r="C3391" s="8">
        <v>5015.49</v>
      </c>
      <c r="D3391" s="8">
        <v>197.37</v>
      </c>
    </row>
    <row r="3392" spans="1:4">
      <c r="A3392" s="7" t="s">
        <v>1399</v>
      </c>
      <c r="B3392" s="8">
        <v>204.05</v>
      </c>
      <c r="C3392" s="8">
        <v>206.58</v>
      </c>
      <c r="D3392" s="8">
        <v>98.78</v>
      </c>
    </row>
    <row r="3393" spans="1:4">
      <c r="A3393" s="7" t="s">
        <v>1400</v>
      </c>
      <c r="B3393" s="8">
        <v>88.19</v>
      </c>
      <c r="C3393" s="8">
        <v>88.19</v>
      </c>
      <c r="D3393" s="8">
        <v>100</v>
      </c>
    </row>
    <row r="3394" spans="1:4">
      <c r="A3394" s="7" t="s">
        <v>1401</v>
      </c>
      <c r="B3394" s="8">
        <v>103.74</v>
      </c>
      <c r="C3394" s="8">
        <v>129.12</v>
      </c>
      <c r="D3394" s="8">
        <v>80.34</v>
      </c>
    </row>
    <row r="3395" spans="1:4">
      <c r="A3395" s="7" t="s">
        <v>1402</v>
      </c>
      <c r="B3395" s="8">
        <v>115.56</v>
      </c>
      <c r="C3395" s="8">
        <v>124.12</v>
      </c>
      <c r="D3395" s="8">
        <v>93.1</v>
      </c>
    </row>
    <row r="3396" spans="1:4">
      <c r="A3396" s="7" t="s">
        <v>1403</v>
      </c>
      <c r="B3396" s="8">
        <v>16158.14</v>
      </c>
      <c r="C3396" s="8">
        <v>9192.44</v>
      </c>
      <c r="D3396" s="8">
        <v>175.78</v>
      </c>
    </row>
    <row r="3397" spans="1:4">
      <c r="A3397" s="7" t="s">
        <v>618</v>
      </c>
      <c r="B3397" s="8">
        <v>16999.48</v>
      </c>
      <c r="C3397" s="8">
        <v>9280.34</v>
      </c>
      <c r="D3397" s="8">
        <v>183.18</v>
      </c>
    </row>
    <row r="3398" spans="1:4">
      <c r="A3398" s="7" t="s">
        <v>1404</v>
      </c>
      <c r="B3398" s="8">
        <v>114.49</v>
      </c>
      <c r="C3398" s="8">
        <v>123.39</v>
      </c>
      <c r="D3398" s="8">
        <v>92.78</v>
      </c>
    </row>
    <row r="3399" spans="1:4">
      <c r="A3399" s="7" t="s">
        <v>1405</v>
      </c>
      <c r="B3399" s="8">
        <v>169.49</v>
      </c>
      <c r="C3399" s="8">
        <v>152.94999999999999</v>
      </c>
      <c r="D3399" s="8">
        <v>110.81</v>
      </c>
    </row>
    <row r="3400" spans="1:4">
      <c r="A3400" s="7" t="s">
        <v>1406</v>
      </c>
      <c r="B3400" s="8">
        <v>15064.86</v>
      </c>
      <c r="C3400" s="8">
        <v>12839.34</v>
      </c>
      <c r="D3400" s="8">
        <v>117.33</v>
      </c>
    </row>
    <row r="3401" spans="1:4">
      <c r="A3401" s="7" t="s">
        <v>1407</v>
      </c>
      <c r="B3401" s="8">
        <v>16095.3</v>
      </c>
      <c r="C3401" s="8">
        <v>11532.39</v>
      </c>
      <c r="D3401" s="8">
        <v>139.57</v>
      </c>
    </row>
    <row r="3402" spans="1:4">
      <c r="A3402" s="7" t="s">
        <v>1408</v>
      </c>
      <c r="B3402" s="8">
        <v>8794.7800000000007</v>
      </c>
      <c r="C3402" s="8">
        <v>10136.959999999999</v>
      </c>
      <c r="D3402" s="8">
        <v>86.76</v>
      </c>
    </row>
    <row r="3403" spans="1:4">
      <c r="A3403" s="7" t="s">
        <v>1409</v>
      </c>
      <c r="B3403" s="8">
        <v>948.23</v>
      </c>
      <c r="C3403" s="8">
        <v>1179.81</v>
      </c>
      <c r="D3403" s="8">
        <v>80.37</v>
      </c>
    </row>
    <row r="3404" spans="1:4">
      <c r="A3404" s="7" t="s">
        <v>1410</v>
      </c>
      <c r="B3404" s="8">
        <v>709.31</v>
      </c>
      <c r="C3404" s="8">
        <v>642.44000000000005</v>
      </c>
      <c r="D3404" s="8">
        <v>110.41</v>
      </c>
    </row>
    <row r="3405" spans="1:4">
      <c r="A3405" s="7" t="s">
        <v>1411</v>
      </c>
      <c r="B3405" s="8">
        <v>170.71</v>
      </c>
      <c r="C3405" s="8">
        <v>200</v>
      </c>
      <c r="D3405" s="8">
        <v>85.36</v>
      </c>
    </row>
    <row r="3406" spans="1:4">
      <c r="A3406" s="7" t="s">
        <v>1412</v>
      </c>
      <c r="B3406" s="8">
        <v>100</v>
      </c>
      <c r="C3406" s="8">
        <v>100</v>
      </c>
      <c r="D3406" s="8">
        <v>100</v>
      </c>
    </row>
    <row r="3407" spans="1:4">
      <c r="A3407" s="7" t="s">
        <v>1413</v>
      </c>
      <c r="B3407" s="8">
        <v>112.34</v>
      </c>
      <c r="C3407" s="8">
        <v>129.80000000000001</v>
      </c>
      <c r="D3407" s="8">
        <v>86.55</v>
      </c>
    </row>
    <row r="3408" spans="1:4">
      <c r="A3408" s="7" t="s">
        <v>1414</v>
      </c>
      <c r="B3408" s="8">
        <v>118.64</v>
      </c>
      <c r="C3408" s="8">
        <v>145</v>
      </c>
      <c r="D3408" s="8">
        <v>81.819999999999993</v>
      </c>
    </row>
    <row r="3409" spans="1:4">
      <c r="A3409" s="7" t="s">
        <v>1415</v>
      </c>
      <c r="B3409" s="8">
        <v>162.43</v>
      </c>
      <c r="C3409" s="8">
        <v>180</v>
      </c>
      <c r="D3409" s="8">
        <v>90.24</v>
      </c>
    </row>
    <row r="3410" spans="1:4">
      <c r="A3410" s="7" t="s">
        <v>1416</v>
      </c>
      <c r="B3410" s="8">
        <v>361.04</v>
      </c>
      <c r="C3410" s="8">
        <v>300</v>
      </c>
      <c r="D3410" s="8">
        <v>120.35</v>
      </c>
    </row>
    <row r="3411" spans="1:4">
      <c r="A3411" s="7" t="s">
        <v>1417</v>
      </c>
      <c r="B3411" s="8">
        <v>979.74</v>
      </c>
      <c r="C3411" s="8">
        <v>1008.19</v>
      </c>
      <c r="D3411" s="8">
        <v>97.18</v>
      </c>
    </row>
    <row r="3412" spans="1:4">
      <c r="A3412" s="7" t="s">
        <v>1418</v>
      </c>
      <c r="B3412" s="8">
        <v>144.28</v>
      </c>
      <c r="C3412" s="8">
        <v>167.95</v>
      </c>
      <c r="D3412" s="8">
        <v>85.91</v>
      </c>
    </row>
    <row r="3413" spans="1:4">
      <c r="A3413" s="7" t="s">
        <v>1419</v>
      </c>
      <c r="B3413" s="8">
        <v>188.93</v>
      </c>
      <c r="C3413" s="8">
        <v>232.75</v>
      </c>
      <c r="D3413" s="8">
        <v>81.17</v>
      </c>
    </row>
    <row r="3414" spans="1:4">
      <c r="A3414" s="7" t="s">
        <v>1420</v>
      </c>
      <c r="B3414" s="8">
        <v>188.93</v>
      </c>
      <c r="C3414" s="8">
        <v>232.75</v>
      </c>
      <c r="D3414" s="8">
        <v>81.17</v>
      </c>
    </row>
    <row r="3415" spans="1:4">
      <c r="A3415" s="7" t="s">
        <v>1421</v>
      </c>
      <c r="B3415" s="8">
        <v>143.96</v>
      </c>
      <c r="C3415" s="8">
        <v>167.95</v>
      </c>
      <c r="D3415" s="8">
        <v>85.72</v>
      </c>
    </row>
    <row r="3416" spans="1:4">
      <c r="A3416" s="7" t="s">
        <v>1422</v>
      </c>
      <c r="B3416" s="8">
        <v>144.28</v>
      </c>
      <c r="C3416" s="8">
        <v>167.95</v>
      </c>
      <c r="D3416" s="8">
        <v>85.91</v>
      </c>
    </row>
    <row r="3417" spans="1:4">
      <c r="A3417" s="7" t="s">
        <v>1423</v>
      </c>
      <c r="B3417" s="8">
        <v>188.93</v>
      </c>
      <c r="C3417" s="8">
        <v>232.75</v>
      </c>
      <c r="D3417" s="8">
        <v>81.17</v>
      </c>
    </row>
    <row r="3418" spans="1:4">
      <c r="A3418" s="7" t="s">
        <v>1424</v>
      </c>
      <c r="B3418" s="8">
        <v>188.93</v>
      </c>
      <c r="C3418" s="8">
        <v>232.75</v>
      </c>
      <c r="D3418" s="8">
        <v>81.17</v>
      </c>
    </row>
    <row r="3419" spans="1:4">
      <c r="A3419" s="7" t="s">
        <v>1425</v>
      </c>
      <c r="B3419" s="8">
        <v>143.72999999999999</v>
      </c>
      <c r="C3419" s="8">
        <v>167.4</v>
      </c>
      <c r="D3419" s="8">
        <v>85.86</v>
      </c>
    </row>
    <row r="3420" spans="1:4">
      <c r="A3420" s="7" t="s">
        <v>1426</v>
      </c>
      <c r="B3420" s="8">
        <v>215.16</v>
      </c>
      <c r="C3420" s="8">
        <v>165.2</v>
      </c>
      <c r="D3420" s="8">
        <v>130.24</v>
      </c>
    </row>
    <row r="3421" spans="1:4">
      <c r="A3421" s="7" t="s">
        <v>1427</v>
      </c>
      <c r="B3421" s="8">
        <v>242.31</v>
      </c>
      <c r="C3421" s="8">
        <v>192.6</v>
      </c>
      <c r="D3421" s="8">
        <v>125.81</v>
      </c>
    </row>
    <row r="3422" spans="1:4">
      <c r="A3422" s="7" t="s">
        <v>1428</v>
      </c>
      <c r="B3422" s="8">
        <v>144.28</v>
      </c>
      <c r="C3422" s="8">
        <v>167.95</v>
      </c>
      <c r="D3422" s="8">
        <v>85.91</v>
      </c>
    </row>
    <row r="3423" spans="1:4">
      <c r="A3423" s="7" t="s">
        <v>1429</v>
      </c>
      <c r="B3423" s="8">
        <v>225.85</v>
      </c>
      <c r="C3423" s="8">
        <v>234.1</v>
      </c>
      <c r="D3423" s="8">
        <v>96.47</v>
      </c>
    </row>
    <row r="3424" spans="1:4">
      <c r="A3424" s="7" t="s">
        <v>1430</v>
      </c>
      <c r="B3424" s="8">
        <v>195.23</v>
      </c>
      <c r="C3424" s="8">
        <v>157.94999999999999</v>
      </c>
      <c r="D3424" s="8">
        <v>123.6</v>
      </c>
    </row>
    <row r="3425" spans="1:4">
      <c r="A3425" s="7" t="s">
        <v>1431</v>
      </c>
      <c r="B3425" s="8">
        <v>555.87</v>
      </c>
      <c r="C3425" s="8">
        <v>390</v>
      </c>
      <c r="D3425" s="8">
        <v>142.53</v>
      </c>
    </row>
    <row r="3426" spans="1:4">
      <c r="A3426" s="7" t="s">
        <v>1432</v>
      </c>
      <c r="B3426" s="8">
        <v>143.96</v>
      </c>
      <c r="C3426" s="8">
        <v>167.95</v>
      </c>
      <c r="D3426" s="8">
        <v>85.72</v>
      </c>
    </row>
    <row r="3427" spans="1:4">
      <c r="A3427" s="7" t="s">
        <v>1433</v>
      </c>
      <c r="B3427" s="8">
        <v>188.93</v>
      </c>
      <c r="C3427" s="8">
        <v>232.75</v>
      </c>
      <c r="D3427" s="8">
        <v>81.17</v>
      </c>
    </row>
    <row r="3428" spans="1:4">
      <c r="A3428" s="7" t="s">
        <v>1434</v>
      </c>
      <c r="B3428" s="8">
        <v>188.93</v>
      </c>
      <c r="C3428" s="8">
        <v>232.75</v>
      </c>
      <c r="D3428" s="8">
        <v>81.17</v>
      </c>
    </row>
    <row r="3429" spans="1:4">
      <c r="A3429" s="7" t="s">
        <v>1435</v>
      </c>
      <c r="B3429" s="8">
        <v>143.63999999999999</v>
      </c>
      <c r="C3429" s="8">
        <v>167.95</v>
      </c>
      <c r="D3429" s="8">
        <v>85.53</v>
      </c>
    </row>
    <row r="3430" spans="1:4">
      <c r="A3430" s="7" t="s">
        <v>1436</v>
      </c>
      <c r="B3430" s="8">
        <v>144.28</v>
      </c>
      <c r="C3430" s="8">
        <v>167.95</v>
      </c>
      <c r="D3430" s="8">
        <v>85.91</v>
      </c>
    </row>
    <row r="3431" spans="1:4">
      <c r="A3431" s="7" t="s">
        <v>1437</v>
      </c>
      <c r="B3431" s="8">
        <v>188.93</v>
      </c>
      <c r="C3431" s="8">
        <v>232.75</v>
      </c>
      <c r="D3431" s="8">
        <v>81.17</v>
      </c>
    </row>
    <row r="3432" spans="1:4">
      <c r="A3432" s="7" t="s">
        <v>1438</v>
      </c>
      <c r="B3432" s="8">
        <v>190.01</v>
      </c>
      <c r="C3432" s="8">
        <v>235.35</v>
      </c>
      <c r="D3432" s="8">
        <v>80.739999999999995</v>
      </c>
    </row>
    <row r="3433" spans="1:4">
      <c r="A3433" s="7" t="s">
        <v>1439</v>
      </c>
      <c r="B3433" s="8">
        <v>143.96</v>
      </c>
      <c r="C3433" s="8">
        <v>167.95</v>
      </c>
      <c r="D3433" s="8">
        <v>85.72</v>
      </c>
    </row>
    <row r="3434" spans="1:4">
      <c r="A3434" s="7" t="s">
        <v>1440</v>
      </c>
      <c r="B3434" s="8">
        <v>143.96</v>
      </c>
      <c r="C3434" s="8">
        <v>167.95</v>
      </c>
      <c r="D3434" s="8">
        <v>85.72</v>
      </c>
    </row>
    <row r="3435" spans="1:4">
      <c r="A3435" s="7" t="s">
        <v>1441</v>
      </c>
      <c r="B3435" s="8">
        <v>188.93</v>
      </c>
      <c r="C3435" s="8">
        <v>232.75</v>
      </c>
      <c r="D3435" s="8">
        <v>81.17</v>
      </c>
    </row>
    <row r="3436" spans="1:4">
      <c r="A3436" s="7" t="s">
        <v>1442</v>
      </c>
      <c r="B3436" s="8">
        <v>188.93</v>
      </c>
      <c r="C3436" s="8">
        <v>232.75</v>
      </c>
      <c r="D3436" s="8">
        <v>81.17</v>
      </c>
    </row>
    <row r="3437" spans="1:4">
      <c r="A3437" s="7" t="s">
        <v>1443</v>
      </c>
      <c r="B3437" s="8">
        <v>143.63999999999999</v>
      </c>
      <c r="C3437" s="8">
        <v>167.95</v>
      </c>
      <c r="D3437" s="8">
        <v>85.53</v>
      </c>
    </row>
    <row r="3438" spans="1:4">
      <c r="A3438" s="7" t="s">
        <v>1444</v>
      </c>
      <c r="B3438" s="8">
        <v>143.96</v>
      </c>
      <c r="C3438" s="8">
        <v>167.95</v>
      </c>
      <c r="D3438" s="8">
        <v>85.72</v>
      </c>
    </row>
    <row r="3439" spans="1:4">
      <c r="A3439" s="7" t="s">
        <v>1445</v>
      </c>
      <c r="B3439" s="8">
        <v>188.93</v>
      </c>
      <c r="C3439" s="8">
        <v>232.75</v>
      </c>
      <c r="D3439" s="8">
        <v>81.17</v>
      </c>
    </row>
    <row r="3440" spans="1:4">
      <c r="A3440" s="7" t="s">
        <v>1446</v>
      </c>
      <c r="B3440" s="8">
        <v>188.93</v>
      </c>
      <c r="C3440" s="8">
        <v>232.75</v>
      </c>
      <c r="D3440" s="8">
        <v>81.17</v>
      </c>
    </row>
    <row r="3441" spans="1:4">
      <c r="A3441" s="7" t="s">
        <v>1447</v>
      </c>
      <c r="B3441" s="8">
        <v>143.63999999999999</v>
      </c>
      <c r="C3441" s="8">
        <v>167.95</v>
      </c>
      <c r="D3441" s="8">
        <v>85.53</v>
      </c>
    </row>
    <row r="3442" spans="1:4">
      <c r="A3442" s="7" t="s">
        <v>1448</v>
      </c>
      <c r="B3442" s="8">
        <v>144.52000000000001</v>
      </c>
      <c r="C3442" s="8">
        <v>167.95</v>
      </c>
      <c r="D3442" s="8">
        <v>86.05</v>
      </c>
    </row>
    <row r="3443" spans="1:4">
      <c r="A3443" s="7" t="s">
        <v>1449</v>
      </c>
      <c r="B3443" s="8">
        <v>321.93</v>
      </c>
      <c r="C3443" s="8">
        <v>179.35</v>
      </c>
      <c r="D3443" s="8">
        <v>179.5</v>
      </c>
    </row>
    <row r="3444" spans="1:4">
      <c r="A3444" s="7" t="s">
        <v>1450</v>
      </c>
      <c r="B3444" s="8">
        <v>198.13</v>
      </c>
      <c r="C3444" s="8">
        <v>179.35</v>
      </c>
      <c r="D3444" s="8">
        <v>110.47</v>
      </c>
    </row>
    <row r="3445" spans="1:4">
      <c r="A3445" s="7" t="s">
        <v>1451</v>
      </c>
      <c r="B3445" s="8">
        <v>147.44999999999999</v>
      </c>
      <c r="C3445" s="8">
        <v>167.95</v>
      </c>
      <c r="D3445" s="8">
        <v>87.8</v>
      </c>
    </row>
    <row r="3446" spans="1:4">
      <c r="A3446" s="7" t="s">
        <v>1452</v>
      </c>
      <c r="B3446" s="8">
        <v>409.14</v>
      </c>
      <c r="C3446" s="8">
        <v>365</v>
      </c>
      <c r="D3446" s="8">
        <v>112.09</v>
      </c>
    </row>
    <row r="3447" spans="1:4">
      <c r="A3447" s="7" t="s">
        <v>1453</v>
      </c>
      <c r="B3447" s="8">
        <v>556.4</v>
      </c>
      <c r="C3447" s="8">
        <v>282.25</v>
      </c>
      <c r="D3447" s="8">
        <v>197.13</v>
      </c>
    </row>
    <row r="3448" spans="1:4">
      <c r="A3448" s="7" t="s">
        <v>2241</v>
      </c>
      <c r="B3448" s="8">
        <v>223.68</v>
      </c>
      <c r="C3448" s="8">
        <v>234.1</v>
      </c>
      <c r="D3448" s="8">
        <v>95.55</v>
      </c>
    </row>
    <row r="3449" spans="1:4">
      <c r="A3449" s="7" t="s">
        <v>1454</v>
      </c>
      <c r="B3449" s="8">
        <v>424.35</v>
      </c>
      <c r="C3449" s="8">
        <v>380</v>
      </c>
      <c r="D3449" s="8">
        <v>111.67</v>
      </c>
    </row>
    <row r="3450" spans="1:4">
      <c r="A3450" s="7" t="s">
        <v>1455</v>
      </c>
      <c r="B3450" s="8">
        <v>144.28</v>
      </c>
      <c r="C3450" s="8">
        <v>167.95</v>
      </c>
      <c r="D3450" s="8">
        <v>85.91</v>
      </c>
    </row>
    <row r="3451" spans="1:4">
      <c r="A3451" s="7" t="s">
        <v>1456</v>
      </c>
      <c r="B3451" s="8">
        <v>218.36</v>
      </c>
      <c r="C3451" s="8">
        <v>234.1</v>
      </c>
      <c r="D3451" s="8">
        <v>93.28</v>
      </c>
    </row>
    <row r="3452" spans="1:4">
      <c r="A3452" s="7" t="s">
        <v>1457</v>
      </c>
      <c r="B3452" s="8">
        <v>196.84</v>
      </c>
      <c r="C3452" s="8">
        <v>157.94999999999999</v>
      </c>
      <c r="D3452" s="8">
        <v>124.62</v>
      </c>
    </row>
    <row r="3453" spans="1:4">
      <c r="A3453" s="7" t="s">
        <v>1458</v>
      </c>
      <c r="B3453" s="8">
        <v>556.33000000000004</v>
      </c>
      <c r="C3453" s="8">
        <v>390</v>
      </c>
      <c r="D3453" s="8">
        <v>142.65</v>
      </c>
    </row>
    <row r="3454" spans="1:4">
      <c r="A3454" s="7" t="s">
        <v>1459</v>
      </c>
      <c r="B3454" s="8">
        <v>114.57</v>
      </c>
      <c r="C3454" s="8">
        <v>142.24</v>
      </c>
      <c r="D3454" s="8">
        <v>80.55</v>
      </c>
    </row>
    <row r="3455" spans="1:4">
      <c r="A3455" s="7" t="s">
        <v>1460</v>
      </c>
      <c r="B3455" s="8">
        <v>178.47</v>
      </c>
      <c r="C3455" s="8">
        <v>221</v>
      </c>
      <c r="D3455" s="8">
        <v>80.760000000000005</v>
      </c>
    </row>
    <row r="3456" spans="1:4">
      <c r="A3456" s="7" t="s">
        <v>1461</v>
      </c>
      <c r="B3456" s="8">
        <v>405.6</v>
      </c>
      <c r="C3456" s="8">
        <v>394.22</v>
      </c>
      <c r="D3456" s="8">
        <v>102.89</v>
      </c>
    </row>
    <row r="3457" spans="1:4">
      <c r="A3457" s="7" t="s">
        <v>1462</v>
      </c>
      <c r="B3457" s="8">
        <v>405.6</v>
      </c>
      <c r="C3457" s="8">
        <v>394.22</v>
      </c>
      <c r="D3457" s="8">
        <v>102.89</v>
      </c>
    </row>
    <row r="3458" spans="1:4">
      <c r="A3458" s="7" t="s">
        <v>1463</v>
      </c>
      <c r="B3458" s="8">
        <v>178.47</v>
      </c>
      <c r="C3458" s="8">
        <v>221</v>
      </c>
      <c r="D3458" s="8">
        <v>80.760000000000005</v>
      </c>
    </row>
    <row r="3459" spans="1:4">
      <c r="A3459" s="7" t="s">
        <v>1464</v>
      </c>
      <c r="B3459" s="8">
        <v>114.57</v>
      </c>
      <c r="C3459" s="8">
        <v>142.24</v>
      </c>
      <c r="D3459" s="8">
        <v>80.55</v>
      </c>
    </row>
    <row r="3460" spans="1:4">
      <c r="A3460" s="7" t="s">
        <v>1465</v>
      </c>
      <c r="B3460" s="8">
        <v>216.57</v>
      </c>
      <c r="C3460" s="8">
        <v>240</v>
      </c>
      <c r="D3460" s="8">
        <v>90.24</v>
      </c>
    </row>
    <row r="3461" spans="1:4">
      <c r="A3461" s="7" t="s">
        <v>1466</v>
      </c>
      <c r="B3461" s="8">
        <v>408.34</v>
      </c>
      <c r="C3461" s="8">
        <v>455.2</v>
      </c>
      <c r="D3461" s="8">
        <v>89.7</v>
      </c>
    </row>
    <row r="3462" spans="1:4">
      <c r="A3462" s="7" t="s">
        <v>1467</v>
      </c>
      <c r="B3462" s="8">
        <v>322.62</v>
      </c>
      <c r="C3462" s="8">
        <v>277.95</v>
      </c>
      <c r="D3462" s="8">
        <v>116.07</v>
      </c>
    </row>
    <row r="3463" spans="1:4">
      <c r="A3463" s="7" t="s">
        <v>1468</v>
      </c>
      <c r="B3463" s="8">
        <v>108.27</v>
      </c>
      <c r="C3463" s="8">
        <v>134.1</v>
      </c>
      <c r="D3463" s="8">
        <v>80.739999999999995</v>
      </c>
    </row>
    <row r="3464" spans="1:4">
      <c r="A3464" s="7" t="s">
        <v>1469</v>
      </c>
      <c r="B3464" s="8">
        <v>108.27</v>
      </c>
      <c r="C3464" s="8">
        <v>134.1</v>
      </c>
      <c r="D3464" s="8">
        <v>80.739999999999995</v>
      </c>
    </row>
    <row r="3465" spans="1:4">
      <c r="A3465" s="7" t="s">
        <v>1470</v>
      </c>
      <c r="B3465" s="8">
        <v>319.37</v>
      </c>
      <c r="C3465" s="8">
        <v>277.95</v>
      </c>
      <c r="D3465" s="8">
        <v>114.9</v>
      </c>
    </row>
    <row r="3466" spans="1:4">
      <c r="A3466" s="7" t="s">
        <v>1471</v>
      </c>
      <c r="B3466" s="8">
        <v>410.77</v>
      </c>
      <c r="C3466" s="8">
        <v>365</v>
      </c>
      <c r="D3466" s="8">
        <v>112.54</v>
      </c>
    </row>
    <row r="3467" spans="1:4">
      <c r="A3467" s="7" t="s">
        <v>1472</v>
      </c>
      <c r="B3467" s="8">
        <v>551.62</v>
      </c>
      <c r="C3467" s="8">
        <v>282.25</v>
      </c>
      <c r="D3467" s="8">
        <v>195.44</v>
      </c>
    </row>
    <row r="3468" spans="1:4">
      <c r="A3468" s="7" t="s">
        <v>2242</v>
      </c>
      <c r="B3468" s="8">
        <v>223.68</v>
      </c>
      <c r="C3468" s="8">
        <v>234.1</v>
      </c>
      <c r="D3468" s="8">
        <v>95.55</v>
      </c>
    </row>
    <row r="3469" spans="1:4">
      <c r="A3469" s="7" t="s">
        <v>1473</v>
      </c>
      <c r="B3469" s="8">
        <v>424.69</v>
      </c>
      <c r="C3469" s="8">
        <v>380</v>
      </c>
      <c r="D3469" s="8">
        <v>111.76</v>
      </c>
    </row>
    <row r="3470" spans="1:4">
      <c r="A3470" s="7" t="s">
        <v>1474</v>
      </c>
      <c r="B3470" s="8">
        <v>318.04000000000002</v>
      </c>
      <c r="C3470" s="8">
        <v>390</v>
      </c>
      <c r="D3470" s="8">
        <v>81.55</v>
      </c>
    </row>
    <row r="3471" spans="1:4">
      <c r="A3471" s="7" t="s">
        <v>2234</v>
      </c>
      <c r="B3471" s="8">
        <v>108.27</v>
      </c>
      <c r="C3471" s="8">
        <v>134.1</v>
      </c>
      <c r="D3471" s="8">
        <v>80.739999999999995</v>
      </c>
    </row>
    <row r="3472" spans="1:4">
      <c r="A3472" s="7" t="s">
        <v>1475</v>
      </c>
      <c r="B3472" s="8">
        <v>108.27</v>
      </c>
      <c r="C3472" s="8">
        <v>134.1</v>
      </c>
      <c r="D3472" s="8">
        <v>80.739999999999995</v>
      </c>
    </row>
    <row r="3473" spans="1:4">
      <c r="A3473" s="7" t="s">
        <v>1476</v>
      </c>
      <c r="B3473" s="8">
        <v>321.42</v>
      </c>
      <c r="C3473" s="8">
        <v>380</v>
      </c>
      <c r="D3473" s="8">
        <v>84.58</v>
      </c>
    </row>
    <row r="3474" spans="1:4">
      <c r="A3474" s="7" t="s">
        <v>1477</v>
      </c>
      <c r="B3474" s="8">
        <v>216.57</v>
      </c>
      <c r="C3474" s="8">
        <v>240</v>
      </c>
      <c r="D3474" s="8">
        <v>90.24</v>
      </c>
    </row>
    <row r="3475" spans="1:4">
      <c r="A3475" s="7" t="s">
        <v>1478</v>
      </c>
      <c r="B3475" s="8">
        <v>531.83000000000004</v>
      </c>
      <c r="C3475" s="8">
        <v>655.20000000000005</v>
      </c>
      <c r="D3475" s="8">
        <v>81.17</v>
      </c>
    </row>
    <row r="3476" spans="1:4">
      <c r="A3476" s="7" t="s">
        <v>1479</v>
      </c>
      <c r="B3476" s="8">
        <v>414.2</v>
      </c>
      <c r="C3476" s="8">
        <v>505</v>
      </c>
      <c r="D3476" s="8">
        <v>82.02</v>
      </c>
    </row>
    <row r="3477" spans="1:4">
      <c r="A3477" s="7" t="s">
        <v>1480</v>
      </c>
      <c r="B3477" s="8">
        <v>568.39</v>
      </c>
      <c r="C3477" s="8">
        <v>282.25</v>
      </c>
      <c r="D3477" s="8">
        <v>201.38</v>
      </c>
    </row>
    <row r="3478" spans="1:4">
      <c r="A3478" s="7" t="s">
        <v>2243</v>
      </c>
      <c r="B3478" s="8">
        <v>223.68</v>
      </c>
      <c r="C3478" s="8">
        <v>234.1</v>
      </c>
      <c r="D3478" s="8">
        <v>95.55</v>
      </c>
    </row>
    <row r="3479" spans="1:4">
      <c r="A3479" s="7" t="s">
        <v>1481</v>
      </c>
      <c r="B3479" s="8">
        <v>521.38</v>
      </c>
      <c r="C3479" s="8">
        <v>380</v>
      </c>
      <c r="D3479" s="8">
        <v>137.19999999999999</v>
      </c>
    </row>
    <row r="3480" spans="1:4">
      <c r="A3480" s="7" t="s">
        <v>1482</v>
      </c>
      <c r="B3480" s="8">
        <v>375</v>
      </c>
      <c r="C3480" s="8">
        <v>301.39999999999998</v>
      </c>
      <c r="D3480" s="8">
        <v>124.42</v>
      </c>
    </row>
    <row r="3481" spans="1:4">
      <c r="A3481" s="7" t="s">
        <v>1483</v>
      </c>
      <c r="B3481" s="8">
        <v>108.27</v>
      </c>
      <c r="C3481" s="8">
        <v>134.1</v>
      </c>
      <c r="D3481" s="8">
        <v>80.739999999999995</v>
      </c>
    </row>
    <row r="3482" spans="1:4">
      <c r="A3482" s="7" t="s">
        <v>1484</v>
      </c>
      <c r="B3482" s="8">
        <v>108.27</v>
      </c>
      <c r="C3482" s="8">
        <v>134.1</v>
      </c>
      <c r="D3482" s="8">
        <v>80.739999999999995</v>
      </c>
    </row>
    <row r="3483" spans="1:4">
      <c r="A3483" s="7" t="s">
        <v>1485</v>
      </c>
      <c r="B3483" s="8">
        <v>346.72</v>
      </c>
      <c r="C3483" s="8">
        <v>301.39999999999998</v>
      </c>
      <c r="D3483" s="8">
        <v>115.04</v>
      </c>
    </row>
    <row r="3484" spans="1:4">
      <c r="A3484" s="7" t="s">
        <v>1486</v>
      </c>
      <c r="B3484" s="8">
        <v>414.2</v>
      </c>
      <c r="C3484" s="8">
        <v>505</v>
      </c>
      <c r="D3484" s="8">
        <v>82.02</v>
      </c>
    </row>
    <row r="3485" spans="1:4">
      <c r="A3485" s="7" t="s">
        <v>1487</v>
      </c>
      <c r="B3485" s="8">
        <v>575.49</v>
      </c>
      <c r="C3485" s="8">
        <v>282.25</v>
      </c>
      <c r="D3485" s="8">
        <v>203.89</v>
      </c>
    </row>
    <row r="3486" spans="1:4">
      <c r="A3486" s="7" t="s">
        <v>2244</v>
      </c>
      <c r="B3486" s="8">
        <v>223.68</v>
      </c>
      <c r="C3486" s="8">
        <v>234.1</v>
      </c>
      <c r="D3486" s="8">
        <v>95.55</v>
      </c>
    </row>
    <row r="3487" spans="1:4">
      <c r="A3487" s="7" t="s">
        <v>1488</v>
      </c>
      <c r="B3487" s="8">
        <v>516.64</v>
      </c>
      <c r="C3487" s="8">
        <v>380</v>
      </c>
      <c r="D3487" s="8">
        <v>135.96</v>
      </c>
    </row>
    <row r="3488" spans="1:4">
      <c r="A3488" s="7" t="s">
        <v>1489</v>
      </c>
      <c r="B3488" s="8">
        <v>147.83000000000001</v>
      </c>
      <c r="C3488" s="8">
        <v>167.95</v>
      </c>
      <c r="D3488" s="8">
        <v>88.02</v>
      </c>
    </row>
    <row r="3489" spans="1:4">
      <c r="A3489" s="7" t="s">
        <v>1490</v>
      </c>
      <c r="B3489" s="8">
        <v>188.93</v>
      </c>
      <c r="C3489" s="8">
        <v>232.75</v>
      </c>
      <c r="D3489" s="8">
        <v>81.17</v>
      </c>
    </row>
    <row r="3490" spans="1:4">
      <c r="A3490" s="7" t="s">
        <v>1491</v>
      </c>
      <c r="B3490" s="8">
        <v>188.93</v>
      </c>
      <c r="C3490" s="8">
        <v>232.75</v>
      </c>
      <c r="D3490" s="8">
        <v>81.17</v>
      </c>
    </row>
    <row r="3491" spans="1:4">
      <c r="A3491" s="7" t="s">
        <v>1492</v>
      </c>
      <c r="B3491" s="8">
        <v>150.76</v>
      </c>
      <c r="C3491" s="8">
        <v>167.95</v>
      </c>
      <c r="D3491" s="8">
        <v>89.76</v>
      </c>
    </row>
    <row r="3492" spans="1:4">
      <c r="A3492" s="7" t="s">
        <v>1493</v>
      </c>
      <c r="B3492" s="8">
        <v>535.62</v>
      </c>
      <c r="C3492" s="8">
        <v>635.20000000000005</v>
      </c>
      <c r="D3492" s="8">
        <v>84.32</v>
      </c>
    </row>
    <row r="3493" spans="1:4">
      <c r="A3493" s="7" t="s">
        <v>1494</v>
      </c>
      <c r="B3493" s="8">
        <v>551.62</v>
      </c>
      <c r="C3493" s="8">
        <v>282.25</v>
      </c>
      <c r="D3493" s="8">
        <v>195.44</v>
      </c>
    </row>
    <row r="3494" spans="1:4">
      <c r="A3494" s="7" t="s">
        <v>2245</v>
      </c>
      <c r="B3494" s="8">
        <v>223.68</v>
      </c>
      <c r="C3494" s="8">
        <v>234.1</v>
      </c>
      <c r="D3494" s="8">
        <v>95.55</v>
      </c>
    </row>
    <row r="3495" spans="1:4">
      <c r="A3495" s="7" t="s">
        <v>1495</v>
      </c>
      <c r="B3495" s="8">
        <v>424.2</v>
      </c>
      <c r="C3495" s="8">
        <v>380</v>
      </c>
      <c r="D3495" s="8">
        <v>111.63</v>
      </c>
    </row>
    <row r="3496" spans="1:4">
      <c r="A3496" s="7" t="s">
        <v>1496</v>
      </c>
      <c r="B3496" s="8">
        <v>145.72</v>
      </c>
      <c r="C3496" s="8">
        <v>167.95</v>
      </c>
      <c r="D3496" s="8">
        <v>86.76</v>
      </c>
    </row>
    <row r="3497" spans="1:4">
      <c r="A3497" s="7" t="s">
        <v>1497</v>
      </c>
      <c r="B3497" s="8">
        <v>188.93</v>
      </c>
      <c r="C3497" s="8">
        <v>232.75</v>
      </c>
      <c r="D3497" s="8">
        <v>81.17</v>
      </c>
    </row>
    <row r="3498" spans="1:4">
      <c r="A3498" s="7" t="s">
        <v>1498</v>
      </c>
      <c r="B3498" s="8">
        <v>188.93</v>
      </c>
      <c r="C3498" s="8">
        <v>232.75</v>
      </c>
      <c r="D3498" s="8">
        <v>81.17</v>
      </c>
    </row>
    <row r="3499" spans="1:4">
      <c r="A3499" s="7" t="s">
        <v>1499</v>
      </c>
      <c r="B3499" s="8">
        <v>145.72</v>
      </c>
      <c r="C3499" s="8">
        <v>167.95</v>
      </c>
      <c r="D3499" s="8">
        <v>86.76</v>
      </c>
    </row>
    <row r="3500" spans="1:4">
      <c r="A3500" s="7" t="s">
        <v>1500</v>
      </c>
      <c r="B3500" s="8">
        <v>500</v>
      </c>
      <c r="C3500" s="8">
        <v>1369.07</v>
      </c>
      <c r="D3500" s="8">
        <v>36.520000000000003</v>
      </c>
    </row>
    <row r="3501" spans="1:4">
      <c r="A3501" s="7" t="s">
        <v>1501</v>
      </c>
      <c r="B3501" s="8">
        <v>338.99</v>
      </c>
      <c r="C3501" s="8">
        <v>280</v>
      </c>
      <c r="D3501" s="8">
        <v>121.07</v>
      </c>
    </row>
    <row r="3502" spans="1:4">
      <c r="A3502" s="7" t="s">
        <v>1502</v>
      </c>
      <c r="B3502" s="8">
        <v>108.27</v>
      </c>
      <c r="C3502" s="8">
        <v>134.1</v>
      </c>
      <c r="D3502" s="8">
        <v>80.739999999999995</v>
      </c>
    </row>
    <row r="3503" spans="1:4">
      <c r="A3503" s="7" t="s">
        <v>1503</v>
      </c>
      <c r="B3503" s="8">
        <v>108.27</v>
      </c>
      <c r="C3503" s="8">
        <v>134.1</v>
      </c>
      <c r="D3503" s="8">
        <v>80.739999999999995</v>
      </c>
    </row>
    <row r="3504" spans="1:4">
      <c r="A3504" s="7" t="s">
        <v>1504</v>
      </c>
      <c r="B3504" s="8">
        <v>436.75</v>
      </c>
      <c r="C3504" s="8">
        <v>354.8</v>
      </c>
      <c r="D3504" s="8">
        <v>123.1</v>
      </c>
    </row>
    <row r="3505" spans="1:4">
      <c r="A3505" s="7" t="s">
        <v>1505</v>
      </c>
      <c r="B3505" s="8">
        <v>571.86</v>
      </c>
      <c r="C3505" s="8">
        <v>354.8</v>
      </c>
      <c r="D3505" s="8">
        <v>161.18</v>
      </c>
    </row>
    <row r="3506" spans="1:4">
      <c r="A3506" s="7" t="s">
        <v>1506</v>
      </c>
      <c r="B3506" s="8">
        <v>121.18</v>
      </c>
      <c r="C3506" s="8">
        <v>134.1</v>
      </c>
      <c r="D3506" s="8">
        <v>90.37</v>
      </c>
    </row>
    <row r="3507" spans="1:4">
      <c r="A3507" s="7" t="s">
        <v>1507</v>
      </c>
      <c r="B3507" s="8">
        <v>124.11</v>
      </c>
      <c r="C3507" s="8">
        <v>134.1</v>
      </c>
      <c r="D3507" s="8">
        <v>92.55</v>
      </c>
    </row>
    <row r="3508" spans="1:4">
      <c r="A3508" s="7" t="s">
        <v>1508</v>
      </c>
      <c r="B3508" s="8">
        <v>571.86</v>
      </c>
      <c r="C3508" s="8">
        <v>354.8</v>
      </c>
      <c r="D3508" s="8">
        <v>161.18</v>
      </c>
    </row>
    <row r="3509" spans="1:4">
      <c r="A3509" s="7" t="s">
        <v>1509</v>
      </c>
      <c r="B3509" s="8">
        <v>166.17</v>
      </c>
      <c r="C3509" s="8">
        <v>223</v>
      </c>
      <c r="D3509" s="8">
        <v>74.52</v>
      </c>
    </row>
    <row r="3510" spans="1:4">
      <c r="A3510" s="7" t="s">
        <v>1510</v>
      </c>
      <c r="B3510" s="8">
        <v>183.98</v>
      </c>
      <c r="C3510" s="8">
        <v>223.01</v>
      </c>
      <c r="D3510" s="8">
        <v>82.5</v>
      </c>
    </row>
    <row r="3511" spans="1:4">
      <c r="A3511" s="7" t="s">
        <v>1511</v>
      </c>
      <c r="B3511" s="8">
        <v>295</v>
      </c>
      <c r="C3511" s="8">
        <v>223</v>
      </c>
      <c r="D3511" s="8">
        <v>132.29</v>
      </c>
    </row>
    <row r="3512" spans="1:4">
      <c r="A3512" s="7" t="s">
        <v>1512</v>
      </c>
      <c r="B3512" s="8">
        <v>292.17</v>
      </c>
      <c r="C3512" s="8">
        <v>223</v>
      </c>
      <c r="D3512" s="8">
        <v>131.02000000000001</v>
      </c>
    </row>
    <row r="3513" spans="1:4">
      <c r="A3513" s="7" t="s">
        <v>1513</v>
      </c>
      <c r="B3513" s="8">
        <v>183.98</v>
      </c>
      <c r="C3513" s="8">
        <v>223.01</v>
      </c>
      <c r="D3513" s="8">
        <v>82.5</v>
      </c>
    </row>
    <row r="3514" spans="1:4">
      <c r="A3514" s="7" t="s">
        <v>1514</v>
      </c>
      <c r="B3514" s="8">
        <v>166.17</v>
      </c>
      <c r="C3514" s="8">
        <v>223</v>
      </c>
      <c r="D3514" s="8">
        <v>74.52</v>
      </c>
    </row>
    <row r="3515" spans="1:4">
      <c r="A3515" s="7" t="s">
        <v>1515</v>
      </c>
      <c r="B3515" s="8">
        <v>144.28</v>
      </c>
      <c r="C3515" s="8">
        <v>167.95</v>
      </c>
      <c r="D3515" s="8">
        <v>85.91</v>
      </c>
    </row>
    <row r="3516" spans="1:4">
      <c r="A3516" s="7" t="s">
        <v>1516</v>
      </c>
      <c r="B3516" s="8">
        <v>225.85</v>
      </c>
      <c r="C3516" s="8">
        <v>234.1</v>
      </c>
      <c r="D3516" s="8">
        <v>96.47</v>
      </c>
    </row>
    <row r="3517" spans="1:4">
      <c r="A3517" s="7" t="s">
        <v>1517</v>
      </c>
      <c r="B3517" s="8">
        <v>195.23</v>
      </c>
      <c r="C3517" s="8">
        <v>157.94999999999999</v>
      </c>
      <c r="D3517" s="8">
        <v>123.6</v>
      </c>
    </row>
    <row r="3518" spans="1:4">
      <c r="A3518" s="7" t="s">
        <v>1518</v>
      </c>
      <c r="B3518" s="8">
        <v>551.72</v>
      </c>
      <c r="C3518" s="8">
        <v>390</v>
      </c>
      <c r="D3518" s="8">
        <v>141.47</v>
      </c>
    </row>
    <row r="3519" spans="1:4">
      <c r="A3519" s="7" t="s">
        <v>1519</v>
      </c>
      <c r="B3519" s="8">
        <v>215.16</v>
      </c>
      <c r="C3519" s="8">
        <v>165.2</v>
      </c>
      <c r="D3519" s="8">
        <v>130.24</v>
      </c>
    </row>
    <row r="3520" spans="1:4">
      <c r="A3520" s="7" t="s">
        <v>1520</v>
      </c>
      <c r="B3520" s="8">
        <v>242.31</v>
      </c>
      <c r="C3520" s="8">
        <v>192.6</v>
      </c>
      <c r="D3520" s="8">
        <v>125.81</v>
      </c>
    </row>
    <row r="3521" spans="1:4">
      <c r="A3521" s="7" t="s">
        <v>1521</v>
      </c>
      <c r="B3521" s="8">
        <v>249.5</v>
      </c>
      <c r="C3521" s="8">
        <v>240</v>
      </c>
      <c r="D3521" s="8">
        <v>103.96</v>
      </c>
    </row>
    <row r="3522" spans="1:4">
      <c r="A3522" s="7" t="s">
        <v>1522</v>
      </c>
      <c r="B3522" s="8">
        <v>341.95</v>
      </c>
      <c r="C3522" s="8">
        <v>297.60000000000002</v>
      </c>
      <c r="D3522" s="8">
        <v>114.9</v>
      </c>
    </row>
    <row r="3523" spans="1:4">
      <c r="A3523" s="7" t="s">
        <v>1523</v>
      </c>
      <c r="B3523" s="8">
        <v>80</v>
      </c>
      <c r="C3523" s="8">
        <v>80</v>
      </c>
      <c r="D3523" s="8">
        <v>100</v>
      </c>
    </row>
    <row r="3524" spans="1:4">
      <c r="A3524" s="7" t="s">
        <v>1524</v>
      </c>
      <c r="B3524" s="8">
        <v>80</v>
      </c>
      <c r="C3524" s="8">
        <v>80</v>
      </c>
      <c r="D3524" s="8">
        <v>100</v>
      </c>
    </row>
    <row r="3525" spans="1:4">
      <c r="A3525" s="7" t="s">
        <v>1525</v>
      </c>
      <c r="B3525" s="8">
        <v>80</v>
      </c>
      <c r="C3525" s="8">
        <v>80</v>
      </c>
      <c r="D3525" s="8">
        <v>100</v>
      </c>
    </row>
    <row r="3526" spans="1:4">
      <c r="A3526" s="7" t="s">
        <v>1526</v>
      </c>
      <c r="B3526" s="8">
        <v>80</v>
      </c>
      <c r="C3526" s="8">
        <v>80</v>
      </c>
      <c r="D3526" s="8">
        <v>100</v>
      </c>
    </row>
    <row r="3527" spans="1:4">
      <c r="A3527" s="7" t="s">
        <v>1527</v>
      </c>
      <c r="B3527" s="8">
        <v>157.87</v>
      </c>
      <c r="C3527" s="8">
        <v>172.4</v>
      </c>
      <c r="D3527" s="8">
        <v>91.57</v>
      </c>
    </row>
    <row r="3528" spans="1:4">
      <c r="A3528" s="7" t="s">
        <v>1528</v>
      </c>
      <c r="B3528" s="8">
        <v>141.91999999999999</v>
      </c>
      <c r="C3528" s="8">
        <v>180</v>
      </c>
      <c r="D3528" s="8">
        <v>78.849999999999994</v>
      </c>
    </row>
    <row r="3529" spans="1:4">
      <c r="A3529" s="7" t="s">
        <v>1529</v>
      </c>
      <c r="B3529" s="8">
        <v>926</v>
      </c>
      <c r="C3529" s="8">
        <v>1128.31</v>
      </c>
      <c r="D3529" s="8">
        <v>82.07</v>
      </c>
    </row>
    <row r="3530" spans="1:4">
      <c r="A3530" s="7" t="s">
        <v>1530</v>
      </c>
      <c r="B3530" s="8">
        <v>728.4</v>
      </c>
      <c r="C3530" s="8">
        <v>677.21</v>
      </c>
      <c r="D3530" s="8">
        <v>107.56</v>
      </c>
    </row>
    <row r="3531" spans="1:4">
      <c r="A3531" s="7" t="s">
        <v>1531</v>
      </c>
      <c r="B3531" s="8">
        <v>170.71</v>
      </c>
      <c r="C3531" s="8">
        <v>200</v>
      </c>
      <c r="D3531" s="8">
        <v>85.36</v>
      </c>
    </row>
    <row r="3532" spans="1:4">
      <c r="A3532" s="7" t="s">
        <v>1532</v>
      </c>
      <c r="B3532" s="8">
        <v>100</v>
      </c>
      <c r="C3532" s="8">
        <v>100</v>
      </c>
      <c r="D3532" s="8">
        <v>100</v>
      </c>
    </row>
    <row r="3533" spans="1:4">
      <c r="A3533" s="7" t="s">
        <v>1533</v>
      </c>
      <c r="B3533" s="8">
        <v>112.34</v>
      </c>
      <c r="C3533" s="8">
        <v>129.80000000000001</v>
      </c>
      <c r="D3533" s="8">
        <v>86.55</v>
      </c>
    </row>
    <row r="3534" spans="1:4">
      <c r="A3534" s="7" t="s">
        <v>1534</v>
      </c>
      <c r="B3534" s="8">
        <v>118.64</v>
      </c>
      <c r="C3534" s="8">
        <v>145</v>
      </c>
      <c r="D3534" s="8">
        <v>81.819999999999993</v>
      </c>
    </row>
    <row r="3535" spans="1:4">
      <c r="A3535" s="7" t="s">
        <v>1535</v>
      </c>
      <c r="B3535" s="8">
        <v>162.43</v>
      </c>
      <c r="C3535" s="8">
        <v>180</v>
      </c>
      <c r="D3535" s="8">
        <v>90.24</v>
      </c>
    </row>
    <row r="3536" spans="1:4">
      <c r="A3536" s="7" t="s">
        <v>1536</v>
      </c>
      <c r="B3536" s="8">
        <v>361.04</v>
      </c>
      <c r="C3536" s="8">
        <v>300</v>
      </c>
      <c r="D3536" s="8">
        <v>120.35</v>
      </c>
    </row>
    <row r="3537" spans="1:4">
      <c r="A3537" s="7" t="s">
        <v>1537</v>
      </c>
      <c r="B3537" s="8">
        <v>1874.52</v>
      </c>
      <c r="C3537" s="8">
        <v>1919.1</v>
      </c>
      <c r="D3537" s="8">
        <v>97.68</v>
      </c>
    </row>
    <row r="3538" spans="1:4">
      <c r="A3538" s="7" t="s">
        <v>1538</v>
      </c>
      <c r="B3538" s="8">
        <v>172.64</v>
      </c>
      <c r="C3538" s="8">
        <v>155.08000000000001</v>
      </c>
      <c r="D3538" s="8">
        <v>111.32</v>
      </c>
    </row>
    <row r="3539" spans="1:4">
      <c r="A3539" s="7" t="s">
        <v>1539</v>
      </c>
      <c r="B3539" s="8">
        <v>117.51</v>
      </c>
      <c r="C3539" s="8">
        <v>142.28</v>
      </c>
      <c r="D3539" s="8">
        <v>82.59</v>
      </c>
    </row>
    <row r="3540" spans="1:4">
      <c r="A3540" s="7" t="s">
        <v>1540</v>
      </c>
      <c r="B3540" s="8">
        <v>289.36</v>
      </c>
      <c r="C3540" s="8">
        <v>263.8</v>
      </c>
      <c r="D3540" s="8">
        <v>109.69</v>
      </c>
    </row>
    <row r="3541" spans="1:4">
      <c r="A3541" s="7" t="s">
        <v>1541</v>
      </c>
      <c r="B3541" s="8">
        <v>450.23</v>
      </c>
      <c r="C3541" s="8">
        <v>297.60000000000002</v>
      </c>
      <c r="D3541" s="8">
        <v>151.29</v>
      </c>
    </row>
    <row r="3542" spans="1:4">
      <c r="A3542" s="7" t="s">
        <v>1542</v>
      </c>
      <c r="B3542" s="8">
        <v>142.79</v>
      </c>
      <c r="C3542" s="8">
        <v>167.95</v>
      </c>
      <c r="D3542" s="8">
        <v>85.02</v>
      </c>
    </row>
    <row r="3543" spans="1:4">
      <c r="A3543" s="7" t="s">
        <v>1543</v>
      </c>
      <c r="B3543" s="8">
        <v>188.93</v>
      </c>
      <c r="C3543" s="8">
        <v>232.75</v>
      </c>
      <c r="D3543" s="8">
        <v>81.17</v>
      </c>
    </row>
    <row r="3544" spans="1:4">
      <c r="A3544" s="7" t="s">
        <v>1544</v>
      </c>
      <c r="B3544" s="8">
        <v>188.93</v>
      </c>
      <c r="C3544" s="8">
        <v>232.75</v>
      </c>
      <c r="D3544" s="8">
        <v>81.17</v>
      </c>
    </row>
    <row r="3545" spans="1:4">
      <c r="A3545" s="7" t="s">
        <v>1545</v>
      </c>
      <c r="B3545" s="8">
        <v>142.79</v>
      </c>
      <c r="C3545" s="8">
        <v>167.95</v>
      </c>
      <c r="D3545" s="8">
        <v>85.02</v>
      </c>
    </row>
    <row r="3546" spans="1:4">
      <c r="A3546" s="7" t="s">
        <v>1546</v>
      </c>
      <c r="B3546" s="8">
        <v>143.9</v>
      </c>
      <c r="C3546" s="8">
        <v>167.95</v>
      </c>
      <c r="D3546" s="8">
        <v>85.68</v>
      </c>
    </row>
    <row r="3547" spans="1:4">
      <c r="A3547" s="7" t="s">
        <v>1547</v>
      </c>
      <c r="B3547" s="8">
        <v>188.93</v>
      </c>
      <c r="C3547" s="8">
        <v>232.75</v>
      </c>
      <c r="D3547" s="8">
        <v>81.17</v>
      </c>
    </row>
    <row r="3548" spans="1:4">
      <c r="A3548" s="7" t="s">
        <v>1548</v>
      </c>
      <c r="B3548" s="8">
        <v>188.93</v>
      </c>
      <c r="C3548" s="8">
        <v>232.75</v>
      </c>
      <c r="D3548" s="8">
        <v>81.17</v>
      </c>
    </row>
    <row r="3549" spans="1:4">
      <c r="A3549" s="7" t="s">
        <v>1549</v>
      </c>
      <c r="B3549" s="8">
        <v>143.9</v>
      </c>
      <c r="C3549" s="8">
        <v>167.95</v>
      </c>
      <c r="D3549" s="8">
        <v>85.68</v>
      </c>
    </row>
    <row r="3550" spans="1:4">
      <c r="A3550" s="7" t="s">
        <v>1550</v>
      </c>
      <c r="B3550" s="8">
        <v>595.58000000000004</v>
      </c>
      <c r="C3550" s="8">
        <v>240</v>
      </c>
      <c r="D3550" s="8">
        <v>248.16</v>
      </c>
    </row>
    <row r="3551" spans="1:4">
      <c r="A3551" s="7" t="s">
        <v>1551</v>
      </c>
      <c r="B3551" s="8">
        <v>424.96</v>
      </c>
      <c r="C3551" s="8">
        <v>297.60000000000002</v>
      </c>
      <c r="D3551" s="8">
        <v>142.80000000000001</v>
      </c>
    </row>
    <row r="3552" spans="1:4">
      <c r="A3552" s="7" t="s">
        <v>1552</v>
      </c>
      <c r="B3552" s="8">
        <v>171.81</v>
      </c>
      <c r="C3552" s="8">
        <v>155.08000000000001</v>
      </c>
      <c r="D3552" s="8">
        <v>110.79</v>
      </c>
    </row>
    <row r="3553" spans="1:4">
      <c r="A3553" s="7" t="s">
        <v>1553</v>
      </c>
      <c r="B3553" s="8">
        <v>111.69</v>
      </c>
      <c r="C3553" s="8">
        <v>132.44999999999999</v>
      </c>
      <c r="D3553" s="8">
        <v>84.33</v>
      </c>
    </row>
    <row r="3554" spans="1:4">
      <c r="A3554" s="7" t="s">
        <v>1554</v>
      </c>
      <c r="B3554" s="8">
        <v>171.4</v>
      </c>
      <c r="C3554" s="8">
        <v>198.82</v>
      </c>
      <c r="D3554" s="8">
        <v>86.21</v>
      </c>
    </row>
    <row r="3555" spans="1:4">
      <c r="A3555" s="7" t="s">
        <v>1555</v>
      </c>
      <c r="B3555" s="8">
        <v>427.12</v>
      </c>
      <c r="C3555" s="8">
        <v>394.2</v>
      </c>
      <c r="D3555" s="8">
        <v>108.35</v>
      </c>
    </row>
    <row r="3556" spans="1:4">
      <c r="A3556" s="7" t="s">
        <v>1556</v>
      </c>
      <c r="B3556" s="8">
        <v>338.55</v>
      </c>
      <c r="C3556" s="8">
        <v>394.2</v>
      </c>
      <c r="D3556" s="8">
        <v>85.88</v>
      </c>
    </row>
    <row r="3557" spans="1:4">
      <c r="A3557" s="7" t="s">
        <v>1557</v>
      </c>
      <c r="B3557" s="8">
        <v>120.62</v>
      </c>
      <c r="C3557" s="8">
        <v>154.02000000000001</v>
      </c>
      <c r="D3557" s="8">
        <v>78.319999999999993</v>
      </c>
    </row>
    <row r="3558" spans="1:4">
      <c r="A3558" s="7" t="s">
        <v>1558</v>
      </c>
      <c r="B3558" s="8">
        <v>109.68</v>
      </c>
      <c r="C3558" s="8">
        <v>130.44</v>
      </c>
      <c r="D3558" s="8">
        <v>84.08</v>
      </c>
    </row>
    <row r="3559" spans="1:4">
      <c r="A3559" s="7" t="s">
        <v>1559</v>
      </c>
      <c r="B3559" s="8">
        <v>148.33000000000001</v>
      </c>
      <c r="C3559" s="8">
        <v>167.95</v>
      </c>
      <c r="D3559" s="8">
        <v>88.32</v>
      </c>
    </row>
    <row r="3560" spans="1:4">
      <c r="A3560" s="7" t="s">
        <v>1560</v>
      </c>
      <c r="B3560" s="8">
        <v>188.93</v>
      </c>
      <c r="C3560" s="8">
        <v>232.75</v>
      </c>
      <c r="D3560" s="8">
        <v>81.17</v>
      </c>
    </row>
    <row r="3561" spans="1:4">
      <c r="A3561" s="7" t="s">
        <v>1561</v>
      </c>
      <c r="B3561" s="8">
        <v>188.93</v>
      </c>
      <c r="C3561" s="8">
        <v>232.75</v>
      </c>
      <c r="D3561" s="8">
        <v>81.17</v>
      </c>
    </row>
    <row r="3562" spans="1:4">
      <c r="A3562" s="7" t="s">
        <v>1562</v>
      </c>
      <c r="B3562" s="8">
        <v>148.33000000000001</v>
      </c>
      <c r="C3562" s="8">
        <v>167.95</v>
      </c>
      <c r="D3562" s="8">
        <v>88.32</v>
      </c>
    </row>
    <row r="3563" spans="1:4">
      <c r="A3563" s="7" t="s">
        <v>1563</v>
      </c>
      <c r="B3563" s="8">
        <v>148.33000000000001</v>
      </c>
      <c r="C3563" s="8">
        <v>167.95</v>
      </c>
      <c r="D3563" s="8">
        <v>88.32</v>
      </c>
    </row>
    <row r="3564" spans="1:4">
      <c r="A3564" s="7" t="s">
        <v>1564</v>
      </c>
      <c r="B3564" s="8">
        <v>188.93</v>
      </c>
      <c r="C3564" s="8">
        <v>232.75</v>
      </c>
      <c r="D3564" s="8">
        <v>81.17</v>
      </c>
    </row>
    <row r="3565" spans="1:4">
      <c r="A3565" s="7" t="s">
        <v>1565</v>
      </c>
      <c r="B3565" s="8">
        <v>188.93</v>
      </c>
      <c r="C3565" s="8">
        <v>232.75</v>
      </c>
      <c r="D3565" s="8">
        <v>81.17</v>
      </c>
    </row>
    <row r="3566" spans="1:4">
      <c r="A3566" s="7" t="s">
        <v>1566</v>
      </c>
      <c r="B3566" s="8">
        <v>148.33000000000001</v>
      </c>
      <c r="C3566" s="8">
        <v>167.95</v>
      </c>
      <c r="D3566" s="8">
        <v>88.32</v>
      </c>
    </row>
    <row r="3567" spans="1:4">
      <c r="A3567" s="7" t="s">
        <v>1567</v>
      </c>
      <c r="B3567" s="8">
        <v>475.17</v>
      </c>
      <c r="C3567" s="8">
        <v>523.22</v>
      </c>
      <c r="D3567" s="8">
        <v>90.82</v>
      </c>
    </row>
    <row r="3568" spans="1:4">
      <c r="A3568" s="7" t="s">
        <v>1568</v>
      </c>
      <c r="B3568" s="8">
        <v>857.98</v>
      </c>
      <c r="C3568" s="8">
        <v>990.62</v>
      </c>
      <c r="D3568" s="8">
        <v>86.61</v>
      </c>
    </row>
    <row r="3569" spans="1:4">
      <c r="A3569" s="7" t="s">
        <v>1569</v>
      </c>
      <c r="B3569" s="8">
        <v>80</v>
      </c>
      <c r="C3569" s="8">
        <v>80</v>
      </c>
      <c r="D3569" s="8">
        <v>100</v>
      </c>
    </row>
    <row r="3570" spans="1:4">
      <c r="A3570" s="7" t="s">
        <v>1570</v>
      </c>
      <c r="B3570" s="8">
        <v>80</v>
      </c>
      <c r="C3570" s="8">
        <v>80</v>
      </c>
      <c r="D3570" s="8">
        <v>100</v>
      </c>
    </row>
    <row r="3571" spans="1:4">
      <c r="A3571" s="7" t="s">
        <v>1571</v>
      </c>
      <c r="B3571" s="8">
        <v>480</v>
      </c>
      <c r="C3571" s="8">
        <v>11693.41</v>
      </c>
      <c r="D3571" s="8">
        <v>4.0999999999999996</v>
      </c>
    </row>
    <row r="3572" spans="1:4">
      <c r="A3572" s="7" t="s">
        <v>1572</v>
      </c>
      <c r="B3572" s="8">
        <v>390.19</v>
      </c>
      <c r="C3572" s="8">
        <v>401.15</v>
      </c>
      <c r="D3572" s="8">
        <v>97.27</v>
      </c>
    </row>
    <row r="3573" spans="1:4">
      <c r="A3573" s="7" t="s">
        <v>1573</v>
      </c>
      <c r="B3573" s="8">
        <v>6999.57</v>
      </c>
      <c r="C3573" s="8">
        <v>645</v>
      </c>
      <c r="D3573" s="8">
        <v>1085.2</v>
      </c>
    </row>
    <row r="3574" spans="1:4">
      <c r="A3574" s="7" t="s">
        <v>1574</v>
      </c>
      <c r="B3574" s="8">
        <v>958.37</v>
      </c>
      <c r="C3574" s="8">
        <v>789.8</v>
      </c>
      <c r="D3574" s="8">
        <v>121.34</v>
      </c>
    </row>
    <row r="3575" spans="1:4">
      <c r="A3575" s="7" t="s">
        <v>1575</v>
      </c>
      <c r="B3575" s="8">
        <v>108.27</v>
      </c>
      <c r="C3575" s="8">
        <v>134.1</v>
      </c>
      <c r="D3575" s="8">
        <v>80.739999999999995</v>
      </c>
    </row>
    <row r="3576" spans="1:4">
      <c r="A3576" s="7" t="s">
        <v>1576</v>
      </c>
      <c r="B3576" s="8">
        <v>108.27</v>
      </c>
      <c r="C3576" s="8">
        <v>134.1</v>
      </c>
      <c r="D3576" s="8">
        <v>80.739999999999995</v>
      </c>
    </row>
    <row r="3577" spans="1:4">
      <c r="A3577" s="7" t="s">
        <v>1577</v>
      </c>
      <c r="B3577" s="8">
        <v>822.13</v>
      </c>
      <c r="C3577" s="8">
        <v>910</v>
      </c>
      <c r="D3577" s="8">
        <v>90.34</v>
      </c>
    </row>
    <row r="3578" spans="1:4">
      <c r="A3578" s="7" t="s">
        <v>1578</v>
      </c>
      <c r="B3578" s="8">
        <v>116.58</v>
      </c>
      <c r="C3578" s="8">
        <v>144.25</v>
      </c>
      <c r="D3578" s="8">
        <v>80.819999999999993</v>
      </c>
    </row>
    <row r="3579" spans="1:4">
      <c r="A3579" s="7" t="s">
        <v>1579</v>
      </c>
      <c r="B3579" s="8">
        <v>296.87</v>
      </c>
      <c r="C3579" s="8">
        <v>223.01</v>
      </c>
      <c r="D3579" s="8">
        <v>133.12</v>
      </c>
    </row>
    <row r="3580" spans="1:4">
      <c r="A3580" s="7" t="s">
        <v>1580</v>
      </c>
      <c r="B3580" s="8">
        <v>600.9</v>
      </c>
      <c r="C3580" s="8">
        <v>433.22</v>
      </c>
      <c r="D3580" s="8">
        <v>138.71</v>
      </c>
    </row>
    <row r="3581" spans="1:4">
      <c r="A3581" s="7" t="s">
        <v>1581</v>
      </c>
      <c r="B3581" s="8">
        <v>448.52</v>
      </c>
      <c r="C3581" s="8">
        <v>433.22</v>
      </c>
      <c r="D3581" s="8">
        <v>103.53</v>
      </c>
    </row>
    <row r="3582" spans="1:4">
      <c r="A3582" s="7" t="s">
        <v>1582</v>
      </c>
      <c r="B3582" s="8">
        <v>304.86</v>
      </c>
      <c r="C3582" s="8">
        <v>221</v>
      </c>
      <c r="D3582" s="8">
        <v>137.94</v>
      </c>
    </row>
    <row r="3583" spans="1:4">
      <c r="A3583" s="7" t="s">
        <v>1583</v>
      </c>
      <c r="B3583" s="8">
        <v>114.57</v>
      </c>
      <c r="C3583" s="8">
        <v>142.24</v>
      </c>
      <c r="D3583" s="8">
        <v>80.55</v>
      </c>
    </row>
    <row r="3584" spans="1:4">
      <c r="A3584" s="7" t="s">
        <v>1584</v>
      </c>
      <c r="B3584" s="8">
        <v>112.62</v>
      </c>
      <c r="C3584" s="8">
        <v>116.33</v>
      </c>
      <c r="D3584" s="8">
        <v>96.81</v>
      </c>
    </row>
    <row r="3585" spans="1:4">
      <c r="A3585" s="7" t="s">
        <v>1585</v>
      </c>
      <c r="B3585" s="8">
        <v>108.27</v>
      </c>
      <c r="C3585" s="8">
        <v>134.1</v>
      </c>
      <c r="D3585" s="8">
        <v>80.739999999999995</v>
      </c>
    </row>
    <row r="3586" spans="1:4">
      <c r="A3586" s="7" t="s">
        <v>1586</v>
      </c>
      <c r="B3586" s="8">
        <v>108.27</v>
      </c>
      <c r="C3586" s="8">
        <v>134.1</v>
      </c>
      <c r="D3586" s="8">
        <v>80.739999999999995</v>
      </c>
    </row>
    <row r="3587" spans="1:4">
      <c r="A3587" s="7" t="s">
        <v>1587</v>
      </c>
      <c r="B3587" s="8">
        <v>828.43</v>
      </c>
      <c r="C3587" s="8">
        <v>296.33</v>
      </c>
      <c r="D3587" s="8">
        <v>279.56</v>
      </c>
    </row>
    <row r="3588" spans="1:4">
      <c r="A3588" s="7" t="s">
        <v>1588</v>
      </c>
      <c r="B3588" s="8">
        <v>80</v>
      </c>
      <c r="C3588" s="8">
        <v>80</v>
      </c>
      <c r="D3588" s="8">
        <v>100</v>
      </c>
    </row>
    <row r="3589" spans="1:4">
      <c r="A3589" s="7" t="s">
        <v>1589</v>
      </c>
      <c r="B3589" s="8">
        <v>80</v>
      </c>
      <c r="C3589" s="8">
        <v>80</v>
      </c>
      <c r="D3589" s="8">
        <v>100</v>
      </c>
    </row>
    <row r="3590" spans="1:4">
      <c r="A3590" s="7" t="s">
        <v>1590</v>
      </c>
      <c r="B3590" s="8">
        <v>80</v>
      </c>
      <c r="C3590" s="8">
        <v>80</v>
      </c>
      <c r="D3590" s="8">
        <v>100</v>
      </c>
    </row>
    <row r="3591" spans="1:4">
      <c r="A3591" s="7" t="s">
        <v>1591</v>
      </c>
      <c r="B3591" s="8">
        <v>80</v>
      </c>
      <c r="C3591" s="8">
        <v>80</v>
      </c>
      <c r="D3591" s="8">
        <v>100</v>
      </c>
    </row>
    <row r="3592" spans="1:4">
      <c r="A3592" s="7" t="s">
        <v>1592</v>
      </c>
      <c r="B3592" s="8">
        <v>80</v>
      </c>
      <c r="C3592" s="8">
        <v>80</v>
      </c>
      <c r="D3592" s="8">
        <v>100</v>
      </c>
    </row>
    <row r="3593" spans="1:4">
      <c r="A3593" s="7" t="s">
        <v>1593</v>
      </c>
      <c r="B3593" s="8">
        <v>80</v>
      </c>
      <c r="C3593" s="8">
        <v>80</v>
      </c>
      <c r="D3593" s="8">
        <v>100</v>
      </c>
    </row>
    <row r="3594" spans="1:4">
      <c r="A3594" s="7" t="s">
        <v>1594</v>
      </c>
      <c r="B3594" s="8">
        <v>80</v>
      </c>
      <c r="C3594" s="8">
        <v>80</v>
      </c>
      <c r="D3594" s="8">
        <v>100</v>
      </c>
    </row>
    <row r="3595" spans="1:4">
      <c r="A3595" s="7" t="s">
        <v>1595</v>
      </c>
      <c r="B3595" s="8">
        <v>80</v>
      </c>
      <c r="C3595" s="8">
        <v>80</v>
      </c>
      <c r="D3595" s="8">
        <v>100</v>
      </c>
    </row>
    <row r="3596" spans="1:4">
      <c r="A3596" s="7" t="s">
        <v>1596</v>
      </c>
      <c r="B3596" s="8">
        <v>80</v>
      </c>
      <c r="C3596" s="8">
        <v>80</v>
      </c>
      <c r="D3596" s="8">
        <v>100</v>
      </c>
    </row>
    <row r="3597" spans="1:4">
      <c r="A3597" s="7" t="s">
        <v>1597</v>
      </c>
      <c r="B3597" s="8">
        <v>80</v>
      </c>
      <c r="C3597" s="8">
        <v>80</v>
      </c>
      <c r="D3597" s="8">
        <v>100</v>
      </c>
    </row>
    <row r="3598" spans="1:4">
      <c r="A3598" s="7" t="s">
        <v>1598</v>
      </c>
      <c r="B3598" s="8">
        <v>80</v>
      </c>
      <c r="C3598" s="8">
        <v>80</v>
      </c>
      <c r="D3598" s="8">
        <v>100</v>
      </c>
    </row>
    <row r="3599" spans="1:4">
      <c r="A3599" s="7" t="s">
        <v>1599</v>
      </c>
      <c r="B3599" s="8">
        <v>80</v>
      </c>
      <c r="C3599" s="8">
        <v>80</v>
      </c>
      <c r="D3599" s="8">
        <v>100</v>
      </c>
    </row>
    <row r="3600" spans="1:4">
      <c r="A3600" s="7" t="s">
        <v>1600</v>
      </c>
      <c r="B3600" s="8">
        <v>116.58</v>
      </c>
      <c r="C3600" s="8">
        <v>144.25</v>
      </c>
      <c r="D3600" s="8">
        <v>80.819999999999993</v>
      </c>
    </row>
    <row r="3601" spans="1:4">
      <c r="A3601" s="7" t="s">
        <v>1601</v>
      </c>
      <c r="B3601" s="8">
        <v>193.36</v>
      </c>
      <c r="C3601" s="8">
        <v>223.01</v>
      </c>
      <c r="D3601" s="8">
        <v>86.71</v>
      </c>
    </row>
    <row r="3602" spans="1:4">
      <c r="A3602" s="7" t="s">
        <v>1602</v>
      </c>
      <c r="B3602" s="8">
        <v>440.25</v>
      </c>
      <c r="C3602" s="8">
        <v>433.22</v>
      </c>
      <c r="D3602" s="8">
        <v>101.62</v>
      </c>
    </row>
    <row r="3603" spans="1:4">
      <c r="A3603" s="7" t="s">
        <v>1603</v>
      </c>
      <c r="B3603" s="8">
        <v>449.34</v>
      </c>
      <c r="C3603" s="8">
        <v>433.22</v>
      </c>
      <c r="D3603" s="8">
        <v>103.72</v>
      </c>
    </row>
    <row r="3604" spans="1:4">
      <c r="A3604" s="7" t="s">
        <v>1604</v>
      </c>
      <c r="B3604" s="8">
        <v>184.53</v>
      </c>
      <c r="C3604" s="8">
        <v>221</v>
      </c>
      <c r="D3604" s="8">
        <v>83.5</v>
      </c>
    </row>
    <row r="3605" spans="1:4">
      <c r="A3605" s="7" t="s">
        <v>1605</v>
      </c>
      <c r="B3605" s="8">
        <v>114.57</v>
      </c>
      <c r="C3605" s="8">
        <v>142.24</v>
      </c>
      <c r="D3605" s="8">
        <v>80.55</v>
      </c>
    </row>
    <row r="3606" spans="1:4">
      <c r="A3606" s="7" t="s">
        <v>1606</v>
      </c>
      <c r="B3606" s="8">
        <v>80</v>
      </c>
      <c r="C3606" s="8">
        <v>80</v>
      </c>
      <c r="D3606" s="8">
        <v>100</v>
      </c>
    </row>
    <row r="3607" spans="1:4">
      <c r="A3607" s="7" t="s">
        <v>1607</v>
      </c>
      <c r="B3607" s="8">
        <v>80</v>
      </c>
      <c r="C3607" s="8">
        <v>80</v>
      </c>
      <c r="D3607" s="8">
        <v>100</v>
      </c>
    </row>
    <row r="3608" spans="1:4">
      <c r="A3608" s="7" t="s">
        <v>1608</v>
      </c>
      <c r="B3608" s="8">
        <v>80</v>
      </c>
      <c r="C3608" s="8">
        <v>80</v>
      </c>
      <c r="D3608" s="8">
        <v>100</v>
      </c>
    </row>
    <row r="3609" spans="1:4">
      <c r="A3609" s="7" t="s">
        <v>1609</v>
      </c>
      <c r="B3609" s="8">
        <v>80</v>
      </c>
      <c r="C3609" s="8">
        <v>80</v>
      </c>
      <c r="D3609" s="8">
        <v>100</v>
      </c>
    </row>
    <row r="3610" spans="1:4">
      <c r="A3610" s="7" t="s">
        <v>1610</v>
      </c>
      <c r="B3610" s="8">
        <v>249.5</v>
      </c>
      <c r="C3610" s="8">
        <v>240</v>
      </c>
      <c r="D3610" s="8">
        <v>103.96</v>
      </c>
    </row>
    <row r="3611" spans="1:4">
      <c r="A3611" s="7" t="s">
        <v>1611</v>
      </c>
      <c r="B3611" s="8">
        <v>239.02</v>
      </c>
      <c r="C3611" s="8">
        <v>297.60000000000002</v>
      </c>
      <c r="D3611" s="8">
        <v>80.319999999999993</v>
      </c>
    </row>
    <row r="3612" spans="1:4">
      <c r="A3612" s="7" t="s">
        <v>1612</v>
      </c>
      <c r="B3612" s="8">
        <v>148.33000000000001</v>
      </c>
      <c r="C3612" s="8">
        <v>167.95</v>
      </c>
      <c r="D3612" s="8">
        <v>88.32</v>
      </c>
    </row>
    <row r="3613" spans="1:4">
      <c r="A3613" s="7" t="s">
        <v>1613</v>
      </c>
      <c r="B3613" s="8">
        <v>188.93</v>
      </c>
      <c r="C3613" s="8">
        <v>232.75</v>
      </c>
      <c r="D3613" s="8">
        <v>81.17</v>
      </c>
    </row>
    <row r="3614" spans="1:4">
      <c r="A3614" s="7" t="s">
        <v>1614</v>
      </c>
      <c r="B3614" s="8">
        <v>188.93</v>
      </c>
      <c r="C3614" s="8">
        <v>232.75</v>
      </c>
      <c r="D3614" s="8">
        <v>81.17</v>
      </c>
    </row>
    <row r="3615" spans="1:4">
      <c r="A3615" s="7" t="s">
        <v>1615</v>
      </c>
      <c r="B3615" s="8">
        <v>148.33000000000001</v>
      </c>
      <c r="C3615" s="8">
        <v>167.95</v>
      </c>
      <c r="D3615" s="8">
        <v>88.32</v>
      </c>
    </row>
    <row r="3616" spans="1:4">
      <c r="A3616" s="7" t="s">
        <v>1616</v>
      </c>
      <c r="B3616" s="8">
        <v>143.96</v>
      </c>
      <c r="C3616" s="8">
        <v>167.95</v>
      </c>
      <c r="D3616" s="8">
        <v>85.72</v>
      </c>
    </row>
    <row r="3617" spans="1:4">
      <c r="A3617" s="7" t="s">
        <v>1617</v>
      </c>
      <c r="B3617" s="8">
        <v>188.93</v>
      </c>
      <c r="C3617" s="8">
        <v>232.75</v>
      </c>
      <c r="D3617" s="8">
        <v>81.17</v>
      </c>
    </row>
    <row r="3618" spans="1:4">
      <c r="A3618" s="7" t="s">
        <v>1618</v>
      </c>
      <c r="B3618" s="8">
        <v>188.93</v>
      </c>
      <c r="C3618" s="8">
        <v>232.75</v>
      </c>
      <c r="D3618" s="8">
        <v>81.17</v>
      </c>
    </row>
    <row r="3619" spans="1:4">
      <c r="A3619" s="7" t="s">
        <v>1619</v>
      </c>
      <c r="B3619" s="8">
        <v>143.63999999999999</v>
      </c>
      <c r="C3619" s="8">
        <v>167.95</v>
      </c>
      <c r="D3619" s="8">
        <v>85.53</v>
      </c>
    </row>
    <row r="3620" spans="1:4">
      <c r="A3620" s="7" t="s">
        <v>1620</v>
      </c>
      <c r="B3620" s="8">
        <v>143.96</v>
      </c>
      <c r="C3620" s="8">
        <v>167.95</v>
      </c>
      <c r="D3620" s="8">
        <v>85.72</v>
      </c>
    </row>
    <row r="3621" spans="1:4">
      <c r="A3621" s="7" t="s">
        <v>1621</v>
      </c>
      <c r="B3621" s="8">
        <v>188.93</v>
      </c>
      <c r="C3621" s="8">
        <v>232.75</v>
      </c>
      <c r="D3621" s="8">
        <v>81.17</v>
      </c>
    </row>
    <row r="3622" spans="1:4">
      <c r="A3622" s="7" t="s">
        <v>1622</v>
      </c>
      <c r="B3622" s="8">
        <v>188.93</v>
      </c>
      <c r="C3622" s="8">
        <v>232.75</v>
      </c>
      <c r="D3622" s="8">
        <v>81.17</v>
      </c>
    </row>
    <row r="3623" spans="1:4">
      <c r="A3623" s="7" t="s">
        <v>1623</v>
      </c>
      <c r="B3623" s="8">
        <v>143.63999999999999</v>
      </c>
      <c r="C3623" s="8">
        <v>167.95</v>
      </c>
      <c r="D3623" s="8">
        <v>85.53</v>
      </c>
    </row>
    <row r="3624" spans="1:4">
      <c r="A3624" s="7" t="s">
        <v>1624</v>
      </c>
      <c r="B3624" s="8">
        <v>143.96</v>
      </c>
      <c r="C3624" s="8">
        <v>167.95</v>
      </c>
      <c r="D3624" s="8">
        <v>85.72</v>
      </c>
    </row>
    <row r="3625" spans="1:4">
      <c r="A3625" s="7" t="s">
        <v>1625</v>
      </c>
      <c r="B3625" s="8">
        <v>188.93</v>
      </c>
      <c r="C3625" s="8">
        <v>232.75</v>
      </c>
      <c r="D3625" s="8">
        <v>81.17</v>
      </c>
    </row>
    <row r="3626" spans="1:4">
      <c r="A3626" s="7" t="s">
        <v>1626</v>
      </c>
      <c r="B3626" s="8">
        <v>188.93</v>
      </c>
      <c r="C3626" s="8">
        <v>232.75</v>
      </c>
      <c r="D3626" s="8">
        <v>81.17</v>
      </c>
    </row>
    <row r="3627" spans="1:4">
      <c r="A3627" s="7" t="s">
        <v>1627</v>
      </c>
      <c r="B3627" s="8">
        <v>143.63999999999999</v>
      </c>
      <c r="C3627" s="8">
        <v>167.95</v>
      </c>
      <c r="D3627" s="8">
        <v>85.53</v>
      </c>
    </row>
    <row r="3628" spans="1:4">
      <c r="A3628" s="7" t="s">
        <v>1628</v>
      </c>
      <c r="B3628" s="8">
        <v>320.66000000000003</v>
      </c>
      <c r="C3628" s="8">
        <v>150</v>
      </c>
      <c r="D3628" s="8">
        <v>213.78</v>
      </c>
    </row>
    <row r="3629" spans="1:4">
      <c r="A3629" s="7" t="s">
        <v>1629</v>
      </c>
      <c r="B3629" s="8">
        <v>227.34</v>
      </c>
      <c r="C3629" s="8">
        <v>202.6</v>
      </c>
      <c r="D3629" s="8">
        <v>112.21</v>
      </c>
    </row>
    <row r="3630" spans="1:4">
      <c r="A3630" s="7" t="s">
        <v>1630</v>
      </c>
      <c r="B3630" s="8">
        <v>80</v>
      </c>
      <c r="C3630" s="8">
        <v>80</v>
      </c>
      <c r="D3630" s="8">
        <v>100</v>
      </c>
    </row>
    <row r="3631" spans="1:4">
      <c r="A3631" s="7" t="s">
        <v>1631</v>
      </c>
      <c r="B3631" s="8">
        <v>80</v>
      </c>
      <c r="C3631" s="8">
        <v>80</v>
      </c>
      <c r="D3631" s="8">
        <v>100</v>
      </c>
    </row>
    <row r="3632" spans="1:4">
      <c r="A3632" s="7" t="s">
        <v>1632</v>
      </c>
      <c r="B3632" s="8">
        <v>80</v>
      </c>
      <c r="C3632" s="8">
        <v>80</v>
      </c>
      <c r="D3632" s="8">
        <v>100</v>
      </c>
    </row>
    <row r="3633" spans="1:4">
      <c r="A3633" s="7" t="s">
        <v>1633</v>
      </c>
      <c r="B3633" s="8">
        <v>80</v>
      </c>
      <c r="C3633" s="8">
        <v>80</v>
      </c>
      <c r="D3633" s="8">
        <v>100</v>
      </c>
    </row>
    <row r="3634" spans="1:4">
      <c r="A3634" s="7" t="s">
        <v>1634</v>
      </c>
      <c r="B3634" s="8">
        <v>144.28</v>
      </c>
      <c r="C3634" s="8">
        <v>167.95</v>
      </c>
      <c r="D3634" s="8">
        <v>85.91</v>
      </c>
    </row>
    <row r="3635" spans="1:4">
      <c r="A3635" s="7" t="s">
        <v>1635</v>
      </c>
      <c r="B3635" s="8">
        <v>188.93</v>
      </c>
      <c r="C3635" s="8">
        <v>232.75</v>
      </c>
      <c r="D3635" s="8">
        <v>81.17</v>
      </c>
    </row>
    <row r="3636" spans="1:4">
      <c r="A3636" s="7" t="s">
        <v>1636</v>
      </c>
      <c r="B3636" s="8">
        <v>188.93</v>
      </c>
      <c r="C3636" s="8">
        <v>232.75</v>
      </c>
      <c r="D3636" s="8">
        <v>81.17</v>
      </c>
    </row>
    <row r="3637" spans="1:4">
      <c r="A3637" s="7" t="s">
        <v>1637</v>
      </c>
      <c r="B3637" s="8">
        <v>143.96</v>
      </c>
      <c r="C3637" s="8">
        <v>167.95</v>
      </c>
      <c r="D3637" s="8">
        <v>85.72</v>
      </c>
    </row>
    <row r="3638" spans="1:4">
      <c r="A3638" s="7" t="s">
        <v>1638</v>
      </c>
      <c r="B3638" s="8">
        <v>249.5</v>
      </c>
      <c r="C3638" s="8">
        <v>240</v>
      </c>
      <c r="D3638" s="8">
        <v>103.96</v>
      </c>
    </row>
    <row r="3639" spans="1:4">
      <c r="A3639" s="7" t="s">
        <v>1639</v>
      </c>
      <c r="B3639" s="8">
        <v>239.02</v>
      </c>
      <c r="C3639" s="8">
        <v>297.60000000000002</v>
      </c>
      <c r="D3639" s="8">
        <v>80.319999999999993</v>
      </c>
    </row>
    <row r="3640" spans="1:4">
      <c r="A3640" s="7" t="s">
        <v>1640</v>
      </c>
      <c r="B3640" s="8">
        <v>320.98</v>
      </c>
      <c r="C3640" s="8">
        <v>364.8</v>
      </c>
      <c r="D3640" s="8">
        <v>87.99</v>
      </c>
    </row>
    <row r="3641" spans="1:4">
      <c r="A3641" s="7" t="s">
        <v>1641</v>
      </c>
      <c r="B3641" s="8">
        <v>121.18</v>
      </c>
      <c r="C3641" s="8">
        <v>134.1</v>
      </c>
      <c r="D3641" s="8">
        <v>90.37</v>
      </c>
    </row>
    <row r="3642" spans="1:4">
      <c r="A3642" s="7" t="s">
        <v>1642</v>
      </c>
      <c r="B3642" s="8">
        <v>121.18</v>
      </c>
      <c r="C3642" s="8">
        <v>134.1</v>
      </c>
      <c r="D3642" s="8">
        <v>90.37</v>
      </c>
    </row>
    <row r="3643" spans="1:4">
      <c r="A3643" s="7" t="s">
        <v>1643</v>
      </c>
      <c r="B3643" s="8">
        <v>320.98</v>
      </c>
      <c r="C3643" s="8">
        <v>364.8</v>
      </c>
      <c r="D3643" s="8">
        <v>87.99</v>
      </c>
    </row>
    <row r="3644" spans="1:4">
      <c r="A3644" s="7" t="s">
        <v>1644</v>
      </c>
      <c r="B3644" s="8">
        <v>574.79999999999995</v>
      </c>
      <c r="C3644" s="8">
        <v>240</v>
      </c>
      <c r="D3644" s="8">
        <v>239.5</v>
      </c>
    </row>
    <row r="3645" spans="1:4">
      <c r="A3645" s="7" t="s">
        <v>1645</v>
      </c>
      <c r="B3645" s="8">
        <v>424.96</v>
      </c>
      <c r="C3645" s="8">
        <v>297.60000000000002</v>
      </c>
      <c r="D3645" s="8">
        <v>142.80000000000001</v>
      </c>
    </row>
    <row r="3646" spans="1:4">
      <c r="A3646" s="7" t="s">
        <v>1646</v>
      </c>
      <c r="B3646" s="8">
        <v>595.58000000000004</v>
      </c>
      <c r="C3646" s="8">
        <v>240</v>
      </c>
      <c r="D3646" s="8">
        <v>248.16</v>
      </c>
    </row>
    <row r="3647" spans="1:4">
      <c r="A3647" s="7" t="s">
        <v>1647</v>
      </c>
      <c r="B3647" s="8">
        <v>424.96</v>
      </c>
      <c r="C3647" s="8">
        <v>297.60000000000002</v>
      </c>
      <c r="D3647" s="8">
        <v>142.80000000000001</v>
      </c>
    </row>
    <row r="3648" spans="1:4">
      <c r="A3648" s="7" t="s">
        <v>1648</v>
      </c>
      <c r="B3648" s="8">
        <v>117.51</v>
      </c>
      <c r="C3648" s="8">
        <v>142.28</v>
      </c>
      <c r="D3648" s="8">
        <v>82.59</v>
      </c>
    </row>
    <row r="3649" spans="1:4">
      <c r="A3649" s="7" t="s">
        <v>1649</v>
      </c>
      <c r="B3649" s="8">
        <v>595.58000000000004</v>
      </c>
      <c r="C3649" s="8">
        <v>240</v>
      </c>
      <c r="D3649" s="8">
        <v>248.16</v>
      </c>
    </row>
    <row r="3650" spans="1:4">
      <c r="A3650" s="7" t="s">
        <v>1650</v>
      </c>
      <c r="B3650" s="8">
        <v>424.96</v>
      </c>
      <c r="C3650" s="8">
        <v>297.60000000000002</v>
      </c>
      <c r="D3650" s="8">
        <v>142.80000000000001</v>
      </c>
    </row>
    <row r="3651" spans="1:4">
      <c r="A3651" s="7" t="s">
        <v>1651</v>
      </c>
      <c r="B3651" s="8">
        <v>595.58000000000004</v>
      </c>
      <c r="C3651" s="8">
        <v>240</v>
      </c>
      <c r="D3651" s="8">
        <v>248.16</v>
      </c>
    </row>
    <row r="3652" spans="1:4">
      <c r="A3652" s="7" t="s">
        <v>1652</v>
      </c>
      <c r="B3652" s="8">
        <v>424.96</v>
      </c>
      <c r="C3652" s="8">
        <v>297.60000000000002</v>
      </c>
      <c r="D3652" s="8">
        <v>142.80000000000001</v>
      </c>
    </row>
    <row r="3653" spans="1:4">
      <c r="A3653" s="7" t="s">
        <v>1653</v>
      </c>
      <c r="B3653" s="8">
        <v>595.58000000000004</v>
      </c>
      <c r="C3653" s="8">
        <v>240</v>
      </c>
      <c r="D3653" s="8">
        <v>248.16</v>
      </c>
    </row>
    <row r="3654" spans="1:4">
      <c r="A3654" s="7" t="s">
        <v>1654</v>
      </c>
      <c r="B3654" s="8">
        <v>424.96</v>
      </c>
      <c r="C3654" s="8">
        <v>297.60000000000002</v>
      </c>
      <c r="D3654" s="8">
        <v>142.80000000000001</v>
      </c>
    </row>
    <row r="3655" spans="1:4">
      <c r="A3655" s="7" t="s">
        <v>1655</v>
      </c>
      <c r="B3655" s="8">
        <v>607.95000000000005</v>
      </c>
      <c r="C3655" s="8">
        <v>240</v>
      </c>
      <c r="D3655" s="8">
        <v>253.31</v>
      </c>
    </row>
    <row r="3656" spans="1:4">
      <c r="A3656" s="7" t="s">
        <v>1656</v>
      </c>
      <c r="B3656" s="8">
        <v>424.96</v>
      </c>
      <c r="C3656" s="8">
        <v>297.60000000000002</v>
      </c>
      <c r="D3656" s="8">
        <v>142.80000000000001</v>
      </c>
    </row>
    <row r="3657" spans="1:4">
      <c r="A3657" s="7" t="s">
        <v>1657</v>
      </c>
      <c r="B3657" s="8">
        <v>373.06</v>
      </c>
      <c r="C3657" s="8">
        <v>323.35000000000002</v>
      </c>
      <c r="D3657" s="8">
        <v>115.37</v>
      </c>
    </row>
    <row r="3658" spans="1:4">
      <c r="A3658" s="7" t="s">
        <v>1658</v>
      </c>
      <c r="B3658" s="8">
        <v>97.61</v>
      </c>
      <c r="C3658" s="8">
        <v>101.29</v>
      </c>
      <c r="D3658" s="8">
        <v>96.36</v>
      </c>
    </row>
    <row r="3659" spans="1:4">
      <c r="A3659" s="7" t="s">
        <v>1659</v>
      </c>
      <c r="B3659" s="8">
        <v>97.61</v>
      </c>
      <c r="C3659" s="8">
        <v>101.29</v>
      </c>
      <c r="D3659" s="8">
        <v>96.36</v>
      </c>
    </row>
    <row r="3660" spans="1:4">
      <c r="A3660" s="7" t="s">
        <v>1660</v>
      </c>
      <c r="B3660" s="8">
        <v>377.2</v>
      </c>
      <c r="C3660" s="8">
        <v>323.35000000000002</v>
      </c>
      <c r="D3660" s="8">
        <v>116.65</v>
      </c>
    </row>
    <row r="3661" spans="1:4">
      <c r="A3661" s="7" t="s">
        <v>1661</v>
      </c>
      <c r="B3661" s="8">
        <v>4192.91</v>
      </c>
      <c r="C3661" s="8">
        <v>4911.58</v>
      </c>
      <c r="D3661" s="8">
        <v>85.37</v>
      </c>
    </row>
    <row r="3662" spans="1:4">
      <c r="A3662" s="7" t="s">
        <v>1662</v>
      </c>
      <c r="B3662" s="8">
        <v>5745.78</v>
      </c>
      <c r="C3662" s="8">
        <v>5973.16</v>
      </c>
      <c r="D3662" s="8">
        <v>96.19</v>
      </c>
    </row>
    <row r="3663" spans="1:4">
      <c r="A3663" s="7" t="s">
        <v>1663</v>
      </c>
      <c r="B3663" s="8">
        <v>5692.31</v>
      </c>
      <c r="C3663" s="8">
        <v>5788.3</v>
      </c>
      <c r="D3663" s="8">
        <v>98.34</v>
      </c>
    </row>
    <row r="3664" spans="1:4">
      <c r="A3664" s="7" t="s">
        <v>1664</v>
      </c>
      <c r="B3664" s="8">
        <v>16605.23</v>
      </c>
      <c r="C3664" s="8">
        <v>11527.96</v>
      </c>
      <c r="D3664" s="8">
        <v>144.04</v>
      </c>
    </row>
    <row r="3665" spans="1:4">
      <c r="A3665" s="7" t="s">
        <v>1665</v>
      </c>
      <c r="B3665" s="8">
        <v>13626.52</v>
      </c>
      <c r="C3665" s="8">
        <v>11817.67</v>
      </c>
      <c r="D3665" s="8">
        <v>115.31</v>
      </c>
    </row>
    <row r="3666" spans="1:4">
      <c r="A3666" s="7" t="s">
        <v>1666</v>
      </c>
      <c r="B3666" s="8">
        <v>8080.92</v>
      </c>
      <c r="C3666" s="8">
        <v>5702.86</v>
      </c>
      <c r="D3666" s="8">
        <v>141.69999999999999</v>
      </c>
    </row>
    <row r="3667" spans="1:4">
      <c r="A3667" s="7" t="s">
        <v>635</v>
      </c>
      <c r="B3667" s="8">
        <v>14999.99</v>
      </c>
      <c r="C3667" s="8">
        <v>4778.05</v>
      </c>
      <c r="D3667" s="8">
        <v>313.94</v>
      </c>
    </row>
    <row r="3668" spans="1:4">
      <c r="A3668" s="7" t="s">
        <v>594</v>
      </c>
      <c r="B3668" s="8">
        <v>6380.16</v>
      </c>
      <c r="C3668" s="8">
        <v>5913.25</v>
      </c>
      <c r="D3668" s="8">
        <v>107.9</v>
      </c>
    </row>
    <row r="3669" spans="1:4">
      <c r="A3669" s="7" t="s">
        <v>1667</v>
      </c>
      <c r="B3669" s="8">
        <v>13306.85</v>
      </c>
      <c r="C3669" s="8">
        <v>12037.99</v>
      </c>
      <c r="D3669" s="8">
        <v>110.54</v>
      </c>
    </row>
    <row r="3670" spans="1:4">
      <c r="A3670" s="7" t="s">
        <v>1668</v>
      </c>
      <c r="B3670" s="8">
        <v>10108.540000000001</v>
      </c>
      <c r="C3670" s="8">
        <v>11431.49</v>
      </c>
      <c r="D3670" s="8">
        <v>88.43</v>
      </c>
    </row>
    <row r="3671" spans="1:4">
      <c r="A3671" s="7" t="s">
        <v>1669</v>
      </c>
      <c r="B3671" s="8">
        <v>9556.75</v>
      </c>
      <c r="C3671" s="8">
        <v>9932.99</v>
      </c>
      <c r="D3671" s="8">
        <v>96.21</v>
      </c>
    </row>
    <row r="3672" spans="1:4">
      <c r="A3672" s="7" t="s">
        <v>616</v>
      </c>
      <c r="B3672" s="8">
        <v>15999.55</v>
      </c>
      <c r="C3672" s="8">
        <v>10485.15</v>
      </c>
      <c r="D3672" s="8">
        <v>152.59</v>
      </c>
    </row>
    <row r="3673" spans="1:4">
      <c r="A3673" s="7" t="s">
        <v>637</v>
      </c>
      <c r="B3673" s="8">
        <v>15000.16</v>
      </c>
      <c r="C3673" s="8">
        <v>10635.04</v>
      </c>
      <c r="D3673" s="8">
        <v>141.04</v>
      </c>
    </row>
    <row r="3674" spans="1:4">
      <c r="A3674" s="7" t="s">
        <v>596</v>
      </c>
      <c r="B3674" s="8">
        <v>19499.38</v>
      </c>
      <c r="C3674" s="8">
        <v>11293.65</v>
      </c>
      <c r="D3674" s="8">
        <v>172.66</v>
      </c>
    </row>
    <row r="3675" spans="1:4">
      <c r="A3675" s="7" t="s">
        <v>1670</v>
      </c>
      <c r="B3675" s="8">
        <v>2365.5100000000002</v>
      </c>
      <c r="C3675" s="8">
        <v>1377.05</v>
      </c>
      <c r="D3675" s="8">
        <v>171.78</v>
      </c>
    </row>
    <row r="3676" spans="1:4">
      <c r="A3676" s="7" t="s">
        <v>1671</v>
      </c>
      <c r="B3676" s="8">
        <v>197.77</v>
      </c>
      <c r="C3676" s="8">
        <v>493.27</v>
      </c>
      <c r="D3676" s="8">
        <v>40.090000000000003</v>
      </c>
    </row>
    <row r="3677" spans="1:4">
      <c r="A3677" s="7" t="s">
        <v>1672</v>
      </c>
      <c r="B3677" s="8">
        <v>693.81</v>
      </c>
      <c r="C3677" s="8">
        <v>614.64</v>
      </c>
      <c r="D3677" s="8">
        <v>112.88</v>
      </c>
    </row>
    <row r="3678" spans="1:4">
      <c r="A3678" s="7" t="s">
        <v>1673</v>
      </c>
      <c r="B3678" s="8">
        <v>134.66999999999999</v>
      </c>
      <c r="C3678" s="8">
        <v>134.69</v>
      </c>
      <c r="D3678" s="8">
        <v>99.98</v>
      </c>
    </row>
    <row r="3679" spans="1:4">
      <c r="A3679" s="7" t="s">
        <v>1674</v>
      </c>
      <c r="B3679" s="8">
        <v>693.81</v>
      </c>
      <c r="C3679" s="8">
        <v>614.64</v>
      </c>
      <c r="D3679" s="8">
        <v>112.88</v>
      </c>
    </row>
    <row r="3680" spans="1:4">
      <c r="A3680" s="7" t="s">
        <v>1675</v>
      </c>
      <c r="B3680" s="8">
        <v>134.61000000000001</v>
      </c>
      <c r="C3680" s="8">
        <v>134.61000000000001</v>
      </c>
      <c r="D3680" s="8">
        <v>100</v>
      </c>
    </row>
    <row r="3681" spans="1:4">
      <c r="A3681" s="7" t="s">
        <v>1676</v>
      </c>
      <c r="B3681" s="8">
        <v>975.47</v>
      </c>
      <c r="C3681" s="8">
        <v>914.51</v>
      </c>
      <c r="D3681" s="8">
        <v>106.67</v>
      </c>
    </row>
    <row r="3682" spans="1:4">
      <c r="A3682" s="7" t="s">
        <v>1677</v>
      </c>
      <c r="B3682" s="8">
        <v>828.28</v>
      </c>
      <c r="C3682" s="8">
        <v>823.93</v>
      </c>
      <c r="D3682" s="8">
        <v>100.53</v>
      </c>
    </row>
    <row r="3683" spans="1:4">
      <c r="A3683" s="7" t="s">
        <v>1678</v>
      </c>
      <c r="B3683" s="8">
        <v>431.65</v>
      </c>
      <c r="C3683" s="8">
        <v>342.99</v>
      </c>
      <c r="D3683" s="8">
        <v>125.85</v>
      </c>
    </row>
    <row r="3684" spans="1:4">
      <c r="A3684" s="7" t="s">
        <v>1679</v>
      </c>
      <c r="B3684" s="8">
        <v>701.52</v>
      </c>
      <c r="C3684" s="8">
        <v>340.98</v>
      </c>
      <c r="D3684" s="8">
        <v>205.74</v>
      </c>
    </row>
    <row r="3685" spans="1:4">
      <c r="A3685" s="7" t="s">
        <v>1680</v>
      </c>
      <c r="B3685" s="8">
        <v>225.4</v>
      </c>
      <c r="C3685" s="8">
        <v>225.4</v>
      </c>
      <c r="D3685" s="8">
        <v>100</v>
      </c>
    </row>
    <row r="3686" spans="1:4">
      <c r="A3686" s="7" t="s">
        <v>1681</v>
      </c>
      <c r="B3686" s="8">
        <v>70</v>
      </c>
      <c r="C3686" s="8">
        <v>70</v>
      </c>
      <c r="D3686" s="8">
        <v>100</v>
      </c>
    </row>
    <row r="3687" spans="1:4">
      <c r="A3687" s="7" t="s">
        <v>1682</v>
      </c>
      <c r="B3687" s="8">
        <v>70</v>
      </c>
      <c r="C3687" s="8">
        <v>70</v>
      </c>
      <c r="D3687" s="8">
        <v>100</v>
      </c>
    </row>
    <row r="3688" spans="1:4">
      <c r="A3688" s="7" t="s">
        <v>1683</v>
      </c>
      <c r="B3688" s="8">
        <v>471.65</v>
      </c>
      <c r="C3688" s="8">
        <v>373.08</v>
      </c>
      <c r="D3688" s="8">
        <v>126.42</v>
      </c>
    </row>
    <row r="3689" spans="1:4">
      <c r="A3689" s="7" t="s">
        <v>1684</v>
      </c>
      <c r="B3689" s="8">
        <v>198.47</v>
      </c>
      <c r="C3689" s="8">
        <v>220.4</v>
      </c>
      <c r="D3689" s="8">
        <v>90.05</v>
      </c>
    </row>
    <row r="3690" spans="1:4">
      <c r="A3690" s="7" t="s">
        <v>1685</v>
      </c>
      <c r="B3690" s="8">
        <v>82.15</v>
      </c>
      <c r="C3690" s="8">
        <v>85.2</v>
      </c>
      <c r="D3690" s="8">
        <v>96.42</v>
      </c>
    </row>
    <row r="3691" spans="1:4">
      <c r="A3691" s="7" t="s">
        <v>1686</v>
      </c>
      <c r="B3691" s="8">
        <v>913.77</v>
      </c>
      <c r="C3691" s="8">
        <v>860.08</v>
      </c>
      <c r="D3691" s="8">
        <v>106.24</v>
      </c>
    </row>
    <row r="3692" spans="1:4">
      <c r="A3692" s="7" t="s">
        <v>1687</v>
      </c>
      <c r="B3692" s="8">
        <v>524.92999999999995</v>
      </c>
      <c r="C3692" s="8">
        <v>555</v>
      </c>
      <c r="D3692" s="8">
        <v>94.58</v>
      </c>
    </row>
    <row r="3693" spans="1:4">
      <c r="A3693" s="7" t="s">
        <v>1688</v>
      </c>
      <c r="B3693" s="8">
        <v>179.28</v>
      </c>
      <c r="C3693" s="8">
        <v>220.4</v>
      </c>
      <c r="D3693" s="8">
        <v>81.34</v>
      </c>
    </row>
    <row r="3694" spans="1:4">
      <c r="A3694" s="7" t="s">
        <v>1689</v>
      </c>
      <c r="B3694" s="8">
        <v>82.15</v>
      </c>
      <c r="C3694" s="8">
        <v>85.2</v>
      </c>
      <c r="D3694" s="8">
        <v>96.42</v>
      </c>
    </row>
    <row r="3695" spans="1:4">
      <c r="A3695" s="7" t="s">
        <v>1690</v>
      </c>
      <c r="B3695" s="8">
        <v>55.2</v>
      </c>
      <c r="C3695" s="8">
        <v>55.2</v>
      </c>
      <c r="D3695" s="8">
        <v>100</v>
      </c>
    </row>
    <row r="3696" spans="1:4">
      <c r="A3696" s="7" t="s">
        <v>1691</v>
      </c>
      <c r="B3696" s="8">
        <v>135.63999999999999</v>
      </c>
      <c r="C3696" s="8">
        <v>150.4</v>
      </c>
      <c r="D3696" s="8">
        <v>90.18</v>
      </c>
    </row>
    <row r="3697" spans="1:4">
      <c r="A3697" s="7" t="s">
        <v>1692</v>
      </c>
      <c r="B3697" s="8">
        <v>80</v>
      </c>
      <c r="C3697" s="8">
        <v>80</v>
      </c>
      <c r="D3697" s="8">
        <v>100</v>
      </c>
    </row>
    <row r="3698" spans="1:4">
      <c r="A3698" s="7" t="s">
        <v>1693</v>
      </c>
      <c r="B3698" s="8">
        <v>135.63999999999999</v>
      </c>
      <c r="C3698" s="8">
        <v>150.4</v>
      </c>
      <c r="D3698" s="8">
        <v>90.18</v>
      </c>
    </row>
    <row r="3699" spans="1:4">
      <c r="A3699" s="7" t="s">
        <v>1694</v>
      </c>
      <c r="B3699" s="8">
        <v>80</v>
      </c>
      <c r="C3699" s="8">
        <v>80</v>
      </c>
      <c r="D3699" s="8">
        <v>100</v>
      </c>
    </row>
    <row r="3700" spans="1:4">
      <c r="A3700" s="7" t="s">
        <v>1695</v>
      </c>
      <c r="B3700" s="8">
        <v>108.48</v>
      </c>
      <c r="C3700" s="8">
        <v>120.2</v>
      </c>
      <c r="D3700" s="8">
        <v>90.25</v>
      </c>
    </row>
    <row r="3701" spans="1:4">
      <c r="A3701" s="7" t="s">
        <v>1696</v>
      </c>
      <c r="B3701" s="8">
        <v>92.87</v>
      </c>
      <c r="C3701" s="8">
        <v>95.92</v>
      </c>
      <c r="D3701" s="8">
        <v>96.82</v>
      </c>
    </row>
    <row r="3702" spans="1:4">
      <c r="A3702" s="7" t="s">
        <v>1697</v>
      </c>
      <c r="B3702" s="8">
        <v>65.2</v>
      </c>
      <c r="C3702" s="8">
        <v>65.2</v>
      </c>
      <c r="D3702" s="8">
        <v>100</v>
      </c>
    </row>
    <row r="3703" spans="1:4">
      <c r="A3703" s="7" t="s">
        <v>1698</v>
      </c>
      <c r="B3703" s="8">
        <v>70.2</v>
      </c>
      <c r="C3703" s="8">
        <v>70.2</v>
      </c>
      <c r="D3703" s="8">
        <v>100</v>
      </c>
    </row>
    <row r="3704" spans="1:4">
      <c r="A3704" s="7" t="s">
        <v>1699</v>
      </c>
      <c r="B3704" s="8">
        <v>471.62</v>
      </c>
      <c r="C3704" s="8">
        <v>373</v>
      </c>
      <c r="D3704" s="8">
        <v>126.44</v>
      </c>
    </row>
    <row r="3705" spans="1:4">
      <c r="A3705" s="7" t="s">
        <v>1700</v>
      </c>
      <c r="B3705" s="8">
        <v>70.2</v>
      </c>
      <c r="C3705" s="8">
        <v>70.2</v>
      </c>
      <c r="D3705" s="8">
        <v>100</v>
      </c>
    </row>
    <row r="3706" spans="1:4">
      <c r="A3706" s="7" t="s">
        <v>1701</v>
      </c>
      <c r="B3706" s="8">
        <v>61.18</v>
      </c>
      <c r="C3706" s="8">
        <v>61.18</v>
      </c>
      <c r="D3706" s="8">
        <v>100</v>
      </c>
    </row>
    <row r="3707" spans="1:4">
      <c r="A3707" s="7" t="s">
        <v>1702</v>
      </c>
      <c r="B3707" s="8">
        <v>271.39999999999998</v>
      </c>
      <c r="C3707" s="8">
        <v>243.85</v>
      </c>
      <c r="D3707" s="8">
        <v>111.3</v>
      </c>
    </row>
    <row r="3708" spans="1:4">
      <c r="A3708" s="7" t="s">
        <v>1703</v>
      </c>
      <c r="B3708" s="8">
        <v>271.39999999999998</v>
      </c>
      <c r="C3708" s="8">
        <v>243.85</v>
      </c>
      <c r="D3708" s="8">
        <v>111.3</v>
      </c>
    </row>
    <row r="3709" spans="1:4">
      <c r="A3709" s="7" t="s">
        <v>1704</v>
      </c>
      <c r="B3709" s="8">
        <v>70.2</v>
      </c>
      <c r="C3709" s="8">
        <v>70.2</v>
      </c>
      <c r="D3709" s="8">
        <v>100</v>
      </c>
    </row>
    <row r="3710" spans="1:4">
      <c r="A3710" s="7" t="s">
        <v>1705</v>
      </c>
      <c r="B3710" s="8">
        <v>70.2</v>
      </c>
      <c r="C3710" s="8">
        <v>70.2</v>
      </c>
      <c r="D3710" s="8">
        <v>100</v>
      </c>
    </row>
    <row r="3711" spans="1:4">
      <c r="A3711" s="7" t="s">
        <v>1706</v>
      </c>
      <c r="B3711" s="8">
        <v>70.2</v>
      </c>
      <c r="C3711" s="8">
        <v>70.2</v>
      </c>
      <c r="D3711" s="8">
        <v>100</v>
      </c>
    </row>
    <row r="3712" spans="1:4">
      <c r="A3712" s="7" t="s">
        <v>1707</v>
      </c>
      <c r="B3712" s="8">
        <v>421.66</v>
      </c>
      <c r="C3712" s="8">
        <v>379.17</v>
      </c>
      <c r="D3712" s="8">
        <v>111.21</v>
      </c>
    </row>
    <row r="3713" spans="1:4">
      <c r="A3713" s="7" t="s">
        <v>1708</v>
      </c>
      <c r="B3713" s="8">
        <v>80</v>
      </c>
      <c r="C3713" s="8">
        <v>80</v>
      </c>
      <c r="D3713" s="8">
        <v>100</v>
      </c>
    </row>
    <row r="3714" spans="1:4">
      <c r="A3714" s="7" t="s">
        <v>1709</v>
      </c>
      <c r="B3714" s="8">
        <v>80</v>
      </c>
      <c r="C3714" s="8">
        <v>80</v>
      </c>
      <c r="D3714" s="8">
        <v>100</v>
      </c>
    </row>
    <row r="3715" spans="1:4">
      <c r="A3715" s="7" t="s">
        <v>1710</v>
      </c>
      <c r="B3715" s="8">
        <v>70.2</v>
      </c>
      <c r="C3715" s="8">
        <v>70.2</v>
      </c>
      <c r="D3715" s="8">
        <v>100</v>
      </c>
    </row>
    <row r="3716" spans="1:4">
      <c r="A3716" s="7" t="s">
        <v>1711</v>
      </c>
      <c r="B3716" s="8">
        <v>55.51</v>
      </c>
      <c r="C3716" s="8">
        <v>55.51</v>
      </c>
      <c r="D3716" s="8">
        <v>100</v>
      </c>
    </row>
    <row r="3717" spans="1:4">
      <c r="A3717" s="7" t="s">
        <v>1712</v>
      </c>
      <c r="B3717" s="8">
        <v>55.2</v>
      </c>
      <c r="C3717" s="8">
        <v>55.2</v>
      </c>
      <c r="D3717" s="8">
        <v>100</v>
      </c>
    </row>
    <row r="3718" spans="1:4">
      <c r="A3718" s="7" t="s">
        <v>1713</v>
      </c>
      <c r="B3718" s="8">
        <v>70.2</v>
      </c>
      <c r="C3718" s="8">
        <v>70.2</v>
      </c>
      <c r="D3718" s="8">
        <v>100</v>
      </c>
    </row>
    <row r="3719" spans="1:4">
      <c r="A3719" s="7" t="s">
        <v>1714</v>
      </c>
      <c r="B3719" s="8">
        <v>61.74</v>
      </c>
      <c r="C3719" s="8">
        <v>61.74</v>
      </c>
      <c r="D3719" s="8">
        <v>100</v>
      </c>
    </row>
    <row r="3720" spans="1:4">
      <c r="A3720" s="7" t="s">
        <v>1715</v>
      </c>
      <c r="B3720" s="8">
        <v>55.51</v>
      </c>
      <c r="C3720" s="8">
        <v>55.51</v>
      </c>
      <c r="D3720" s="8">
        <v>100</v>
      </c>
    </row>
    <row r="3721" spans="1:4">
      <c r="A3721" s="7" t="s">
        <v>1716</v>
      </c>
      <c r="B3721" s="8">
        <v>65.2</v>
      </c>
      <c r="C3721" s="8">
        <v>65.2</v>
      </c>
      <c r="D3721" s="8">
        <v>100</v>
      </c>
    </row>
    <row r="3722" spans="1:4">
      <c r="A3722" s="7" t="s">
        <v>1717</v>
      </c>
      <c r="B3722" s="8">
        <v>60.2</v>
      </c>
      <c r="C3722" s="8">
        <v>60.2</v>
      </c>
      <c r="D3722" s="8">
        <v>100</v>
      </c>
    </row>
    <row r="3723" spans="1:4">
      <c r="A3723" s="7" t="s">
        <v>1718</v>
      </c>
      <c r="B3723" s="8">
        <v>55.51</v>
      </c>
      <c r="C3723" s="8">
        <v>55.51</v>
      </c>
      <c r="D3723" s="8">
        <v>100</v>
      </c>
    </row>
    <row r="3724" spans="1:4">
      <c r="A3724" s="7" t="s">
        <v>1719</v>
      </c>
      <c r="B3724" s="8">
        <v>75.2</v>
      </c>
      <c r="C3724" s="8">
        <v>75.2</v>
      </c>
      <c r="D3724" s="8">
        <v>100</v>
      </c>
    </row>
    <row r="3725" spans="1:4">
      <c r="A3725" s="7" t="s">
        <v>1720</v>
      </c>
      <c r="B3725" s="8">
        <v>231.67</v>
      </c>
      <c r="C3725" s="8">
        <v>206.95</v>
      </c>
      <c r="D3725" s="8">
        <v>111.94</v>
      </c>
    </row>
    <row r="3726" spans="1:4">
      <c r="A3726" s="7" t="s">
        <v>1721</v>
      </c>
      <c r="B3726" s="8">
        <v>74.7</v>
      </c>
      <c r="C3726" s="8">
        <v>74.7</v>
      </c>
      <c r="D3726" s="8">
        <v>100</v>
      </c>
    </row>
    <row r="3727" spans="1:4">
      <c r="A3727" s="7" t="s">
        <v>1722</v>
      </c>
      <c r="B3727" s="8">
        <v>8054.27</v>
      </c>
      <c r="C3727" s="8">
        <v>9200.4</v>
      </c>
      <c r="D3727" s="8">
        <v>87.54</v>
      </c>
    </row>
    <row r="3728" spans="1:4">
      <c r="A3728" s="7" t="s">
        <v>1723</v>
      </c>
      <c r="B3728" s="8">
        <v>139.91</v>
      </c>
      <c r="C3728" s="8">
        <v>164.4</v>
      </c>
      <c r="D3728" s="8">
        <v>85.11</v>
      </c>
    </row>
    <row r="3729" spans="1:4">
      <c r="A3729" s="7" t="s">
        <v>1724</v>
      </c>
      <c r="B3729" s="8">
        <v>72.790000000000006</v>
      </c>
      <c r="C3729" s="8">
        <v>80.3</v>
      </c>
      <c r="D3729" s="8">
        <v>90.65</v>
      </c>
    </row>
    <row r="3730" spans="1:4">
      <c r="A3730" s="7" t="s">
        <v>1725</v>
      </c>
      <c r="B3730" s="8">
        <v>198.77</v>
      </c>
      <c r="C3730" s="8">
        <v>90.66</v>
      </c>
      <c r="D3730" s="8">
        <v>219.24</v>
      </c>
    </row>
    <row r="3731" spans="1:4">
      <c r="A3731" s="7" t="s">
        <v>1726</v>
      </c>
      <c r="B3731" s="8">
        <v>314.31</v>
      </c>
      <c r="C3731" s="8">
        <v>216.43</v>
      </c>
      <c r="D3731" s="8">
        <v>145.22999999999999</v>
      </c>
    </row>
    <row r="3732" spans="1:4">
      <c r="A3732" s="7" t="s">
        <v>1727</v>
      </c>
      <c r="B3732" s="8">
        <v>60</v>
      </c>
      <c r="C3732" s="8">
        <v>357.07</v>
      </c>
      <c r="D3732" s="8">
        <v>16.8</v>
      </c>
    </row>
    <row r="3733" spans="1:4">
      <c r="A3733" s="7" t="s">
        <v>1728</v>
      </c>
      <c r="B3733" s="8">
        <v>2073.77</v>
      </c>
      <c r="C3733" s="8">
        <v>2179.7600000000002</v>
      </c>
      <c r="D3733" s="8">
        <v>95.14</v>
      </c>
    </row>
    <row r="3734" spans="1:4">
      <c r="A3734" s="7" t="s">
        <v>1729</v>
      </c>
      <c r="B3734" s="8">
        <v>804.69</v>
      </c>
      <c r="C3734" s="8">
        <v>845.26</v>
      </c>
      <c r="D3734" s="8">
        <v>95.2</v>
      </c>
    </row>
    <row r="3735" spans="1:4">
      <c r="A3735" s="7" t="s">
        <v>1730</v>
      </c>
      <c r="B3735" s="8">
        <v>130.44</v>
      </c>
      <c r="C3735" s="8">
        <v>145.19999999999999</v>
      </c>
      <c r="D3735" s="8">
        <v>89.83</v>
      </c>
    </row>
    <row r="3736" spans="1:4">
      <c r="A3736" s="7" t="s">
        <v>1731</v>
      </c>
      <c r="B3736" s="8">
        <v>130.44</v>
      </c>
      <c r="C3736" s="8">
        <v>145.19999999999999</v>
      </c>
      <c r="D3736" s="8">
        <v>89.83</v>
      </c>
    </row>
    <row r="3737" spans="1:4">
      <c r="A3737" s="7" t="s">
        <v>1732</v>
      </c>
      <c r="B3737" s="8">
        <v>120.3</v>
      </c>
      <c r="C3737" s="8">
        <v>120.72</v>
      </c>
      <c r="D3737" s="8">
        <v>99.65</v>
      </c>
    </row>
    <row r="3738" spans="1:4">
      <c r="A3738" s="7" t="s">
        <v>634</v>
      </c>
      <c r="B3738" s="8">
        <v>15000.29</v>
      </c>
      <c r="C3738" s="8">
        <v>5080.1400000000003</v>
      </c>
      <c r="D3738" s="8">
        <v>295.27</v>
      </c>
    </row>
    <row r="3739" spans="1:4">
      <c r="A3739" s="7" t="s">
        <v>585</v>
      </c>
      <c r="B3739" s="8">
        <v>11030.46</v>
      </c>
      <c r="C3739" s="8">
        <v>7032.14</v>
      </c>
      <c r="D3739" s="8">
        <v>156.86000000000001</v>
      </c>
    </row>
    <row r="3740" spans="1:4">
      <c r="A3740" s="7" t="s">
        <v>617</v>
      </c>
      <c r="B3740" s="8">
        <v>3499.92</v>
      </c>
      <c r="C3740" s="8">
        <v>3266.48</v>
      </c>
      <c r="D3740" s="8">
        <v>107.15</v>
      </c>
    </row>
    <row r="3741" spans="1:4">
      <c r="A3741" s="7" t="s">
        <v>619</v>
      </c>
      <c r="B3741" s="8">
        <v>4299.28</v>
      </c>
      <c r="C3741" s="8">
        <v>2956.08</v>
      </c>
      <c r="D3741" s="8">
        <v>145.44</v>
      </c>
    </row>
    <row r="3742" spans="1:4">
      <c r="A3742" s="7" t="s">
        <v>1733</v>
      </c>
      <c r="B3742" s="8">
        <v>94.21</v>
      </c>
      <c r="C3742" s="8">
        <v>106.94</v>
      </c>
      <c r="D3742" s="8">
        <v>88.1</v>
      </c>
    </row>
    <row r="3743" spans="1:4">
      <c r="A3743" s="7" t="s">
        <v>1734</v>
      </c>
      <c r="B3743" s="8">
        <v>85.21</v>
      </c>
      <c r="C3743" s="8">
        <v>85.21</v>
      </c>
      <c r="D3743" s="8">
        <v>100</v>
      </c>
    </row>
    <row r="3744" spans="1:4">
      <c r="A3744" s="7" t="s">
        <v>1735</v>
      </c>
      <c r="B3744" s="8">
        <v>94.21</v>
      </c>
      <c r="C3744" s="8">
        <v>106.94</v>
      </c>
      <c r="D3744" s="8">
        <v>88.1</v>
      </c>
    </row>
    <row r="3745" spans="1:4">
      <c r="A3745" s="7" t="s">
        <v>1736</v>
      </c>
      <c r="B3745" s="8">
        <v>73.69</v>
      </c>
      <c r="C3745" s="8">
        <v>73.69</v>
      </c>
      <c r="D3745" s="8">
        <v>100</v>
      </c>
    </row>
    <row r="3746" spans="1:4">
      <c r="A3746" s="7" t="s">
        <v>1737</v>
      </c>
      <c r="B3746" s="8">
        <v>235.26</v>
      </c>
      <c r="C3746" s="8">
        <v>258.69</v>
      </c>
      <c r="D3746" s="8">
        <v>90.94</v>
      </c>
    </row>
    <row r="3747" spans="1:4">
      <c r="A3747" s="7" t="s">
        <v>1738</v>
      </c>
      <c r="B3747" s="8">
        <v>94.21</v>
      </c>
      <c r="C3747" s="8">
        <v>106.94</v>
      </c>
      <c r="D3747" s="8">
        <v>88.1</v>
      </c>
    </row>
    <row r="3748" spans="1:4">
      <c r="A3748" s="7" t="s">
        <v>1739</v>
      </c>
      <c r="B3748" s="8">
        <v>85.21</v>
      </c>
      <c r="C3748" s="8">
        <v>85.21</v>
      </c>
      <c r="D3748" s="8">
        <v>100</v>
      </c>
    </row>
    <row r="3749" spans="1:4">
      <c r="A3749" s="7" t="s">
        <v>1740</v>
      </c>
      <c r="B3749" s="8">
        <v>94.21</v>
      </c>
      <c r="C3749" s="8">
        <v>106.94</v>
      </c>
      <c r="D3749" s="8">
        <v>88.1</v>
      </c>
    </row>
    <row r="3750" spans="1:4">
      <c r="A3750" s="7" t="s">
        <v>1741</v>
      </c>
      <c r="B3750" s="8">
        <v>88.69</v>
      </c>
      <c r="C3750" s="8">
        <v>88.69</v>
      </c>
      <c r="D3750" s="8">
        <v>100</v>
      </c>
    </row>
    <row r="3751" spans="1:4">
      <c r="A3751" s="7" t="s">
        <v>1742</v>
      </c>
      <c r="B3751" s="8">
        <v>273.54000000000002</v>
      </c>
      <c r="C3751" s="8">
        <v>298.89</v>
      </c>
      <c r="D3751" s="8">
        <v>91.52</v>
      </c>
    </row>
    <row r="3752" spans="1:4">
      <c r="A3752" s="7" t="s">
        <v>1743</v>
      </c>
      <c r="B3752" s="8">
        <v>8388.7999999999993</v>
      </c>
      <c r="C3752" s="8">
        <v>7219.91</v>
      </c>
      <c r="D3752" s="8">
        <v>116.19</v>
      </c>
    </row>
    <row r="3753" spans="1:4">
      <c r="A3753" s="7" t="s">
        <v>1744</v>
      </c>
      <c r="B3753" s="8">
        <v>8072.01</v>
      </c>
      <c r="C3753" s="8">
        <v>6788.86</v>
      </c>
      <c r="D3753" s="8">
        <v>118.9</v>
      </c>
    </row>
    <row r="3754" spans="1:4">
      <c r="A3754" s="7" t="s">
        <v>1745</v>
      </c>
      <c r="B3754" s="8">
        <v>261.19</v>
      </c>
      <c r="C3754" s="8">
        <v>286.2</v>
      </c>
      <c r="D3754" s="8">
        <v>91.26</v>
      </c>
    </row>
    <row r="3755" spans="1:4">
      <c r="A3755" s="7" t="s">
        <v>1746</v>
      </c>
      <c r="B3755" s="8">
        <v>100.21</v>
      </c>
      <c r="C3755" s="8">
        <v>109</v>
      </c>
      <c r="D3755" s="8">
        <v>91.94</v>
      </c>
    </row>
    <row r="3756" spans="1:4">
      <c r="A3756" s="7" t="s">
        <v>1747</v>
      </c>
      <c r="B3756" s="8">
        <v>100.21</v>
      </c>
      <c r="C3756" s="8">
        <v>109</v>
      </c>
      <c r="D3756" s="8">
        <v>91.94</v>
      </c>
    </row>
    <row r="3757" spans="1:4">
      <c r="A3757" s="7" t="s">
        <v>1748</v>
      </c>
      <c r="B3757" s="8">
        <v>174.53</v>
      </c>
      <c r="C3757" s="8">
        <v>196.5</v>
      </c>
      <c r="D3757" s="8">
        <v>88.82</v>
      </c>
    </row>
    <row r="3758" spans="1:4">
      <c r="A3758" s="7" t="s">
        <v>1749</v>
      </c>
      <c r="B3758" s="8">
        <v>109.53</v>
      </c>
      <c r="C3758" s="8">
        <v>131.5</v>
      </c>
      <c r="D3758" s="8">
        <v>83.3</v>
      </c>
    </row>
    <row r="3759" spans="1:4">
      <c r="A3759" s="7" t="s">
        <v>1750</v>
      </c>
      <c r="B3759" s="8">
        <v>100.21</v>
      </c>
      <c r="C3759" s="8">
        <v>109</v>
      </c>
      <c r="D3759" s="8">
        <v>91.94</v>
      </c>
    </row>
    <row r="3760" spans="1:4">
      <c r="A3760" s="7" t="s">
        <v>1751</v>
      </c>
      <c r="B3760" s="8">
        <v>100.21</v>
      </c>
      <c r="C3760" s="8">
        <v>109</v>
      </c>
      <c r="D3760" s="8">
        <v>91.94</v>
      </c>
    </row>
    <row r="3761" spans="1:4">
      <c r="A3761" s="7" t="s">
        <v>1752</v>
      </c>
      <c r="B3761" s="8">
        <v>175.01</v>
      </c>
      <c r="C3761" s="8">
        <v>196.98</v>
      </c>
      <c r="D3761" s="8">
        <v>88.85</v>
      </c>
    </row>
    <row r="3762" spans="1:4">
      <c r="A3762" s="7" t="s">
        <v>1753</v>
      </c>
      <c r="B3762" s="8">
        <v>434.25</v>
      </c>
      <c r="C3762" s="8">
        <v>482.68</v>
      </c>
      <c r="D3762" s="8">
        <v>89.97</v>
      </c>
    </row>
    <row r="3763" spans="1:4">
      <c r="A3763" s="7" t="s">
        <v>1754</v>
      </c>
      <c r="B3763" s="8">
        <v>149.52000000000001</v>
      </c>
      <c r="C3763" s="8">
        <v>149.52000000000001</v>
      </c>
      <c r="D3763" s="8">
        <v>100</v>
      </c>
    </row>
    <row r="3764" spans="1:4">
      <c r="A3764" s="7" t="s">
        <v>1755</v>
      </c>
      <c r="B3764" s="8">
        <v>136.57</v>
      </c>
      <c r="C3764" s="8">
        <v>160</v>
      </c>
      <c r="D3764" s="8">
        <v>85.36</v>
      </c>
    </row>
    <row r="3765" spans="1:4">
      <c r="A3765" s="7" t="s">
        <v>1756</v>
      </c>
      <c r="B3765" s="8">
        <v>126.21</v>
      </c>
      <c r="C3765" s="8">
        <v>135</v>
      </c>
      <c r="D3765" s="8">
        <v>93.49</v>
      </c>
    </row>
    <row r="3766" spans="1:4">
      <c r="A3766" s="7" t="s">
        <v>1757</v>
      </c>
      <c r="B3766" s="8">
        <v>126.21</v>
      </c>
      <c r="C3766" s="8">
        <v>135</v>
      </c>
      <c r="D3766" s="8">
        <v>93.49</v>
      </c>
    </row>
    <row r="3767" spans="1:4">
      <c r="A3767" s="7" t="s">
        <v>1758</v>
      </c>
      <c r="B3767" s="8">
        <v>136.57</v>
      </c>
      <c r="C3767" s="8">
        <v>160</v>
      </c>
      <c r="D3767" s="8">
        <v>85.36</v>
      </c>
    </row>
    <row r="3768" spans="1:4">
      <c r="A3768" s="7" t="s">
        <v>1759</v>
      </c>
      <c r="B3768" s="8">
        <v>207.28</v>
      </c>
      <c r="C3768" s="8">
        <v>260</v>
      </c>
      <c r="D3768" s="8">
        <v>79.72</v>
      </c>
    </row>
    <row r="3769" spans="1:4">
      <c r="A3769" s="7" t="s">
        <v>1760</v>
      </c>
      <c r="B3769" s="8">
        <v>251.92</v>
      </c>
      <c r="C3769" s="8">
        <v>290</v>
      </c>
      <c r="D3769" s="8">
        <v>86.87</v>
      </c>
    </row>
    <row r="3770" spans="1:4">
      <c r="A3770" s="7" t="s">
        <v>1761</v>
      </c>
      <c r="B3770" s="8">
        <v>209.35</v>
      </c>
      <c r="C3770" s="8">
        <v>265</v>
      </c>
      <c r="D3770" s="8">
        <v>79</v>
      </c>
    </row>
    <row r="3771" spans="1:4">
      <c r="A3771" s="7" t="s">
        <v>1762</v>
      </c>
      <c r="B3771" s="8">
        <v>185</v>
      </c>
      <c r="C3771" s="8">
        <v>185</v>
      </c>
      <c r="D3771" s="8">
        <v>100</v>
      </c>
    </row>
    <row r="3772" spans="1:4">
      <c r="A3772" s="7" t="s">
        <v>1763</v>
      </c>
      <c r="B3772" s="8">
        <v>220.23</v>
      </c>
      <c r="C3772" s="8">
        <v>226.09</v>
      </c>
      <c r="D3772" s="8">
        <v>97.41</v>
      </c>
    </row>
    <row r="3773" spans="1:4">
      <c r="A3773" s="7" t="s">
        <v>1764</v>
      </c>
      <c r="B3773" s="8">
        <v>164.64</v>
      </c>
      <c r="C3773" s="8">
        <v>177.9</v>
      </c>
      <c r="D3773" s="8">
        <v>92.55</v>
      </c>
    </row>
    <row r="3774" spans="1:4">
      <c r="A3774" s="7" t="s">
        <v>1765</v>
      </c>
      <c r="B3774" s="8">
        <v>229.88</v>
      </c>
      <c r="C3774" s="8">
        <v>250.53</v>
      </c>
      <c r="D3774" s="8">
        <v>91.76</v>
      </c>
    </row>
    <row r="3775" spans="1:4">
      <c r="A3775" s="7" t="s">
        <v>1766</v>
      </c>
      <c r="B3775" s="8">
        <v>145.32</v>
      </c>
      <c r="C3775" s="8">
        <v>157.04</v>
      </c>
      <c r="D3775" s="8">
        <v>92.54</v>
      </c>
    </row>
    <row r="3776" spans="1:4">
      <c r="A3776" s="7" t="s">
        <v>1767</v>
      </c>
      <c r="B3776" s="8">
        <v>109.07</v>
      </c>
      <c r="C3776" s="8">
        <v>132.5</v>
      </c>
      <c r="D3776" s="8">
        <v>82.32</v>
      </c>
    </row>
    <row r="3777" spans="1:4">
      <c r="A3777" s="7" t="s">
        <v>1768</v>
      </c>
      <c r="B3777" s="8">
        <v>98.71</v>
      </c>
      <c r="C3777" s="8">
        <v>107.5</v>
      </c>
      <c r="D3777" s="8">
        <v>91.83</v>
      </c>
    </row>
    <row r="3778" spans="1:4">
      <c r="A3778" s="7" t="s">
        <v>1769</v>
      </c>
      <c r="B3778" s="8">
        <v>98.71</v>
      </c>
      <c r="C3778" s="8">
        <v>107.5</v>
      </c>
      <c r="D3778" s="8">
        <v>91.83</v>
      </c>
    </row>
    <row r="3779" spans="1:4">
      <c r="A3779" s="7" t="s">
        <v>1770</v>
      </c>
      <c r="B3779" s="8">
        <v>109.07</v>
      </c>
      <c r="C3779" s="8">
        <v>132.5</v>
      </c>
      <c r="D3779" s="8">
        <v>82.32</v>
      </c>
    </row>
    <row r="3780" spans="1:4">
      <c r="A3780" s="7" t="s">
        <v>1771</v>
      </c>
      <c r="B3780" s="8">
        <v>109.07</v>
      </c>
      <c r="C3780" s="8">
        <v>132.5</v>
      </c>
      <c r="D3780" s="8">
        <v>82.32</v>
      </c>
    </row>
    <row r="3781" spans="1:4">
      <c r="A3781" s="7" t="s">
        <v>1772</v>
      </c>
      <c r="B3781" s="8">
        <v>98.71</v>
      </c>
      <c r="C3781" s="8">
        <v>107.5</v>
      </c>
      <c r="D3781" s="8">
        <v>91.83</v>
      </c>
    </row>
    <row r="3782" spans="1:4">
      <c r="A3782" s="7" t="s">
        <v>1773</v>
      </c>
      <c r="B3782" s="8">
        <v>98.71</v>
      </c>
      <c r="C3782" s="8">
        <v>107.5</v>
      </c>
      <c r="D3782" s="8">
        <v>91.83</v>
      </c>
    </row>
    <row r="3783" spans="1:4">
      <c r="A3783" s="7" t="s">
        <v>1774</v>
      </c>
      <c r="B3783" s="8">
        <v>109.07</v>
      </c>
      <c r="C3783" s="8">
        <v>132.5</v>
      </c>
      <c r="D3783" s="8">
        <v>82.32</v>
      </c>
    </row>
    <row r="3784" spans="1:4">
      <c r="A3784" s="7" t="s">
        <v>1775</v>
      </c>
      <c r="B3784" s="8">
        <v>781.35</v>
      </c>
      <c r="C3784" s="8">
        <v>836.92</v>
      </c>
      <c r="D3784" s="8">
        <v>93.36</v>
      </c>
    </row>
    <row r="3785" spans="1:4">
      <c r="A3785" s="7" t="s">
        <v>1776</v>
      </c>
      <c r="B3785" s="8">
        <v>85.59</v>
      </c>
      <c r="C3785" s="8">
        <v>85.59</v>
      </c>
      <c r="D3785" s="8">
        <v>100</v>
      </c>
    </row>
    <row r="3786" spans="1:4">
      <c r="A3786" s="7" t="s">
        <v>1777</v>
      </c>
      <c r="B3786" s="8">
        <v>85.59</v>
      </c>
      <c r="C3786" s="8">
        <v>85.59</v>
      </c>
      <c r="D3786" s="8">
        <v>100</v>
      </c>
    </row>
    <row r="3787" spans="1:4">
      <c r="A3787" s="7" t="s">
        <v>1778</v>
      </c>
      <c r="B3787" s="8">
        <v>90.59</v>
      </c>
      <c r="C3787" s="8">
        <v>90.59</v>
      </c>
      <c r="D3787" s="8">
        <v>100</v>
      </c>
    </row>
    <row r="3788" spans="1:4">
      <c r="A3788" s="7" t="s">
        <v>1779</v>
      </c>
      <c r="B3788" s="8">
        <v>88.19</v>
      </c>
      <c r="C3788" s="8">
        <v>88.19</v>
      </c>
      <c r="D3788" s="8">
        <v>100</v>
      </c>
    </row>
    <row r="3789" spans="1:4">
      <c r="A3789" s="7" t="s">
        <v>1780</v>
      </c>
      <c r="B3789" s="8">
        <v>88.19</v>
      </c>
      <c r="C3789" s="8">
        <v>88.19</v>
      </c>
      <c r="D3789" s="8">
        <v>100</v>
      </c>
    </row>
    <row r="3790" spans="1:4">
      <c r="A3790" s="7" t="s">
        <v>1781</v>
      </c>
      <c r="B3790" s="8">
        <v>88.19</v>
      </c>
      <c r="C3790" s="8">
        <v>88.19</v>
      </c>
      <c r="D3790" s="8">
        <v>100</v>
      </c>
    </row>
    <row r="3791" spans="1:4">
      <c r="A3791" s="7" t="s">
        <v>1782</v>
      </c>
      <c r="B3791" s="8">
        <v>90.62</v>
      </c>
      <c r="C3791" s="8">
        <v>90.62</v>
      </c>
      <c r="D3791" s="8">
        <v>100</v>
      </c>
    </row>
    <row r="3792" spans="1:4">
      <c r="A3792" s="7" t="s">
        <v>1783</v>
      </c>
      <c r="B3792" s="8">
        <v>90.62</v>
      </c>
      <c r="C3792" s="8">
        <v>90.62</v>
      </c>
      <c r="D3792" s="8">
        <v>100</v>
      </c>
    </row>
    <row r="3793" spans="1:4">
      <c r="A3793" s="7" t="s">
        <v>1784</v>
      </c>
      <c r="B3793" s="8">
        <v>90.62</v>
      </c>
      <c r="C3793" s="8">
        <v>90.62</v>
      </c>
      <c r="D3793" s="8">
        <v>100</v>
      </c>
    </row>
    <row r="3794" spans="1:4">
      <c r="A3794" s="7" t="s">
        <v>1785</v>
      </c>
      <c r="B3794" s="8">
        <v>90.62</v>
      </c>
      <c r="C3794" s="8">
        <v>90.62</v>
      </c>
      <c r="D3794" s="8">
        <v>100</v>
      </c>
    </row>
    <row r="3795" spans="1:4">
      <c r="A3795" s="7" t="s">
        <v>1786</v>
      </c>
      <c r="B3795" s="8">
        <v>90.62</v>
      </c>
      <c r="C3795" s="8">
        <v>90.62</v>
      </c>
      <c r="D3795" s="8">
        <v>100</v>
      </c>
    </row>
    <row r="3796" spans="1:4">
      <c r="A3796" s="7" t="s">
        <v>1787</v>
      </c>
      <c r="B3796" s="8">
        <v>90.62</v>
      </c>
      <c r="C3796" s="8">
        <v>90.62</v>
      </c>
      <c r="D3796" s="8">
        <v>100</v>
      </c>
    </row>
    <row r="3797" spans="1:4">
      <c r="A3797" s="7" t="s">
        <v>1788</v>
      </c>
      <c r="B3797" s="8">
        <v>147.81</v>
      </c>
      <c r="C3797" s="8">
        <v>158.12</v>
      </c>
      <c r="D3797" s="8">
        <v>93.48</v>
      </c>
    </row>
    <row r="3798" spans="1:4">
      <c r="A3798" s="7" t="s">
        <v>1789</v>
      </c>
      <c r="B3798" s="8">
        <v>110</v>
      </c>
      <c r="C3798" s="8">
        <v>110</v>
      </c>
      <c r="D3798" s="8">
        <v>100</v>
      </c>
    </row>
    <row r="3799" spans="1:4">
      <c r="A3799" s="7" t="s">
        <v>1790</v>
      </c>
      <c r="B3799" s="8">
        <v>144.88</v>
      </c>
      <c r="C3799" s="8">
        <v>158.12</v>
      </c>
      <c r="D3799" s="8">
        <v>91.63</v>
      </c>
    </row>
    <row r="3800" spans="1:4">
      <c r="A3800" s="7" t="s">
        <v>1791</v>
      </c>
      <c r="B3800" s="8">
        <v>119.75</v>
      </c>
      <c r="C3800" s="8">
        <v>122.8</v>
      </c>
      <c r="D3800" s="8">
        <v>97.52</v>
      </c>
    </row>
    <row r="3801" spans="1:4">
      <c r="A3801" s="7" t="s">
        <v>1792</v>
      </c>
      <c r="B3801" s="8">
        <v>95</v>
      </c>
      <c r="C3801" s="8">
        <v>95</v>
      </c>
      <c r="D3801" s="8">
        <v>100</v>
      </c>
    </row>
    <row r="3802" spans="1:4">
      <c r="A3802" s="7" t="s">
        <v>1793</v>
      </c>
      <c r="B3802" s="8">
        <v>95.57</v>
      </c>
      <c r="C3802" s="8">
        <v>117.6</v>
      </c>
      <c r="D3802" s="8">
        <v>81.27</v>
      </c>
    </row>
    <row r="3803" spans="1:4">
      <c r="A3803" s="7" t="s">
        <v>1794</v>
      </c>
      <c r="B3803" s="8">
        <v>147.81</v>
      </c>
      <c r="C3803" s="8">
        <v>158.12</v>
      </c>
      <c r="D3803" s="8">
        <v>93.48</v>
      </c>
    </row>
    <row r="3804" spans="1:4">
      <c r="A3804" s="7" t="s">
        <v>1795</v>
      </c>
      <c r="B3804" s="8">
        <v>110</v>
      </c>
      <c r="C3804" s="8">
        <v>110</v>
      </c>
      <c r="D3804" s="8">
        <v>100</v>
      </c>
    </row>
    <row r="3805" spans="1:4">
      <c r="A3805" s="7" t="s">
        <v>1796</v>
      </c>
      <c r="B3805" s="8">
        <v>144.88</v>
      </c>
      <c r="C3805" s="8">
        <v>158.12</v>
      </c>
      <c r="D3805" s="8">
        <v>91.63</v>
      </c>
    </row>
    <row r="3806" spans="1:4">
      <c r="A3806" s="7" t="s">
        <v>1797</v>
      </c>
      <c r="B3806" s="8">
        <v>119.75</v>
      </c>
      <c r="C3806" s="8">
        <v>122.8</v>
      </c>
      <c r="D3806" s="8">
        <v>97.52</v>
      </c>
    </row>
    <row r="3807" spans="1:4">
      <c r="A3807" s="7" t="s">
        <v>1798</v>
      </c>
      <c r="B3807" s="8">
        <v>95</v>
      </c>
      <c r="C3807" s="8">
        <v>95</v>
      </c>
      <c r="D3807" s="8">
        <v>100</v>
      </c>
    </row>
    <row r="3808" spans="1:4">
      <c r="A3808" s="7" t="s">
        <v>1799</v>
      </c>
      <c r="B3808" s="8">
        <v>95.57</v>
      </c>
      <c r="C3808" s="8">
        <v>117.6</v>
      </c>
      <c r="D3808" s="8">
        <v>81.27</v>
      </c>
    </row>
    <row r="3809" spans="1:4">
      <c r="A3809" s="7" t="s">
        <v>1800</v>
      </c>
      <c r="B3809" s="8">
        <v>107.29</v>
      </c>
      <c r="C3809" s="8">
        <v>117.6</v>
      </c>
      <c r="D3809" s="8">
        <v>91.23</v>
      </c>
    </row>
    <row r="3810" spans="1:4">
      <c r="A3810" s="7" t="s">
        <v>1801</v>
      </c>
      <c r="B3810" s="8">
        <v>110.92</v>
      </c>
      <c r="C3810" s="8">
        <v>126.37</v>
      </c>
      <c r="D3810" s="8">
        <v>87.78</v>
      </c>
    </row>
    <row r="3811" spans="1:4">
      <c r="A3811" s="7" t="s">
        <v>1802</v>
      </c>
      <c r="B3811" s="8">
        <v>126.7</v>
      </c>
      <c r="C3811" s="8">
        <v>157.4</v>
      </c>
      <c r="D3811" s="8">
        <v>80.5</v>
      </c>
    </row>
    <row r="3812" spans="1:4">
      <c r="A3812" s="7" t="s">
        <v>1803</v>
      </c>
      <c r="B3812" s="8">
        <v>138.72999999999999</v>
      </c>
      <c r="C3812" s="8">
        <v>157.4</v>
      </c>
      <c r="D3812" s="8">
        <v>88.14</v>
      </c>
    </row>
    <row r="3813" spans="1:4">
      <c r="A3813" s="7" t="s">
        <v>1804</v>
      </c>
      <c r="B3813" s="8">
        <v>110</v>
      </c>
      <c r="C3813" s="8">
        <v>110</v>
      </c>
      <c r="D3813" s="8">
        <v>100</v>
      </c>
    </row>
    <row r="3814" spans="1:4">
      <c r="A3814" s="7" t="s">
        <v>1805</v>
      </c>
      <c r="B3814" s="8">
        <v>127.65</v>
      </c>
      <c r="C3814" s="8">
        <v>152.6</v>
      </c>
      <c r="D3814" s="8">
        <v>83.65</v>
      </c>
    </row>
    <row r="3815" spans="1:4">
      <c r="A3815" s="7" t="s">
        <v>615</v>
      </c>
      <c r="B3815" s="8">
        <v>4199.8500000000004</v>
      </c>
      <c r="C3815" s="8">
        <v>4573.1499999999996</v>
      </c>
      <c r="D3815" s="8">
        <v>91.84</v>
      </c>
    </row>
    <row r="3816" spans="1:4">
      <c r="A3816" s="7" t="s">
        <v>1806</v>
      </c>
      <c r="B3816" s="8">
        <v>18393.04</v>
      </c>
      <c r="C3816" s="8">
        <v>13198.56</v>
      </c>
      <c r="D3816" s="8">
        <v>139.36000000000001</v>
      </c>
    </row>
    <row r="3817" spans="1:4">
      <c r="A3817" s="7" t="s">
        <v>1807</v>
      </c>
      <c r="B3817" s="8">
        <v>9243.36</v>
      </c>
      <c r="C3817" s="8">
        <v>10914.4</v>
      </c>
      <c r="D3817" s="8">
        <v>84.69</v>
      </c>
    </row>
    <row r="3818" spans="1:4">
      <c r="A3818" s="7" t="s">
        <v>1808</v>
      </c>
      <c r="B3818" s="8">
        <v>20721.3</v>
      </c>
      <c r="C3818" s="8">
        <v>10459.77</v>
      </c>
      <c r="D3818" s="8">
        <v>198.1</v>
      </c>
    </row>
    <row r="3819" spans="1:4">
      <c r="A3819" s="7" t="s">
        <v>1809</v>
      </c>
      <c r="B3819" s="8">
        <v>15103.04</v>
      </c>
      <c r="C3819" s="8">
        <v>10393.58</v>
      </c>
      <c r="D3819" s="8">
        <v>145.31</v>
      </c>
    </row>
    <row r="3820" spans="1:4">
      <c r="A3820" s="7" t="s">
        <v>1810</v>
      </c>
      <c r="B3820" s="8">
        <v>20524.89</v>
      </c>
      <c r="C3820" s="8">
        <v>13732.55</v>
      </c>
      <c r="D3820" s="8">
        <v>149.46</v>
      </c>
    </row>
    <row r="3821" spans="1:4">
      <c r="A3821" s="7" t="s">
        <v>1811</v>
      </c>
      <c r="B3821" s="8">
        <v>14503.53</v>
      </c>
      <c r="C3821" s="8">
        <v>12264.84</v>
      </c>
      <c r="D3821" s="8">
        <v>118.25</v>
      </c>
    </row>
    <row r="3822" spans="1:4">
      <c r="A3822" s="7" t="s">
        <v>1812</v>
      </c>
      <c r="B3822" s="8">
        <v>1919.79</v>
      </c>
      <c r="C3822" s="8">
        <v>15193.91</v>
      </c>
      <c r="D3822" s="8">
        <v>12.64</v>
      </c>
    </row>
    <row r="3823" spans="1:4">
      <c r="A3823" s="7" t="s">
        <v>1813</v>
      </c>
      <c r="B3823" s="8">
        <v>5698.45</v>
      </c>
      <c r="C3823" s="8">
        <v>5352.54</v>
      </c>
      <c r="D3823" s="8">
        <v>106.46</v>
      </c>
    </row>
    <row r="3824" spans="1:4">
      <c r="A3824" s="7" t="s">
        <v>1814</v>
      </c>
      <c r="B3824" s="8">
        <v>7539.4</v>
      </c>
      <c r="C3824" s="8">
        <v>7994.9</v>
      </c>
      <c r="D3824" s="8">
        <v>94.3</v>
      </c>
    </row>
    <row r="3825" spans="1:4">
      <c r="A3825" s="7" t="s">
        <v>1815</v>
      </c>
      <c r="B3825" s="8">
        <v>1738.46</v>
      </c>
      <c r="C3825" s="8">
        <v>15473.43</v>
      </c>
      <c r="D3825" s="8">
        <v>11.24</v>
      </c>
    </row>
    <row r="3826" spans="1:4">
      <c r="A3826" s="7" t="s">
        <v>638</v>
      </c>
      <c r="B3826" s="8">
        <v>15000.53</v>
      </c>
      <c r="C3826" s="8">
        <v>4783.4399999999996</v>
      </c>
      <c r="D3826" s="8">
        <v>313.58999999999997</v>
      </c>
    </row>
    <row r="3827" spans="1:4">
      <c r="A3827" s="7" t="s">
        <v>597</v>
      </c>
      <c r="B3827" s="8">
        <v>5423.64</v>
      </c>
      <c r="C3827" s="8">
        <v>5170.83</v>
      </c>
      <c r="D3827" s="8">
        <v>104.89</v>
      </c>
    </row>
    <row r="3828" spans="1:4">
      <c r="A3828" s="7" t="s">
        <v>641</v>
      </c>
      <c r="B3828" s="8">
        <v>15000.03</v>
      </c>
      <c r="C3828" s="8">
        <v>6390.14</v>
      </c>
      <c r="D3828" s="8">
        <v>234.74</v>
      </c>
    </row>
    <row r="3829" spans="1:4">
      <c r="A3829" s="7" t="s">
        <v>599</v>
      </c>
      <c r="B3829" s="8">
        <v>9899.2099999999991</v>
      </c>
      <c r="C3829" s="8">
        <v>7595.9</v>
      </c>
      <c r="D3829" s="8">
        <v>130.32</v>
      </c>
    </row>
    <row r="3830" spans="1:4">
      <c r="A3830" s="7" t="s">
        <v>1816</v>
      </c>
      <c r="B3830" s="8">
        <v>204.05</v>
      </c>
      <c r="C3830" s="8">
        <v>206.58</v>
      </c>
      <c r="D3830" s="8">
        <v>98.78</v>
      </c>
    </row>
    <row r="3831" spans="1:4">
      <c r="A3831" s="7" t="s">
        <v>1817</v>
      </c>
      <c r="B3831" s="8">
        <v>88.19</v>
      </c>
      <c r="C3831" s="8">
        <v>88.19</v>
      </c>
      <c r="D3831" s="8">
        <v>100</v>
      </c>
    </row>
    <row r="3832" spans="1:4">
      <c r="A3832" s="7" t="s">
        <v>1818</v>
      </c>
      <c r="B3832" s="8">
        <v>103.74</v>
      </c>
      <c r="C3832" s="8">
        <v>129.12</v>
      </c>
      <c r="D3832" s="8">
        <v>80.34</v>
      </c>
    </row>
    <row r="3833" spans="1:4">
      <c r="A3833" s="7" t="s">
        <v>1819</v>
      </c>
      <c r="B3833" s="8">
        <v>115.56</v>
      </c>
      <c r="C3833" s="8">
        <v>124.12</v>
      </c>
      <c r="D3833" s="8">
        <v>93.1</v>
      </c>
    </row>
    <row r="3834" spans="1:4">
      <c r="A3834" s="7" t="s">
        <v>1820</v>
      </c>
      <c r="B3834" s="8">
        <v>14602.07</v>
      </c>
      <c r="C3834" s="8">
        <v>8793.24</v>
      </c>
      <c r="D3834" s="8">
        <v>166.06</v>
      </c>
    </row>
    <row r="3835" spans="1:4">
      <c r="A3835" s="7" t="s">
        <v>623</v>
      </c>
      <c r="B3835" s="8">
        <v>16999.38</v>
      </c>
      <c r="C3835" s="8">
        <v>10655.08</v>
      </c>
      <c r="D3835" s="8">
        <v>159.54</v>
      </c>
    </row>
    <row r="3836" spans="1:4">
      <c r="A3836" s="7" t="s">
        <v>1821</v>
      </c>
      <c r="B3836" s="8">
        <v>114.49</v>
      </c>
      <c r="C3836" s="8">
        <v>123.39</v>
      </c>
      <c r="D3836" s="8">
        <v>92.78</v>
      </c>
    </row>
    <row r="3837" spans="1:4">
      <c r="A3837" s="7" t="s">
        <v>1822</v>
      </c>
      <c r="B3837" s="8">
        <v>169.49</v>
      </c>
      <c r="C3837" s="8">
        <v>152.94999999999999</v>
      </c>
      <c r="D3837" s="8">
        <v>110.81</v>
      </c>
    </row>
    <row r="3838" spans="1:4">
      <c r="A3838" s="7" t="s">
        <v>1823</v>
      </c>
      <c r="B3838" s="8">
        <v>21799.33</v>
      </c>
      <c r="C3838" s="8">
        <v>13310.82</v>
      </c>
      <c r="D3838" s="8">
        <v>163.77000000000001</v>
      </c>
    </row>
    <row r="3839" spans="1:4">
      <c r="A3839" s="7" t="s">
        <v>1824</v>
      </c>
      <c r="B3839" s="8">
        <v>13277.41</v>
      </c>
      <c r="C3839" s="8">
        <v>10824.84</v>
      </c>
      <c r="D3839" s="8">
        <v>122.66</v>
      </c>
    </row>
    <row r="3840" spans="1:4">
      <c r="A3840" s="7" t="s">
        <v>1825</v>
      </c>
      <c r="B3840" s="8">
        <v>11801.64</v>
      </c>
      <c r="C3840" s="8">
        <v>7503.61</v>
      </c>
      <c r="D3840" s="8">
        <v>157.28</v>
      </c>
    </row>
    <row r="3841" spans="1:4">
      <c r="A3841" s="7" t="s">
        <v>1826</v>
      </c>
      <c r="B3841" s="8">
        <v>948.23</v>
      </c>
      <c r="C3841" s="8">
        <v>1179.81</v>
      </c>
      <c r="D3841" s="8">
        <v>80.37</v>
      </c>
    </row>
    <row r="3842" spans="1:4">
      <c r="A3842" s="7" t="s">
        <v>1827</v>
      </c>
      <c r="B3842" s="8">
        <v>709.31</v>
      </c>
      <c r="C3842" s="8">
        <v>642.44000000000005</v>
      </c>
      <c r="D3842" s="8">
        <v>110.41</v>
      </c>
    </row>
    <row r="3843" spans="1:4">
      <c r="A3843" s="7" t="s">
        <v>1828</v>
      </c>
      <c r="B3843" s="8">
        <v>170.71</v>
      </c>
      <c r="C3843" s="8">
        <v>200</v>
      </c>
      <c r="D3843" s="8">
        <v>85.36</v>
      </c>
    </row>
    <row r="3844" spans="1:4">
      <c r="A3844" s="7" t="s">
        <v>1829</v>
      </c>
      <c r="B3844" s="8">
        <v>100</v>
      </c>
      <c r="C3844" s="8">
        <v>100</v>
      </c>
      <c r="D3844" s="8">
        <v>100</v>
      </c>
    </row>
    <row r="3845" spans="1:4">
      <c r="A3845" s="7" t="s">
        <v>1830</v>
      </c>
      <c r="B3845" s="8">
        <v>112.34</v>
      </c>
      <c r="C3845" s="8">
        <v>129.80000000000001</v>
      </c>
      <c r="D3845" s="8">
        <v>86.55</v>
      </c>
    </row>
    <row r="3846" spans="1:4">
      <c r="A3846" s="7" t="s">
        <v>1831</v>
      </c>
      <c r="B3846" s="8">
        <v>118.64</v>
      </c>
      <c r="C3846" s="8">
        <v>145</v>
      </c>
      <c r="D3846" s="8">
        <v>81.819999999999993</v>
      </c>
    </row>
    <row r="3847" spans="1:4">
      <c r="A3847" s="7" t="s">
        <v>1832</v>
      </c>
      <c r="B3847" s="8">
        <v>162.43</v>
      </c>
      <c r="C3847" s="8">
        <v>180</v>
      </c>
      <c r="D3847" s="8">
        <v>90.24</v>
      </c>
    </row>
    <row r="3848" spans="1:4">
      <c r="A3848" s="7" t="s">
        <v>1833</v>
      </c>
      <c r="B3848" s="8">
        <v>361.04</v>
      </c>
      <c r="C3848" s="8">
        <v>300</v>
      </c>
      <c r="D3848" s="8">
        <v>120.35</v>
      </c>
    </row>
    <row r="3849" spans="1:4">
      <c r="A3849" s="7" t="s">
        <v>1834</v>
      </c>
      <c r="B3849" s="8">
        <v>979.74</v>
      </c>
      <c r="C3849" s="8">
        <v>1008.19</v>
      </c>
      <c r="D3849" s="8">
        <v>97.18</v>
      </c>
    </row>
    <row r="3850" spans="1:4">
      <c r="A3850" s="7" t="s">
        <v>1835</v>
      </c>
      <c r="B3850" s="8">
        <v>144.28</v>
      </c>
      <c r="C3850" s="8">
        <v>167.95</v>
      </c>
      <c r="D3850" s="8">
        <v>85.91</v>
      </c>
    </row>
    <row r="3851" spans="1:4">
      <c r="A3851" s="7" t="s">
        <v>1836</v>
      </c>
      <c r="B3851" s="8">
        <v>188.93</v>
      </c>
      <c r="C3851" s="8">
        <v>232.75</v>
      </c>
      <c r="D3851" s="8">
        <v>81.17</v>
      </c>
    </row>
    <row r="3852" spans="1:4">
      <c r="A3852" s="7" t="s">
        <v>1837</v>
      </c>
      <c r="B3852" s="8">
        <v>188.93</v>
      </c>
      <c r="C3852" s="8">
        <v>232.75</v>
      </c>
      <c r="D3852" s="8">
        <v>81.17</v>
      </c>
    </row>
    <row r="3853" spans="1:4">
      <c r="A3853" s="7" t="s">
        <v>1838</v>
      </c>
      <c r="B3853" s="8">
        <v>143.96</v>
      </c>
      <c r="C3853" s="8">
        <v>167.95</v>
      </c>
      <c r="D3853" s="8">
        <v>85.72</v>
      </c>
    </row>
    <row r="3854" spans="1:4">
      <c r="A3854" s="7" t="s">
        <v>1839</v>
      </c>
      <c r="B3854" s="8">
        <v>144.28</v>
      </c>
      <c r="C3854" s="8">
        <v>167.95</v>
      </c>
      <c r="D3854" s="8">
        <v>85.91</v>
      </c>
    </row>
    <row r="3855" spans="1:4">
      <c r="A3855" s="7" t="s">
        <v>1840</v>
      </c>
      <c r="B3855" s="8">
        <v>188.93</v>
      </c>
      <c r="C3855" s="8">
        <v>232.75</v>
      </c>
      <c r="D3855" s="8">
        <v>81.17</v>
      </c>
    </row>
    <row r="3856" spans="1:4">
      <c r="A3856" s="7" t="s">
        <v>1841</v>
      </c>
      <c r="B3856" s="8">
        <v>188.93</v>
      </c>
      <c r="C3856" s="8">
        <v>232.75</v>
      </c>
      <c r="D3856" s="8">
        <v>81.17</v>
      </c>
    </row>
    <row r="3857" spans="1:4">
      <c r="A3857" s="7" t="s">
        <v>1842</v>
      </c>
      <c r="B3857" s="8">
        <v>143.72999999999999</v>
      </c>
      <c r="C3857" s="8">
        <v>167.4</v>
      </c>
      <c r="D3857" s="8">
        <v>85.86</v>
      </c>
    </row>
    <row r="3858" spans="1:4">
      <c r="A3858" s="7" t="s">
        <v>1843</v>
      </c>
      <c r="B3858" s="8">
        <v>215.16</v>
      </c>
      <c r="C3858" s="8">
        <v>165.2</v>
      </c>
      <c r="D3858" s="8">
        <v>130.24</v>
      </c>
    </row>
    <row r="3859" spans="1:4">
      <c r="A3859" s="7" t="s">
        <v>1844</v>
      </c>
      <c r="B3859" s="8">
        <v>242.31</v>
      </c>
      <c r="C3859" s="8">
        <v>192.6</v>
      </c>
      <c r="D3859" s="8">
        <v>125.81</v>
      </c>
    </row>
    <row r="3860" spans="1:4">
      <c r="A3860" s="7" t="s">
        <v>1845</v>
      </c>
      <c r="B3860" s="8">
        <v>144.28</v>
      </c>
      <c r="C3860" s="8">
        <v>167.95</v>
      </c>
      <c r="D3860" s="8">
        <v>85.91</v>
      </c>
    </row>
    <row r="3861" spans="1:4">
      <c r="A3861" s="7" t="s">
        <v>1846</v>
      </c>
      <c r="B3861" s="8">
        <v>225.85</v>
      </c>
      <c r="C3861" s="8">
        <v>234.1</v>
      </c>
      <c r="D3861" s="8">
        <v>96.47</v>
      </c>
    </row>
    <row r="3862" spans="1:4">
      <c r="A3862" s="7" t="s">
        <v>1847</v>
      </c>
      <c r="B3862" s="8">
        <v>195.23</v>
      </c>
      <c r="C3862" s="8">
        <v>157.94999999999999</v>
      </c>
      <c r="D3862" s="8">
        <v>123.6</v>
      </c>
    </row>
    <row r="3863" spans="1:4">
      <c r="A3863" s="7" t="s">
        <v>1848</v>
      </c>
      <c r="B3863" s="8">
        <v>551.84</v>
      </c>
      <c r="C3863" s="8">
        <v>390</v>
      </c>
      <c r="D3863" s="8">
        <v>141.5</v>
      </c>
    </row>
    <row r="3864" spans="1:4">
      <c r="A3864" s="7" t="s">
        <v>1849</v>
      </c>
      <c r="B3864" s="8">
        <v>144.28</v>
      </c>
      <c r="C3864" s="8">
        <v>167.95</v>
      </c>
      <c r="D3864" s="8">
        <v>85.91</v>
      </c>
    </row>
    <row r="3865" spans="1:4">
      <c r="A3865" s="7" t="s">
        <v>1850</v>
      </c>
      <c r="B3865" s="8">
        <v>188.93</v>
      </c>
      <c r="C3865" s="8">
        <v>232.75</v>
      </c>
      <c r="D3865" s="8">
        <v>81.17</v>
      </c>
    </row>
    <row r="3866" spans="1:4">
      <c r="A3866" s="7" t="s">
        <v>1851</v>
      </c>
      <c r="B3866" s="8">
        <v>188.93</v>
      </c>
      <c r="C3866" s="8">
        <v>232.75</v>
      </c>
      <c r="D3866" s="8">
        <v>81.17</v>
      </c>
    </row>
    <row r="3867" spans="1:4">
      <c r="A3867" s="7" t="s">
        <v>1852</v>
      </c>
      <c r="B3867" s="8">
        <v>143.96</v>
      </c>
      <c r="C3867" s="8">
        <v>167.95</v>
      </c>
      <c r="D3867" s="8">
        <v>85.72</v>
      </c>
    </row>
    <row r="3868" spans="1:4">
      <c r="A3868" s="7" t="s">
        <v>1853</v>
      </c>
      <c r="B3868" s="8">
        <v>144.28</v>
      </c>
      <c r="C3868" s="8">
        <v>167.95</v>
      </c>
      <c r="D3868" s="8">
        <v>85.91</v>
      </c>
    </row>
    <row r="3869" spans="1:4">
      <c r="A3869" s="7" t="s">
        <v>1854</v>
      </c>
      <c r="B3869" s="8">
        <v>188.93</v>
      </c>
      <c r="C3869" s="8">
        <v>232.75</v>
      </c>
      <c r="D3869" s="8">
        <v>81.17</v>
      </c>
    </row>
    <row r="3870" spans="1:4">
      <c r="A3870" s="7" t="s">
        <v>1855</v>
      </c>
      <c r="B3870" s="8">
        <v>190.01</v>
      </c>
      <c r="C3870" s="8">
        <v>235.35</v>
      </c>
      <c r="D3870" s="8">
        <v>80.739999999999995</v>
      </c>
    </row>
    <row r="3871" spans="1:4">
      <c r="A3871" s="7" t="s">
        <v>1856</v>
      </c>
      <c r="B3871" s="8">
        <v>143.96</v>
      </c>
      <c r="C3871" s="8">
        <v>167.95</v>
      </c>
      <c r="D3871" s="8">
        <v>85.72</v>
      </c>
    </row>
    <row r="3872" spans="1:4">
      <c r="A3872" s="7" t="s">
        <v>1857</v>
      </c>
      <c r="B3872" s="8">
        <v>144.28</v>
      </c>
      <c r="C3872" s="8">
        <v>167.95</v>
      </c>
      <c r="D3872" s="8">
        <v>85.91</v>
      </c>
    </row>
    <row r="3873" spans="1:4">
      <c r="A3873" s="7" t="s">
        <v>1858</v>
      </c>
      <c r="B3873" s="8">
        <v>188.93</v>
      </c>
      <c r="C3873" s="8">
        <v>232.75</v>
      </c>
      <c r="D3873" s="8">
        <v>81.17</v>
      </c>
    </row>
    <row r="3874" spans="1:4">
      <c r="A3874" s="7" t="s">
        <v>1859</v>
      </c>
      <c r="B3874" s="8">
        <v>188.93</v>
      </c>
      <c r="C3874" s="8">
        <v>232.75</v>
      </c>
      <c r="D3874" s="8">
        <v>81.17</v>
      </c>
    </row>
    <row r="3875" spans="1:4">
      <c r="A3875" s="7" t="s">
        <v>1860</v>
      </c>
      <c r="B3875" s="8">
        <v>143.96</v>
      </c>
      <c r="C3875" s="8">
        <v>167.95</v>
      </c>
      <c r="D3875" s="8">
        <v>85.72</v>
      </c>
    </row>
    <row r="3876" spans="1:4">
      <c r="A3876" s="7" t="s">
        <v>1861</v>
      </c>
      <c r="B3876" s="8">
        <v>144.28</v>
      </c>
      <c r="C3876" s="8">
        <v>167.95</v>
      </c>
      <c r="D3876" s="8">
        <v>85.91</v>
      </c>
    </row>
    <row r="3877" spans="1:4">
      <c r="A3877" s="7" t="s">
        <v>1862</v>
      </c>
      <c r="B3877" s="8">
        <v>188.93</v>
      </c>
      <c r="C3877" s="8">
        <v>232.75</v>
      </c>
      <c r="D3877" s="8">
        <v>81.17</v>
      </c>
    </row>
    <row r="3878" spans="1:4">
      <c r="A3878" s="7" t="s">
        <v>1863</v>
      </c>
      <c r="B3878" s="8">
        <v>188.93</v>
      </c>
      <c r="C3878" s="8">
        <v>232.75</v>
      </c>
      <c r="D3878" s="8">
        <v>81.17</v>
      </c>
    </row>
    <row r="3879" spans="1:4">
      <c r="A3879" s="7" t="s">
        <v>1864</v>
      </c>
      <c r="B3879" s="8">
        <v>143.96</v>
      </c>
      <c r="C3879" s="8">
        <v>167.95</v>
      </c>
      <c r="D3879" s="8">
        <v>85.72</v>
      </c>
    </row>
    <row r="3880" spans="1:4">
      <c r="A3880" s="7" t="s">
        <v>1865</v>
      </c>
      <c r="B3880" s="8">
        <v>144.52000000000001</v>
      </c>
      <c r="C3880" s="8">
        <v>167.95</v>
      </c>
      <c r="D3880" s="8">
        <v>86.05</v>
      </c>
    </row>
    <row r="3881" spans="1:4">
      <c r="A3881" s="7" t="s">
        <v>1866</v>
      </c>
      <c r="B3881" s="8">
        <v>321.93</v>
      </c>
      <c r="C3881" s="8">
        <v>179.35</v>
      </c>
      <c r="D3881" s="8">
        <v>179.5</v>
      </c>
    </row>
    <row r="3882" spans="1:4">
      <c r="A3882" s="7" t="s">
        <v>1867</v>
      </c>
      <c r="B3882" s="8">
        <v>198.13</v>
      </c>
      <c r="C3882" s="8">
        <v>179.35</v>
      </c>
      <c r="D3882" s="8">
        <v>110.47</v>
      </c>
    </row>
    <row r="3883" spans="1:4">
      <c r="A3883" s="7" t="s">
        <v>1868</v>
      </c>
      <c r="B3883" s="8">
        <v>147.44999999999999</v>
      </c>
      <c r="C3883" s="8">
        <v>167.95</v>
      </c>
      <c r="D3883" s="8">
        <v>87.8</v>
      </c>
    </row>
    <row r="3884" spans="1:4">
      <c r="A3884" s="7" t="s">
        <v>1869</v>
      </c>
      <c r="B3884" s="8">
        <v>399.35</v>
      </c>
      <c r="C3884" s="8">
        <v>365</v>
      </c>
      <c r="D3884" s="8">
        <v>109.41</v>
      </c>
    </row>
    <row r="3885" spans="1:4">
      <c r="A3885" s="7" t="s">
        <v>1870</v>
      </c>
      <c r="B3885" s="8">
        <v>556.4</v>
      </c>
      <c r="C3885" s="8">
        <v>282.25</v>
      </c>
      <c r="D3885" s="8">
        <v>197.13</v>
      </c>
    </row>
    <row r="3886" spans="1:4">
      <c r="A3886" s="7" t="s">
        <v>2246</v>
      </c>
      <c r="B3886" s="8">
        <v>223.68</v>
      </c>
      <c r="C3886" s="8">
        <v>234.1</v>
      </c>
      <c r="D3886" s="8">
        <v>95.55</v>
      </c>
    </row>
    <row r="3887" spans="1:4">
      <c r="A3887" s="7" t="s">
        <v>1871</v>
      </c>
      <c r="B3887" s="8">
        <v>424.35</v>
      </c>
      <c r="C3887" s="8">
        <v>380</v>
      </c>
      <c r="D3887" s="8">
        <v>111.67</v>
      </c>
    </row>
    <row r="3888" spans="1:4">
      <c r="A3888" s="7" t="s">
        <v>1872</v>
      </c>
      <c r="B3888" s="8">
        <v>144.28</v>
      </c>
      <c r="C3888" s="8">
        <v>167.95</v>
      </c>
      <c r="D3888" s="8">
        <v>85.91</v>
      </c>
    </row>
    <row r="3889" spans="1:4">
      <c r="A3889" s="7" t="s">
        <v>1873</v>
      </c>
      <c r="B3889" s="8">
        <v>218.36</v>
      </c>
      <c r="C3889" s="8">
        <v>234.1</v>
      </c>
      <c r="D3889" s="8">
        <v>93.28</v>
      </c>
    </row>
    <row r="3890" spans="1:4">
      <c r="A3890" s="7" t="s">
        <v>1874</v>
      </c>
      <c r="B3890" s="8">
        <v>196.84</v>
      </c>
      <c r="C3890" s="8">
        <v>157.94999999999999</v>
      </c>
      <c r="D3890" s="8">
        <v>124.62</v>
      </c>
    </row>
    <row r="3891" spans="1:4">
      <c r="A3891" s="7" t="s">
        <v>1875</v>
      </c>
      <c r="B3891" s="8">
        <v>552.85</v>
      </c>
      <c r="C3891" s="8">
        <v>390</v>
      </c>
      <c r="D3891" s="8">
        <v>141.76</v>
      </c>
    </row>
    <row r="3892" spans="1:4">
      <c r="A3892" s="7" t="s">
        <v>1876</v>
      </c>
      <c r="B3892" s="8">
        <v>114.57</v>
      </c>
      <c r="C3892" s="8">
        <v>142.24</v>
      </c>
      <c r="D3892" s="8">
        <v>80.55</v>
      </c>
    </row>
    <row r="3893" spans="1:4">
      <c r="A3893" s="7" t="s">
        <v>1877</v>
      </c>
      <c r="B3893" s="8">
        <v>178.47</v>
      </c>
      <c r="C3893" s="8">
        <v>221</v>
      </c>
      <c r="D3893" s="8">
        <v>80.760000000000005</v>
      </c>
    </row>
    <row r="3894" spans="1:4">
      <c r="A3894" s="7" t="s">
        <v>1878</v>
      </c>
      <c r="B3894" s="8">
        <v>405.6</v>
      </c>
      <c r="C3894" s="8">
        <v>394.22</v>
      </c>
      <c r="D3894" s="8">
        <v>102.89</v>
      </c>
    </row>
    <row r="3895" spans="1:4">
      <c r="A3895" s="7" t="s">
        <v>1879</v>
      </c>
      <c r="B3895" s="8">
        <v>405.6</v>
      </c>
      <c r="C3895" s="8">
        <v>394.22</v>
      </c>
      <c r="D3895" s="8">
        <v>102.89</v>
      </c>
    </row>
    <row r="3896" spans="1:4">
      <c r="A3896" s="7" t="s">
        <v>1880</v>
      </c>
      <c r="B3896" s="8">
        <v>178.47</v>
      </c>
      <c r="C3896" s="8">
        <v>221</v>
      </c>
      <c r="D3896" s="8">
        <v>80.760000000000005</v>
      </c>
    </row>
    <row r="3897" spans="1:4">
      <c r="A3897" s="7" t="s">
        <v>1881</v>
      </c>
      <c r="B3897" s="8">
        <v>114.57</v>
      </c>
      <c r="C3897" s="8">
        <v>142.24</v>
      </c>
      <c r="D3897" s="8">
        <v>80.55</v>
      </c>
    </row>
    <row r="3898" spans="1:4">
      <c r="A3898" s="7" t="s">
        <v>1882</v>
      </c>
      <c r="B3898" s="8">
        <v>216.57</v>
      </c>
      <c r="C3898" s="8">
        <v>240</v>
      </c>
      <c r="D3898" s="8">
        <v>90.24</v>
      </c>
    </row>
    <row r="3899" spans="1:4">
      <c r="A3899" s="7" t="s">
        <v>1883</v>
      </c>
      <c r="B3899" s="8">
        <v>408.34</v>
      </c>
      <c r="C3899" s="8">
        <v>455.2</v>
      </c>
      <c r="D3899" s="8">
        <v>89.7</v>
      </c>
    </row>
    <row r="3900" spans="1:4">
      <c r="A3900" s="7" t="s">
        <v>1884</v>
      </c>
      <c r="B3900" s="8">
        <v>322.62</v>
      </c>
      <c r="C3900" s="8">
        <v>277.95</v>
      </c>
      <c r="D3900" s="8">
        <v>116.07</v>
      </c>
    </row>
    <row r="3901" spans="1:4">
      <c r="A3901" s="7" t="s">
        <v>1885</v>
      </c>
      <c r="B3901" s="8">
        <v>108.27</v>
      </c>
      <c r="C3901" s="8">
        <v>134.1</v>
      </c>
      <c r="D3901" s="8">
        <v>80.739999999999995</v>
      </c>
    </row>
    <row r="3902" spans="1:4">
      <c r="A3902" s="7" t="s">
        <v>1886</v>
      </c>
      <c r="B3902" s="8">
        <v>108.27</v>
      </c>
      <c r="C3902" s="8">
        <v>134.1</v>
      </c>
      <c r="D3902" s="8">
        <v>80.739999999999995</v>
      </c>
    </row>
    <row r="3903" spans="1:4">
      <c r="A3903" s="7" t="s">
        <v>1887</v>
      </c>
      <c r="B3903" s="8">
        <v>319.37</v>
      </c>
      <c r="C3903" s="8">
        <v>277.95</v>
      </c>
      <c r="D3903" s="8">
        <v>114.9</v>
      </c>
    </row>
    <row r="3904" spans="1:4">
      <c r="A3904" s="7" t="s">
        <v>1888</v>
      </c>
      <c r="B3904" s="8">
        <v>399.35</v>
      </c>
      <c r="C3904" s="8">
        <v>365</v>
      </c>
      <c r="D3904" s="8">
        <v>109.41</v>
      </c>
    </row>
    <row r="3905" spans="1:4">
      <c r="A3905" s="7" t="s">
        <v>1889</v>
      </c>
      <c r="B3905" s="8">
        <v>551.62</v>
      </c>
      <c r="C3905" s="8">
        <v>282.25</v>
      </c>
      <c r="D3905" s="8">
        <v>195.44</v>
      </c>
    </row>
    <row r="3906" spans="1:4">
      <c r="A3906" s="7" t="s">
        <v>2247</v>
      </c>
      <c r="B3906" s="8">
        <v>223.68</v>
      </c>
      <c r="C3906" s="8">
        <v>234.1</v>
      </c>
      <c r="D3906" s="8">
        <v>95.55</v>
      </c>
    </row>
    <row r="3907" spans="1:4">
      <c r="A3907" s="7" t="s">
        <v>1890</v>
      </c>
      <c r="B3907" s="8">
        <v>424.69</v>
      </c>
      <c r="C3907" s="8">
        <v>380</v>
      </c>
      <c r="D3907" s="8">
        <v>111.76</v>
      </c>
    </row>
    <row r="3908" spans="1:4">
      <c r="A3908" s="7" t="s">
        <v>1891</v>
      </c>
      <c r="B3908" s="8">
        <v>318.04000000000002</v>
      </c>
      <c r="C3908" s="8">
        <v>390</v>
      </c>
      <c r="D3908" s="8">
        <v>81.55</v>
      </c>
    </row>
    <row r="3909" spans="1:4">
      <c r="A3909" s="7" t="s">
        <v>2235</v>
      </c>
      <c r="B3909" s="8">
        <v>108.27</v>
      </c>
      <c r="C3909" s="8">
        <v>134.1</v>
      </c>
      <c r="D3909" s="8">
        <v>80.739999999999995</v>
      </c>
    </row>
    <row r="3910" spans="1:4">
      <c r="A3910" s="7" t="s">
        <v>1892</v>
      </c>
      <c r="B3910" s="8">
        <v>108.27</v>
      </c>
      <c r="C3910" s="8">
        <v>134.1</v>
      </c>
      <c r="D3910" s="8">
        <v>80.739999999999995</v>
      </c>
    </row>
    <row r="3911" spans="1:4">
      <c r="A3911" s="7" t="s">
        <v>1893</v>
      </c>
      <c r="B3911" s="8">
        <v>321.42</v>
      </c>
      <c r="C3911" s="8">
        <v>380</v>
      </c>
      <c r="D3911" s="8">
        <v>84.58</v>
      </c>
    </row>
    <row r="3912" spans="1:4">
      <c r="A3912" s="7" t="s">
        <v>1894</v>
      </c>
      <c r="B3912" s="8">
        <v>216.57</v>
      </c>
      <c r="C3912" s="8">
        <v>240</v>
      </c>
      <c r="D3912" s="8">
        <v>90.24</v>
      </c>
    </row>
    <row r="3913" spans="1:4">
      <c r="A3913" s="7" t="s">
        <v>1895</v>
      </c>
      <c r="B3913" s="8">
        <v>531.83000000000004</v>
      </c>
      <c r="C3913" s="8">
        <v>655.20000000000005</v>
      </c>
      <c r="D3913" s="8">
        <v>81.17</v>
      </c>
    </row>
    <row r="3914" spans="1:4">
      <c r="A3914" s="7" t="s">
        <v>1896</v>
      </c>
      <c r="B3914" s="8">
        <v>414.2</v>
      </c>
      <c r="C3914" s="8">
        <v>505</v>
      </c>
      <c r="D3914" s="8">
        <v>82.02</v>
      </c>
    </row>
    <row r="3915" spans="1:4">
      <c r="A3915" s="7" t="s">
        <v>1897</v>
      </c>
      <c r="B3915" s="8">
        <v>568.39</v>
      </c>
      <c r="C3915" s="8">
        <v>282.25</v>
      </c>
      <c r="D3915" s="8">
        <v>201.38</v>
      </c>
    </row>
    <row r="3916" spans="1:4">
      <c r="A3916" s="7" t="s">
        <v>2248</v>
      </c>
      <c r="B3916" s="8">
        <v>223.68</v>
      </c>
      <c r="C3916" s="8">
        <v>234.1</v>
      </c>
      <c r="D3916" s="8">
        <v>95.55</v>
      </c>
    </row>
    <row r="3917" spans="1:4">
      <c r="A3917" s="7" t="s">
        <v>1898</v>
      </c>
      <c r="B3917" s="8">
        <v>321.42</v>
      </c>
      <c r="C3917" s="8">
        <v>380</v>
      </c>
      <c r="D3917" s="8">
        <v>84.58</v>
      </c>
    </row>
    <row r="3918" spans="1:4">
      <c r="A3918" s="7" t="s">
        <v>1899</v>
      </c>
      <c r="B3918" s="8">
        <v>383.49</v>
      </c>
      <c r="C3918" s="8">
        <v>301.39999999999998</v>
      </c>
      <c r="D3918" s="8">
        <v>127.24</v>
      </c>
    </row>
    <row r="3919" spans="1:4">
      <c r="A3919" s="7" t="s">
        <v>1900</v>
      </c>
      <c r="B3919" s="8">
        <v>108.27</v>
      </c>
      <c r="C3919" s="8">
        <v>134.1</v>
      </c>
      <c r="D3919" s="8">
        <v>80.739999999999995</v>
      </c>
    </row>
    <row r="3920" spans="1:4">
      <c r="A3920" s="7" t="s">
        <v>1901</v>
      </c>
      <c r="B3920" s="8">
        <v>108.27</v>
      </c>
      <c r="C3920" s="8">
        <v>134.1</v>
      </c>
      <c r="D3920" s="8">
        <v>80.739999999999995</v>
      </c>
    </row>
    <row r="3921" spans="1:4">
      <c r="A3921" s="7" t="s">
        <v>1902</v>
      </c>
      <c r="B3921" s="8">
        <v>346.72</v>
      </c>
      <c r="C3921" s="8">
        <v>301.39999999999998</v>
      </c>
      <c r="D3921" s="8">
        <v>115.04</v>
      </c>
    </row>
    <row r="3922" spans="1:4">
      <c r="A3922" s="7" t="s">
        <v>1903</v>
      </c>
      <c r="B3922" s="8">
        <v>414.2</v>
      </c>
      <c r="C3922" s="8">
        <v>505</v>
      </c>
      <c r="D3922" s="8">
        <v>82.02</v>
      </c>
    </row>
    <row r="3923" spans="1:4">
      <c r="A3923" s="7" t="s">
        <v>1904</v>
      </c>
      <c r="B3923" s="8">
        <v>575.49</v>
      </c>
      <c r="C3923" s="8">
        <v>282.25</v>
      </c>
      <c r="D3923" s="8">
        <v>203.89</v>
      </c>
    </row>
    <row r="3924" spans="1:4">
      <c r="A3924" s="7" t="s">
        <v>2249</v>
      </c>
      <c r="B3924" s="8">
        <v>223.68</v>
      </c>
      <c r="C3924" s="8">
        <v>234.1</v>
      </c>
      <c r="D3924" s="8">
        <v>95.55</v>
      </c>
    </row>
    <row r="3925" spans="1:4">
      <c r="A3925" s="7" t="s">
        <v>1905</v>
      </c>
      <c r="B3925" s="8">
        <v>321.42</v>
      </c>
      <c r="C3925" s="8">
        <v>380</v>
      </c>
      <c r="D3925" s="8">
        <v>84.58</v>
      </c>
    </row>
    <row r="3926" spans="1:4">
      <c r="A3926" s="7" t="s">
        <v>1906</v>
      </c>
      <c r="B3926" s="8">
        <v>145.72</v>
      </c>
      <c r="C3926" s="8">
        <v>167.95</v>
      </c>
      <c r="D3926" s="8">
        <v>86.76</v>
      </c>
    </row>
    <row r="3927" spans="1:4">
      <c r="A3927" s="7" t="s">
        <v>1907</v>
      </c>
      <c r="B3927" s="8">
        <v>188.93</v>
      </c>
      <c r="C3927" s="8">
        <v>232.75</v>
      </c>
      <c r="D3927" s="8">
        <v>81.17</v>
      </c>
    </row>
    <row r="3928" spans="1:4">
      <c r="A3928" s="7" t="s">
        <v>1908</v>
      </c>
      <c r="B3928" s="8">
        <v>188.93</v>
      </c>
      <c r="C3928" s="8">
        <v>232.75</v>
      </c>
      <c r="D3928" s="8">
        <v>81.17</v>
      </c>
    </row>
    <row r="3929" spans="1:4">
      <c r="A3929" s="7" t="s">
        <v>1909</v>
      </c>
      <c r="B3929" s="8">
        <v>148.65</v>
      </c>
      <c r="C3929" s="8">
        <v>167.95</v>
      </c>
      <c r="D3929" s="8">
        <v>88.51</v>
      </c>
    </row>
    <row r="3930" spans="1:4">
      <c r="A3930" s="7" t="s">
        <v>1910</v>
      </c>
      <c r="B3930" s="8">
        <v>535.62</v>
      </c>
      <c r="C3930" s="8">
        <v>635.20000000000005</v>
      </c>
      <c r="D3930" s="8">
        <v>84.32</v>
      </c>
    </row>
    <row r="3931" spans="1:4">
      <c r="A3931" s="7" t="s">
        <v>1911</v>
      </c>
      <c r="B3931" s="8">
        <v>551.62</v>
      </c>
      <c r="C3931" s="8">
        <v>282.25</v>
      </c>
      <c r="D3931" s="8">
        <v>195.44</v>
      </c>
    </row>
    <row r="3932" spans="1:4">
      <c r="A3932" s="7" t="s">
        <v>2250</v>
      </c>
      <c r="B3932" s="8">
        <v>223.68</v>
      </c>
      <c r="C3932" s="8">
        <v>234.1</v>
      </c>
      <c r="D3932" s="8">
        <v>95.55</v>
      </c>
    </row>
    <row r="3933" spans="1:4">
      <c r="A3933" s="7" t="s">
        <v>1912</v>
      </c>
      <c r="B3933" s="8">
        <v>424.69</v>
      </c>
      <c r="C3933" s="8">
        <v>380</v>
      </c>
      <c r="D3933" s="8">
        <v>111.76</v>
      </c>
    </row>
    <row r="3934" spans="1:4">
      <c r="A3934" s="7" t="s">
        <v>1913</v>
      </c>
      <c r="B3934" s="8">
        <v>145.72</v>
      </c>
      <c r="C3934" s="8">
        <v>167.95</v>
      </c>
      <c r="D3934" s="8">
        <v>86.76</v>
      </c>
    </row>
    <row r="3935" spans="1:4">
      <c r="A3935" s="7" t="s">
        <v>1914</v>
      </c>
      <c r="B3935" s="8">
        <v>188.93</v>
      </c>
      <c r="C3935" s="8">
        <v>232.75</v>
      </c>
      <c r="D3935" s="8">
        <v>81.17</v>
      </c>
    </row>
    <row r="3936" spans="1:4">
      <c r="A3936" s="7" t="s">
        <v>1915</v>
      </c>
      <c r="B3936" s="8">
        <v>188.93</v>
      </c>
      <c r="C3936" s="8">
        <v>232.75</v>
      </c>
      <c r="D3936" s="8">
        <v>81.17</v>
      </c>
    </row>
    <row r="3937" spans="1:4">
      <c r="A3937" s="7" t="s">
        <v>1916</v>
      </c>
      <c r="B3937" s="8">
        <v>145.72</v>
      </c>
      <c r="C3937" s="8">
        <v>167.95</v>
      </c>
      <c r="D3937" s="8">
        <v>86.76</v>
      </c>
    </row>
    <row r="3938" spans="1:4">
      <c r="A3938" s="7" t="s">
        <v>1917</v>
      </c>
      <c r="B3938" s="8">
        <v>600</v>
      </c>
      <c r="C3938" s="8">
        <v>1369.07</v>
      </c>
      <c r="D3938" s="8">
        <v>43.83</v>
      </c>
    </row>
    <row r="3939" spans="1:4">
      <c r="A3939" s="7" t="s">
        <v>1918</v>
      </c>
      <c r="B3939" s="8">
        <v>338.99</v>
      </c>
      <c r="C3939" s="8">
        <v>280</v>
      </c>
      <c r="D3939" s="8">
        <v>121.07</v>
      </c>
    </row>
    <row r="3940" spans="1:4">
      <c r="A3940" s="7" t="s">
        <v>1919</v>
      </c>
      <c r="B3940" s="8">
        <v>108.27</v>
      </c>
      <c r="C3940" s="8">
        <v>134.1</v>
      </c>
      <c r="D3940" s="8">
        <v>80.739999999999995</v>
      </c>
    </row>
    <row r="3941" spans="1:4">
      <c r="A3941" s="7" t="s">
        <v>1920</v>
      </c>
      <c r="B3941" s="8">
        <v>108.27</v>
      </c>
      <c r="C3941" s="8">
        <v>134.1</v>
      </c>
      <c r="D3941" s="8">
        <v>80.739999999999995</v>
      </c>
    </row>
    <row r="3942" spans="1:4">
      <c r="A3942" s="7" t="s">
        <v>1921</v>
      </c>
      <c r="B3942" s="8">
        <v>436.75</v>
      </c>
      <c r="C3942" s="8">
        <v>354.8</v>
      </c>
      <c r="D3942" s="8">
        <v>123.1</v>
      </c>
    </row>
    <row r="3943" spans="1:4">
      <c r="A3943" s="7" t="s">
        <v>1922</v>
      </c>
      <c r="B3943" s="8">
        <v>571.86</v>
      </c>
      <c r="C3943" s="8">
        <v>354.8</v>
      </c>
      <c r="D3943" s="8">
        <v>161.18</v>
      </c>
    </row>
    <row r="3944" spans="1:4">
      <c r="A3944" s="7" t="s">
        <v>1923</v>
      </c>
      <c r="B3944" s="8">
        <v>121.18</v>
      </c>
      <c r="C3944" s="8">
        <v>134.1</v>
      </c>
      <c r="D3944" s="8">
        <v>90.37</v>
      </c>
    </row>
    <row r="3945" spans="1:4">
      <c r="A3945" s="7" t="s">
        <v>1924</v>
      </c>
      <c r="B3945" s="8">
        <v>124.11</v>
      </c>
      <c r="C3945" s="8">
        <v>134.1</v>
      </c>
      <c r="D3945" s="8">
        <v>92.55</v>
      </c>
    </row>
    <row r="3946" spans="1:4">
      <c r="A3946" s="7" t="s">
        <v>1925</v>
      </c>
      <c r="B3946" s="8">
        <v>571.86</v>
      </c>
      <c r="C3946" s="8">
        <v>354.8</v>
      </c>
      <c r="D3946" s="8">
        <v>161.18</v>
      </c>
    </row>
    <row r="3947" spans="1:4">
      <c r="A3947" s="7" t="s">
        <v>1926</v>
      </c>
      <c r="B3947" s="8">
        <v>166.17</v>
      </c>
      <c r="C3947" s="8">
        <v>223</v>
      </c>
      <c r="D3947" s="8">
        <v>74.52</v>
      </c>
    </row>
    <row r="3948" spans="1:4">
      <c r="A3948" s="7" t="s">
        <v>1927</v>
      </c>
      <c r="B3948" s="8">
        <v>183.98</v>
      </c>
      <c r="C3948" s="8">
        <v>223.01</v>
      </c>
      <c r="D3948" s="8">
        <v>82.5</v>
      </c>
    </row>
    <row r="3949" spans="1:4">
      <c r="A3949" s="7" t="s">
        <v>1928</v>
      </c>
      <c r="B3949" s="8">
        <v>295</v>
      </c>
      <c r="C3949" s="8">
        <v>223</v>
      </c>
      <c r="D3949" s="8">
        <v>132.29</v>
      </c>
    </row>
    <row r="3950" spans="1:4">
      <c r="A3950" s="7" t="s">
        <v>1929</v>
      </c>
      <c r="B3950" s="8">
        <v>292.17</v>
      </c>
      <c r="C3950" s="8">
        <v>223</v>
      </c>
      <c r="D3950" s="8">
        <v>131.02000000000001</v>
      </c>
    </row>
    <row r="3951" spans="1:4">
      <c r="A3951" s="7" t="s">
        <v>1930</v>
      </c>
      <c r="B3951" s="8">
        <v>183.98</v>
      </c>
      <c r="C3951" s="8">
        <v>223.01</v>
      </c>
      <c r="D3951" s="8">
        <v>82.5</v>
      </c>
    </row>
    <row r="3952" spans="1:4">
      <c r="A3952" s="7" t="s">
        <v>1931</v>
      </c>
      <c r="B3952" s="8">
        <v>166.17</v>
      </c>
      <c r="C3952" s="8">
        <v>223</v>
      </c>
      <c r="D3952" s="8">
        <v>74.52</v>
      </c>
    </row>
    <row r="3953" spans="1:4">
      <c r="A3953" s="7" t="s">
        <v>1932</v>
      </c>
      <c r="B3953" s="8">
        <v>144.28</v>
      </c>
      <c r="C3953" s="8">
        <v>167.95</v>
      </c>
      <c r="D3953" s="8">
        <v>85.91</v>
      </c>
    </row>
    <row r="3954" spans="1:4">
      <c r="A3954" s="7" t="s">
        <v>1933</v>
      </c>
      <c r="B3954" s="8">
        <v>225.85</v>
      </c>
      <c r="C3954" s="8">
        <v>234.1</v>
      </c>
      <c r="D3954" s="8">
        <v>96.47</v>
      </c>
    </row>
    <row r="3955" spans="1:4">
      <c r="A3955" s="7" t="s">
        <v>1934</v>
      </c>
      <c r="B3955" s="8">
        <v>195.23</v>
      </c>
      <c r="C3955" s="8">
        <v>157.94999999999999</v>
      </c>
      <c r="D3955" s="8">
        <v>123.6</v>
      </c>
    </row>
    <row r="3956" spans="1:4">
      <c r="A3956" s="7" t="s">
        <v>1935</v>
      </c>
      <c r="B3956" s="8">
        <v>547.70000000000005</v>
      </c>
      <c r="C3956" s="8">
        <v>390</v>
      </c>
      <c r="D3956" s="8">
        <v>140.44</v>
      </c>
    </row>
    <row r="3957" spans="1:4">
      <c r="A3957" s="7" t="s">
        <v>1936</v>
      </c>
      <c r="B3957" s="8">
        <v>215.16</v>
      </c>
      <c r="C3957" s="8">
        <v>165.2</v>
      </c>
      <c r="D3957" s="8">
        <v>130.24</v>
      </c>
    </row>
    <row r="3958" spans="1:4">
      <c r="A3958" s="7" t="s">
        <v>1937</v>
      </c>
      <c r="B3958" s="8">
        <v>242.31</v>
      </c>
      <c r="C3958" s="8">
        <v>192.6</v>
      </c>
      <c r="D3958" s="8">
        <v>125.81</v>
      </c>
    </row>
    <row r="3959" spans="1:4">
      <c r="A3959" s="7" t="s">
        <v>1938</v>
      </c>
      <c r="B3959" s="8">
        <v>249.5</v>
      </c>
      <c r="C3959" s="8">
        <v>240</v>
      </c>
      <c r="D3959" s="8">
        <v>103.96</v>
      </c>
    </row>
    <row r="3960" spans="1:4">
      <c r="A3960" s="7" t="s">
        <v>1939</v>
      </c>
      <c r="B3960" s="8">
        <v>341.95</v>
      </c>
      <c r="C3960" s="8">
        <v>297.60000000000002</v>
      </c>
      <c r="D3960" s="8">
        <v>114.9</v>
      </c>
    </row>
    <row r="3961" spans="1:4">
      <c r="A3961" s="7" t="s">
        <v>1940</v>
      </c>
      <c r="B3961" s="8">
        <v>80</v>
      </c>
      <c r="C3961" s="8">
        <v>80</v>
      </c>
      <c r="D3961" s="8">
        <v>100</v>
      </c>
    </row>
    <row r="3962" spans="1:4">
      <c r="A3962" s="7" t="s">
        <v>1941</v>
      </c>
      <c r="B3962" s="8">
        <v>80</v>
      </c>
      <c r="C3962" s="8">
        <v>80</v>
      </c>
      <c r="D3962" s="8">
        <v>100</v>
      </c>
    </row>
    <row r="3963" spans="1:4">
      <c r="A3963" s="7" t="s">
        <v>1942</v>
      </c>
      <c r="B3963" s="8">
        <v>80</v>
      </c>
      <c r="C3963" s="8">
        <v>80</v>
      </c>
      <c r="D3963" s="8">
        <v>100</v>
      </c>
    </row>
    <row r="3964" spans="1:4">
      <c r="A3964" s="7" t="s">
        <v>1943</v>
      </c>
      <c r="B3964" s="8">
        <v>80</v>
      </c>
      <c r="C3964" s="8">
        <v>80</v>
      </c>
      <c r="D3964" s="8">
        <v>100</v>
      </c>
    </row>
    <row r="3965" spans="1:4">
      <c r="A3965" s="7" t="s">
        <v>1944</v>
      </c>
      <c r="B3965" s="8">
        <v>157.87</v>
      </c>
      <c r="C3965" s="8">
        <v>172.4</v>
      </c>
      <c r="D3965" s="8">
        <v>91.57</v>
      </c>
    </row>
    <row r="3966" spans="1:4">
      <c r="A3966" s="7" t="s">
        <v>1945</v>
      </c>
      <c r="B3966" s="8">
        <v>141.91999999999999</v>
      </c>
      <c r="C3966" s="8">
        <v>180</v>
      </c>
      <c r="D3966" s="8">
        <v>78.849999999999994</v>
      </c>
    </row>
    <row r="3967" spans="1:4">
      <c r="A3967" s="7" t="s">
        <v>1946</v>
      </c>
      <c r="B3967" s="8">
        <v>926</v>
      </c>
      <c r="C3967" s="8">
        <v>1128.31</v>
      </c>
      <c r="D3967" s="8">
        <v>82.07</v>
      </c>
    </row>
    <row r="3968" spans="1:4">
      <c r="A3968" s="7" t="s">
        <v>1947</v>
      </c>
      <c r="B3968" s="8">
        <v>728.4</v>
      </c>
      <c r="C3968" s="8">
        <v>677.21</v>
      </c>
      <c r="D3968" s="8">
        <v>107.56</v>
      </c>
    </row>
    <row r="3969" spans="1:4">
      <c r="A3969" s="7" t="s">
        <v>1948</v>
      </c>
      <c r="B3969" s="8">
        <v>170.71</v>
      </c>
      <c r="C3969" s="8">
        <v>200</v>
      </c>
      <c r="D3969" s="8">
        <v>85.36</v>
      </c>
    </row>
    <row r="3970" spans="1:4">
      <c r="A3970" s="7" t="s">
        <v>1949</v>
      </c>
      <c r="B3970" s="8">
        <v>100</v>
      </c>
      <c r="C3970" s="8">
        <v>100</v>
      </c>
      <c r="D3970" s="8">
        <v>100</v>
      </c>
    </row>
    <row r="3971" spans="1:4">
      <c r="A3971" s="7" t="s">
        <v>1950</v>
      </c>
      <c r="B3971" s="8">
        <v>112.34</v>
      </c>
      <c r="C3971" s="8">
        <v>129.80000000000001</v>
      </c>
      <c r="D3971" s="8">
        <v>86.55</v>
      </c>
    </row>
    <row r="3972" spans="1:4">
      <c r="A3972" s="7" t="s">
        <v>1951</v>
      </c>
      <c r="B3972" s="8">
        <v>118.64</v>
      </c>
      <c r="C3972" s="8">
        <v>145</v>
      </c>
      <c r="D3972" s="8">
        <v>81.819999999999993</v>
      </c>
    </row>
    <row r="3973" spans="1:4">
      <c r="A3973" s="7" t="s">
        <v>1952</v>
      </c>
      <c r="B3973" s="8">
        <v>162.43</v>
      </c>
      <c r="C3973" s="8">
        <v>180</v>
      </c>
      <c r="D3973" s="8">
        <v>90.24</v>
      </c>
    </row>
    <row r="3974" spans="1:4">
      <c r="A3974" s="7" t="s">
        <v>1953</v>
      </c>
      <c r="B3974" s="8">
        <v>361.04</v>
      </c>
      <c r="C3974" s="8">
        <v>300</v>
      </c>
      <c r="D3974" s="8">
        <v>120.35</v>
      </c>
    </row>
    <row r="3975" spans="1:4">
      <c r="A3975" s="7" t="s">
        <v>1954</v>
      </c>
      <c r="B3975" s="8">
        <v>1874.52</v>
      </c>
      <c r="C3975" s="8">
        <v>1919.1</v>
      </c>
      <c r="D3975" s="8">
        <v>97.68</v>
      </c>
    </row>
    <row r="3976" spans="1:4">
      <c r="A3976" s="7" t="s">
        <v>1955</v>
      </c>
      <c r="B3976" s="8">
        <v>172.64</v>
      </c>
      <c r="C3976" s="8">
        <v>155.08000000000001</v>
      </c>
      <c r="D3976" s="8">
        <v>111.32</v>
      </c>
    </row>
    <row r="3977" spans="1:4">
      <c r="A3977" s="7" t="s">
        <v>1956</v>
      </c>
      <c r="B3977" s="8">
        <v>117.51</v>
      </c>
      <c r="C3977" s="8">
        <v>142.28</v>
      </c>
      <c r="D3977" s="8">
        <v>82.59</v>
      </c>
    </row>
    <row r="3978" spans="1:4">
      <c r="A3978" s="7" t="s">
        <v>1957</v>
      </c>
      <c r="B3978" s="8">
        <v>289.36</v>
      </c>
      <c r="C3978" s="8">
        <v>263.8</v>
      </c>
      <c r="D3978" s="8">
        <v>109.69</v>
      </c>
    </row>
    <row r="3979" spans="1:4">
      <c r="A3979" s="7" t="s">
        <v>1958</v>
      </c>
      <c r="B3979" s="8">
        <v>450.23</v>
      </c>
      <c r="C3979" s="8">
        <v>297.60000000000002</v>
      </c>
      <c r="D3979" s="8">
        <v>151.29</v>
      </c>
    </row>
    <row r="3980" spans="1:4">
      <c r="A3980" s="7" t="s">
        <v>1959</v>
      </c>
      <c r="B3980" s="8">
        <v>142.79</v>
      </c>
      <c r="C3980" s="8">
        <v>167.95</v>
      </c>
      <c r="D3980" s="8">
        <v>85.02</v>
      </c>
    </row>
    <row r="3981" spans="1:4">
      <c r="A3981" s="7" t="s">
        <v>1960</v>
      </c>
      <c r="B3981" s="8">
        <v>188.93</v>
      </c>
      <c r="C3981" s="8">
        <v>232.75</v>
      </c>
      <c r="D3981" s="8">
        <v>81.17</v>
      </c>
    </row>
    <row r="3982" spans="1:4">
      <c r="A3982" s="7" t="s">
        <v>1961</v>
      </c>
      <c r="B3982" s="8">
        <v>188.93</v>
      </c>
      <c r="C3982" s="8">
        <v>232.75</v>
      </c>
      <c r="D3982" s="8">
        <v>81.17</v>
      </c>
    </row>
    <row r="3983" spans="1:4">
      <c r="A3983" s="7" t="s">
        <v>1962</v>
      </c>
      <c r="B3983" s="8">
        <v>142.79</v>
      </c>
      <c r="C3983" s="8">
        <v>167.95</v>
      </c>
      <c r="D3983" s="8">
        <v>85.02</v>
      </c>
    </row>
    <row r="3984" spans="1:4">
      <c r="A3984" s="7" t="s">
        <v>1963</v>
      </c>
      <c r="B3984" s="8">
        <v>143.9</v>
      </c>
      <c r="C3984" s="8">
        <v>167.95</v>
      </c>
      <c r="D3984" s="8">
        <v>85.68</v>
      </c>
    </row>
    <row r="3985" spans="1:4">
      <c r="A3985" s="7" t="s">
        <v>1964</v>
      </c>
      <c r="B3985" s="8">
        <v>188.93</v>
      </c>
      <c r="C3985" s="8">
        <v>232.75</v>
      </c>
      <c r="D3985" s="8">
        <v>81.17</v>
      </c>
    </row>
    <row r="3986" spans="1:4">
      <c r="A3986" s="7" t="s">
        <v>1965</v>
      </c>
      <c r="B3986" s="8">
        <v>188.93</v>
      </c>
      <c r="C3986" s="8">
        <v>232.75</v>
      </c>
      <c r="D3986" s="8">
        <v>81.17</v>
      </c>
    </row>
    <row r="3987" spans="1:4">
      <c r="A3987" s="7" t="s">
        <v>1966</v>
      </c>
      <c r="B3987" s="8">
        <v>143.9</v>
      </c>
      <c r="C3987" s="8">
        <v>167.95</v>
      </c>
      <c r="D3987" s="8">
        <v>85.68</v>
      </c>
    </row>
    <row r="3988" spans="1:4">
      <c r="A3988" s="7" t="s">
        <v>1967</v>
      </c>
      <c r="B3988" s="8">
        <v>595.58000000000004</v>
      </c>
      <c r="C3988" s="8">
        <v>240</v>
      </c>
      <c r="D3988" s="8">
        <v>248.16</v>
      </c>
    </row>
    <row r="3989" spans="1:4">
      <c r="A3989" s="7" t="s">
        <v>1968</v>
      </c>
      <c r="B3989" s="8">
        <v>424.96</v>
      </c>
      <c r="C3989" s="8">
        <v>297.60000000000002</v>
      </c>
      <c r="D3989" s="8">
        <v>142.80000000000001</v>
      </c>
    </row>
    <row r="3990" spans="1:4">
      <c r="A3990" s="7" t="s">
        <v>1969</v>
      </c>
      <c r="B3990" s="8">
        <v>171.81</v>
      </c>
      <c r="C3990" s="8">
        <v>155.08000000000001</v>
      </c>
      <c r="D3990" s="8">
        <v>110.79</v>
      </c>
    </row>
    <row r="3991" spans="1:4">
      <c r="A3991" s="7" t="s">
        <v>1970</v>
      </c>
      <c r="B3991" s="8">
        <v>111.69</v>
      </c>
      <c r="C3991" s="8">
        <v>132.44999999999999</v>
      </c>
      <c r="D3991" s="8">
        <v>84.33</v>
      </c>
    </row>
    <row r="3992" spans="1:4">
      <c r="A3992" s="7" t="s">
        <v>1971</v>
      </c>
      <c r="B3992" s="8">
        <v>171.4</v>
      </c>
      <c r="C3992" s="8">
        <v>198.82</v>
      </c>
      <c r="D3992" s="8">
        <v>86.21</v>
      </c>
    </row>
    <row r="3993" spans="1:4">
      <c r="A3993" s="7" t="s">
        <v>1972</v>
      </c>
      <c r="B3993" s="8">
        <v>427.12</v>
      </c>
      <c r="C3993" s="8">
        <v>394.2</v>
      </c>
      <c r="D3993" s="8">
        <v>108.35</v>
      </c>
    </row>
    <row r="3994" spans="1:4">
      <c r="A3994" s="7" t="s">
        <v>1973</v>
      </c>
      <c r="B3994" s="8">
        <v>338.55</v>
      </c>
      <c r="C3994" s="8">
        <v>394.2</v>
      </c>
      <c r="D3994" s="8">
        <v>85.88</v>
      </c>
    </row>
    <row r="3995" spans="1:4">
      <c r="A3995" s="7" t="s">
        <v>1974</v>
      </c>
      <c r="B3995" s="8">
        <v>120.62</v>
      </c>
      <c r="C3995" s="8">
        <v>154.02000000000001</v>
      </c>
      <c r="D3995" s="8">
        <v>78.319999999999993</v>
      </c>
    </row>
    <row r="3996" spans="1:4">
      <c r="A3996" s="7" t="s">
        <v>1975</v>
      </c>
      <c r="B3996" s="8">
        <v>109.68</v>
      </c>
      <c r="C3996" s="8">
        <v>130.44</v>
      </c>
      <c r="D3996" s="8">
        <v>84.08</v>
      </c>
    </row>
    <row r="3997" spans="1:4">
      <c r="A3997" s="7" t="s">
        <v>1976</v>
      </c>
      <c r="B3997" s="8">
        <v>148.65</v>
      </c>
      <c r="C3997" s="8">
        <v>167.95</v>
      </c>
      <c r="D3997" s="8">
        <v>88.51</v>
      </c>
    </row>
    <row r="3998" spans="1:4">
      <c r="A3998" s="7" t="s">
        <v>1977</v>
      </c>
      <c r="B3998" s="8">
        <v>188.93</v>
      </c>
      <c r="C3998" s="8">
        <v>232.75</v>
      </c>
      <c r="D3998" s="8">
        <v>81.17</v>
      </c>
    </row>
    <row r="3999" spans="1:4">
      <c r="A3999" s="7" t="s">
        <v>1978</v>
      </c>
      <c r="B3999" s="8">
        <v>188.93</v>
      </c>
      <c r="C3999" s="8">
        <v>232.75</v>
      </c>
      <c r="D3999" s="8">
        <v>81.17</v>
      </c>
    </row>
    <row r="4000" spans="1:4">
      <c r="A4000" s="7" t="s">
        <v>1979</v>
      </c>
      <c r="B4000" s="8">
        <v>148.65</v>
      </c>
      <c r="C4000" s="8">
        <v>167.95</v>
      </c>
      <c r="D4000" s="8">
        <v>88.51</v>
      </c>
    </row>
    <row r="4001" spans="1:4">
      <c r="A4001" s="7" t="s">
        <v>1980</v>
      </c>
      <c r="B4001" s="8">
        <v>148.65</v>
      </c>
      <c r="C4001" s="8">
        <v>167.95</v>
      </c>
      <c r="D4001" s="8">
        <v>88.51</v>
      </c>
    </row>
    <row r="4002" spans="1:4">
      <c r="A4002" s="7" t="s">
        <v>1981</v>
      </c>
      <c r="B4002" s="8">
        <v>188.93</v>
      </c>
      <c r="C4002" s="8">
        <v>232.75</v>
      </c>
      <c r="D4002" s="8">
        <v>81.17</v>
      </c>
    </row>
    <row r="4003" spans="1:4">
      <c r="A4003" s="7" t="s">
        <v>1982</v>
      </c>
      <c r="B4003" s="8">
        <v>188.93</v>
      </c>
      <c r="C4003" s="8">
        <v>232.75</v>
      </c>
      <c r="D4003" s="8">
        <v>81.17</v>
      </c>
    </row>
    <row r="4004" spans="1:4">
      <c r="A4004" s="7" t="s">
        <v>1983</v>
      </c>
      <c r="B4004" s="8">
        <v>148.65</v>
      </c>
      <c r="C4004" s="8">
        <v>167.95</v>
      </c>
      <c r="D4004" s="8">
        <v>88.51</v>
      </c>
    </row>
    <row r="4005" spans="1:4">
      <c r="A4005" s="7" t="s">
        <v>1984</v>
      </c>
      <c r="B4005" s="8">
        <v>475.17</v>
      </c>
      <c r="C4005" s="8">
        <v>523.22</v>
      </c>
      <c r="D4005" s="8">
        <v>90.82</v>
      </c>
    </row>
    <row r="4006" spans="1:4">
      <c r="A4006" s="7" t="s">
        <v>1985</v>
      </c>
      <c r="B4006" s="8">
        <v>857.98</v>
      </c>
      <c r="C4006" s="8">
        <v>990.62</v>
      </c>
      <c r="D4006" s="8">
        <v>86.61</v>
      </c>
    </row>
    <row r="4007" spans="1:4">
      <c r="A4007" s="7" t="s">
        <v>1986</v>
      </c>
      <c r="B4007" s="8">
        <v>80</v>
      </c>
      <c r="C4007" s="8">
        <v>80</v>
      </c>
      <c r="D4007" s="8">
        <v>100</v>
      </c>
    </row>
    <row r="4008" spans="1:4">
      <c r="A4008" s="7" t="s">
        <v>1987</v>
      </c>
      <c r="B4008" s="8">
        <v>80</v>
      </c>
      <c r="C4008" s="8">
        <v>80</v>
      </c>
      <c r="D4008" s="8">
        <v>100</v>
      </c>
    </row>
    <row r="4009" spans="1:4">
      <c r="A4009" s="7" t="s">
        <v>1988</v>
      </c>
      <c r="B4009" s="8">
        <v>480</v>
      </c>
      <c r="C4009" s="8">
        <v>7733.32</v>
      </c>
      <c r="D4009" s="8">
        <v>6.21</v>
      </c>
    </row>
    <row r="4010" spans="1:4">
      <c r="A4010" s="7" t="s">
        <v>1989</v>
      </c>
      <c r="B4010" s="8">
        <v>390.19</v>
      </c>
      <c r="C4010" s="8">
        <v>401.15</v>
      </c>
      <c r="D4010" s="8">
        <v>97.27</v>
      </c>
    </row>
    <row r="4011" spans="1:4">
      <c r="A4011" s="7" t="s">
        <v>1990</v>
      </c>
      <c r="B4011" s="8">
        <v>6999.39</v>
      </c>
      <c r="C4011" s="8">
        <v>645</v>
      </c>
      <c r="D4011" s="8">
        <v>1085.18</v>
      </c>
    </row>
    <row r="4012" spans="1:4">
      <c r="A4012" s="7" t="s">
        <v>1991</v>
      </c>
      <c r="B4012" s="8">
        <v>958.37</v>
      </c>
      <c r="C4012" s="8">
        <v>789.8</v>
      </c>
      <c r="D4012" s="8">
        <v>121.34</v>
      </c>
    </row>
    <row r="4013" spans="1:4">
      <c r="A4013" s="7" t="s">
        <v>1992</v>
      </c>
      <c r="B4013" s="8">
        <v>108.27</v>
      </c>
      <c r="C4013" s="8">
        <v>134.1</v>
      </c>
      <c r="D4013" s="8">
        <v>80.739999999999995</v>
      </c>
    </row>
    <row r="4014" spans="1:4">
      <c r="A4014" s="7" t="s">
        <v>1993</v>
      </c>
      <c r="B4014" s="8">
        <v>108.27</v>
      </c>
      <c r="C4014" s="8">
        <v>134.1</v>
      </c>
      <c r="D4014" s="8">
        <v>80.739999999999995</v>
      </c>
    </row>
    <row r="4015" spans="1:4">
      <c r="A4015" s="7" t="s">
        <v>1994</v>
      </c>
      <c r="B4015" s="8">
        <v>822.13</v>
      </c>
      <c r="C4015" s="8">
        <v>910</v>
      </c>
      <c r="D4015" s="8">
        <v>90.34</v>
      </c>
    </row>
    <row r="4016" spans="1:4">
      <c r="A4016" s="7" t="s">
        <v>1995</v>
      </c>
      <c r="B4016" s="8">
        <v>116.58</v>
      </c>
      <c r="C4016" s="8">
        <v>144.25</v>
      </c>
      <c r="D4016" s="8">
        <v>80.819999999999993</v>
      </c>
    </row>
    <row r="4017" spans="1:4">
      <c r="A4017" s="7" t="s">
        <v>1996</v>
      </c>
      <c r="B4017" s="8">
        <v>296.87</v>
      </c>
      <c r="C4017" s="8">
        <v>223.01</v>
      </c>
      <c r="D4017" s="8">
        <v>133.12</v>
      </c>
    </row>
    <row r="4018" spans="1:4">
      <c r="A4018" s="7" t="s">
        <v>1997</v>
      </c>
      <c r="B4018" s="8">
        <v>510.84</v>
      </c>
      <c r="C4018" s="8">
        <v>433.22</v>
      </c>
      <c r="D4018" s="8">
        <v>117.92</v>
      </c>
    </row>
    <row r="4019" spans="1:4">
      <c r="A4019" s="7" t="s">
        <v>1998</v>
      </c>
      <c r="B4019" s="8">
        <v>448.52</v>
      </c>
      <c r="C4019" s="8">
        <v>433.22</v>
      </c>
      <c r="D4019" s="8">
        <v>103.53</v>
      </c>
    </row>
    <row r="4020" spans="1:4">
      <c r="A4020" s="7" t="s">
        <v>1999</v>
      </c>
      <c r="B4020" s="8">
        <v>304.86</v>
      </c>
      <c r="C4020" s="8">
        <v>221</v>
      </c>
      <c r="D4020" s="8">
        <v>137.94</v>
      </c>
    </row>
    <row r="4021" spans="1:4">
      <c r="A4021" s="7" t="s">
        <v>2000</v>
      </c>
      <c r="B4021" s="8">
        <v>114.57</v>
      </c>
      <c r="C4021" s="8">
        <v>142.24</v>
      </c>
      <c r="D4021" s="8">
        <v>80.55</v>
      </c>
    </row>
    <row r="4022" spans="1:4">
      <c r="A4022" s="7" t="s">
        <v>2001</v>
      </c>
      <c r="B4022" s="8">
        <v>112.62</v>
      </c>
      <c r="C4022" s="8">
        <v>116.33</v>
      </c>
      <c r="D4022" s="8">
        <v>96.81</v>
      </c>
    </row>
    <row r="4023" spans="1:4">
      <c r="A4023" s="7" t="s">
        <v>2002</v>
      </c>
      <c r="B4023" s="8">
        <v>108.27</v>
      </c>
      <c r="C4023" s="8">
        <v>134.1</v>
      </c>
      <c r="D4023" s="8">
        <v>80.739999999999995</v>
      </c>
    </row>
    <row r="4024" spans="1:4">
      <c r="A4024" s="7" t="s">
        <v>2003</v>
      </c>
      <c r="B4024" s="8">
        <v>108.27</v>
      </c>
      <c r="C4024" s="8">
        <v>134.1</v>
      </c>
      <c r="D4024" s="8">
        <v>80.739999999999995</v>
      </c>
    </row>
    <row r="4025" spans="1:4">
      <c r="A4025" s="7" t="s">
        <v>2004</v>
      </c>
      <c r="B4025" s="8">
        <v>828.43</v>
      </c>
      <c r="C4025" s="8">
        <v>296.33</v>
      </c>
      <c r="D4025" s="8">
        <v>279.56</v>
      </c>
    </row>
    <row r="4026" spans="1:4">
      <c r="A4026" s="7" t="s">
        <v>2005</v>
      </c>
      <c r="B4026" s="8">
        <v>80</v>
      </c>
      <c r="C4026" s="8">
        <v>80</v>
      </c>
      <c r="D4026" s="8">
        <v>100</v>
      </c>
    </row>
    <row r="4027" spans="1:4">
      <c r="A4027" s="7" t="s">
        <v>2006</v>
      </c>
      <c r="B4027" s="8">
        <v>80</v>
      </c>
      <c r="C4027" s="8">
        <v>80</v>
      </c>
      <c r="D4027" s="8">
        <v>100</v>
      </c>
    </row>
    <row r="4028" spans="1:4">
      <c r="A4028" s="7" t="s">
        <v>2007</v>
      </c>
      <c r="B4028" s="8">
        <v>80</v>
      </c>
      <c r="C4028" s="8">
        <v>80</v>
      </c>
      <c r="D4028" s="8">
        <v>100</v>
      </c>
    </row>
    <row r="4029" spans="1:4">
      <c r="A4029" s="7" t="s">
        <v>2008</v>
      </c>
      <c r="B4029" s="8">
        <v>80</v>
      </c>
      <c r="C4029" s="8">
        <v>80</v>
      </c>
      <c r="D4029" s="8">
        <v>100</v>
      </c>
    </row>
    <row r="4030" spans="1:4">
      <c r="A4030" s="7" t="s">
        <v>2009</v>
      </c>
      <c r="B4030" s="8">
        <v>80</v>
      </c>
      <c r="C4030" s="8">
        <v>80</v>
      </c>
      <c r="D4030" s="8">
        <v>100</v>
      </c>
    </row>
    <row r="4031" spans="1:4">
      <c r="A4031" s="7" t="s">
        <v>2010</v>
      </c>
      <c r="B4031" s="8">
        <v>80</v>
      </c>
      <c r="C4031" s="8">
        <v>80</v>
      </c>
      <c r="D4031" s="8">
        <v>100</v>
      </c>
    </row>
    <row r="4032" spans="1:4">
      <c r="A4032" s="7" t="s">
        <v>2011</v>
      </c>
      <c r="B4032" s="8">
        <v>80</v>
      </c>
      <c r="C4032" s="8">
        <v>80</v>
      </c>
      <c r="D4032" s="8">
        <v>100</v>
      </c>
    </row>
    <row r="4033" spans="1:4">
      <c r="A4033" s="7" t="s">
        <v>2012</v>
      </c>
      <c r="B4033" s="8">
        <v>80</v>
      </c>
      <c r="C4033" s="8">
        <v>80</v>
      </c>
      <c r="D4033" s="8">
        <v>100</v>
      </c>
    </row>
    <row r="4034" spans="1:4">
      <c r="A4034" s="7" t="s">
        <v>2013</v>
      </c>
      <c r="B4034" s="8">
        <v>80</v>
      </c>
      <c r="C4034" s="8">
        <v>80</v>
      </c>
      <c r="D4034" s="8">
        <v>100</v>
      </c>
    </row>
    <row r="4035" spans="1:4">
      <c r="A4035" s="7" t="s">
        <v>2014</v>
      </c>
      <c r="B4035" s="8">
        <v>80</v>
      </c>
      <c r="C4035" s="8">
        <v>80</v>
      </c>
      <c r="D4035" s="8">
        <v>100</v>
      </c>
    </row>
    <row r="4036" spans="1:4">
      <c r="A4036" s="7" t="s">
        <v>2015</v>
      </c>
      <c r="B4036" s="8">
        <v>80</v>
      </c>
      <c r="C4036" s="8">
        <v>80</v>
      </c>
      <c r="D4036" s="8">
        <v>100</v>
      </c>
    </row>
    <row r="4037" spans="1:4">
      <c r="A4037" s="7" t="s">
        <v>2016</v>
      </c>
      <c r="B4037" s="8">
        <v>80</v>
      </c>
      <c r="C4037" s="8">
        <v>80</v>
      </c>
      <c r="D4037" s="8">
        <v>100</v>
      </c>
    </row>
    <row r="4038" spans="1:4">
      <c r="A4038" s="7" t="s">
        <v>2017</v>
      </c>
      <c r="B4038" s="8">
        <v>116.58</v>
      </c>
      <c r="C4038" s="8">
        <v>144.25</v>
      </c>
      <c r="D4038" s="8">
        <v>80.819999999999993</v>
      </c>
    </row>
    <row r="4039" spans="1:4">
      <c r="A4039" s="7" t="s">
        <v>2018</v>
      </c>
      <c r="B4039" s="8">
        <v>193.36</v>
      </c>
      <c r="C4039" s="8">
        <v>223.01</v>
      </c>
      <c r="D4039" s="8">
        <v>86.71</v>
      </c>
    </row>
    <row r="4040" spans="1:4">
      <c r="A4040" s="7" t="s">
        <v>2019</v>
      </c>
      <c r="B4040" s="8">
        <v>440.25</v>
      </c>
      <c r="C4040" s="8">
        <v>433.22</v>
      </c>
      <c r="D4040" s="8">
        <v>101.62</v>
      </c>
    </row>
    <row r="4041" spans="1:4">
      <c r="A4041" s="7" t="s">
        <v>2020</v>
      </c>
      <c r="B4041" s="8">
        <v>449.34</v>
      </c>
      <c r="C4041" s="8">
        <v>433.22</v>
      </c>
      <c r="D4041" s="8">
        <v>103.72</v>
      </c>
    </row>
    <row r="4042" spans="1:4">
      <c r="A4042" s="7" t="s">
        <v>2021</v>
      </c>
      <c r="B4042" s="8">
        <v>184.53</v>
      </c>
      <c r="C4042" s="8">
        <v>221</v>
      </c>
      <c r="D4042" s="8">
        <v>83.5</v>
      </c>
    </row>
    <row r="4043" spans="1:4">
      <c r="A4043" s="7" t="s">
        <v>2022</v>
      </c>
      <c r="B4043" s="8">
        <v>114.57</v>
      </c>
      <c r="C4043" s="8">
        <v>142.24</v>
      </c>
      <c r="D4043" s="8">
        <v>80.55</v>
      </c>
    </row>
    <row r="4044" spans="1:4">
      <c r="A4044" s="7" t="s">
        <v>2023</v>
      </c>
      <c r="B4044" s="8">
        <v>80</v>
      </c>
      <c r="C4044" s="8">
        <v>80</v>
      </c>
      <c r="D4044" s="8">
        <v>100</v>
      </c>
    </row>
    <row r="4045" spans="1:4">
      <c r="A4045" s="7" t="s">
        <v>2024</v>
      </c>
      <c r="B4045" s="8">
        <v>80</v>
      </c>
      <c r="C4045" s="8">
        <v>80</v>
      </c>
      <c r="D4045" s="8">
        <v>100</v>
      </c>
    </row>
    <row r="4046" spans="1:4">
      <c r="A4046" s="7" t="s">
        <v>2025</v>
      </c>
      <c r="B4046" s="8">
        <v>80</v>
      </c>
      <c r="C4046" s="8">
        <v>80</v>
      </c>
      <c r="D4046" s="8">
        <v>100</v>
      </c>
    </row>
    <row r="4047" spans="1:4">
      <c r="A4047" s="7" t="s">
        <v>2026</v>
      </c>
      <c r="B4047" s="8">
        <v>80</v>
      </c>
      <c r="C4047" s="8">
        <v>80</v>
      </c>
      <c r="D4047" s="8">
        <v>100</v>
      </c>
    </row>
    <row r="4048" spans="1:4">
      <c r="A4048" s="7" t="s">
        <v>2027</v>
      </c>
      <c r="B4048" s="8">
        <v>249.5</v>
      </c>
      <c r="C4048" s="8">
        <v>240</v>
      </c>
      <c r="D4048" s="8">
        <v>103.96</v>
      </c>
    </row>
    <row r="4049" spans="1:4">
      <c r="A4049" s="7" t="s">
        <v>2028</v>
      </c>
      <c r="B4049" s="8">
        <v>239.02</v>
      </c>
      <c r="C4049" s="8">
        <v>297.60000000000002</v>
      </c>
      <c r="D4049" s="8">
        <v>80.319999999999993</v>
      </c>
    </row>
    <row r="4050" spans="1:4">
      <c r="A4050" s="7" t="s">
        <v>2029</v>
      </c>
      <c r="B4050" s="8">
        <v>148.65</v>
      </c>
      <c r="C4050" s="8">
        <v>167.95</v>
      </c>
      <c r="D4050" s="8">
        <v>88.51</v>
      </c>
    </row>
    <row r="4051" spans="1:4">
      <c r="A4051" s="7" t="s">
        <v>2030</v>
      </c>
      <c r="B4051" s="8">
        <v>188.93</v>
      </c>
      <c r="C4051" s="8">
        <v>232.75</v>
      </c>
      <c r="D4051" s="8">
        <v>81.17</v>
      </c>
    </row>
    <row r="4052" spans="1:4">
      <c r="A4052" s="7" t="s">
        <v>2031</v>
      </c>
      <c r="B4052" s="8">
        <v>188.93</v>
      </c>
      <c r="C4052" s="8">
        <v>232.75</v>
      </c>
      <c r="D4052" s="8">
        <v>81.17</v>
      </c>
    </row>
    <row r="4053" spans="1:4">
      <c r="A4053" s="7" t="s">
        <v>2032</v>
      </c>
      <c r="B4053" s="8">
        <v>148.65</v>
      </c>
      <c r="C4053" s="8">
        <v>167.95</v>
      </c>
      <c r="D4053" s="8">
        <v>88.51</v>
      </c>
    </row>
    <row r="4054" spans="1:4">
      <c r="A4054" s="7" t="s">
        <v>2033</v>
      </c>
      <c r="B4054" s="8">
        <v>144.28</v>
      </c>
      <c r="C4054" s="8">
        <v>167.95</v>
      </c>
      <c r="D4054" s="8">
        <v>85.91</v>
      </c>
    </row>
    <row r="4055" spans="1:4">
      <c r="A4055" s="7" t="s">
        <v>2034</v>
      </c>
      <c r="B4055" s="8">
        <v>188.93</v>
      </c>
      <c r="C4055" s="8">
        <v>232.75</v>
      </c>
      <c r="D4055" s="8">
        <v>81.17</v>
      </c>
    </row>
    <row r="4056" spans="1:4">
      <c r="A4056" s="7" t="s">
        <v>2035</v>
      </c>
      <c r="B4056" s="8">
        <v>188.93</v>
      </c>
      <c r="C4056" s="8">
        <v>232.75</v>
      </c>
      <c r="D4056" s="8">
        <v>81.17</v>
      </c>
    </row>
    <row r="4057" spans="1:4">
      <c r="A4057" s="7" t="s">
        <v>2036</v>
      </c>
      <c r="B4057" s="8">
        <v>143.96</v>
      </c>
      <c r="C4057" s="8">
        <v>167.95</v>
      </c>
      <c r="D4057" s="8">
        <v>85.72</v>
      </c>
    </row>
    <row r="4058" spans="1:4">
      <c r="A4058" s="7" t="s">
        <v>2037</v>
      </c>
      <c r="B4058" s="8">
        <v>144.28</v>
      </c>
      <c r="C4058" s="8">
        <v>167.95</v>
      </c>
      <c r="D4058" s="8">
        <v>85.91</v>
      </c>
    </row>
    <row r="4059" spans="1:4">
      <c r="A4059" s="7" t="s">
        <v>2038</v>
      </c>
      <c r="B4059" s="8">
        <v>188.93</v>
      </c>
      <c r="C4059" s="8">
        <v>232.75</v>
      </c>
      <c r="D4059" s="8">
        <v>81.17</v>
      </c>
    </row>
    <row r="4060" spans="1:4">
      <c r="A4060" s="7" t="s">
        <v>2039</v>
      </c>
      <c r="B4060" s="8">
        <v>188.93</v>
      </c>
      <c r="C4060" s="8">
        <v>232.75</v>
      </c>
      <c r="D4060" s="8">
        <v>81.17</v>
      </c>
    </row>
    <row r="4061" spans="1:4">
      <c r="A4061" s="7" t="s">
        <v>2040</v>
      </c>
      <c r="B4061" s="8">
        <v>143.96</v>
      </c>
      <c r="C4061" s="8">
        <v>167.95</v>
      </c>
      <c r="D4061" s="8">
        <v>85.72</v>
      </c>
    </row>
    <row r="4062" spans="1:4">
      <c r="A4062" s="7" t="s">
        <v>2041</v>
      </c>
      <c r="B4062" s="8">
        <v>144.28</v>
      </c>
      <c r="C4062" s="8">
        <v>167.95</v>
      </c>
      <c r="D4062" s="8">
        <v>85.91</v>
      </c>
    </row>
    <row r="4063" spans="1:4">
      <c r="A4063" s="7" t="s">
        <v>2042</v>
      </c>
      <c r="B4063" s="8">
        <v>188.93</v>
      </c>
      <c r="C4063" s="8">
        <v>232.75</v>
      </c>
      <c r="D4063" s="8">
        <v>81.17</v>
      </c>
    </row>
    <row r="4064" spans="1:4">
      <c r="A4064" s="7" t="s">
        <v>2043</v>
      </c>
      <c r="B4064" s="8">
        <v>188.93</v>
      </c>
      <c r="C4064" s="8">
        <v>232.75</v>
      </c>
      <c r="D4064" s="8">
        <v>81.17</v>
      </c>
    </row>
    <row r="4065" spans="1:4">
      <c r="A4065" s="7" t="s">
        <v>2044</v>
      </c>
      <c r="B4065" s="8">
        <v>143.96</v>
      </c>
      <c r="C4065" s="8">
        <v>167.95</v>
      </c>
      <c r="D4065" s="8">
        <v>85.72</v>
      </c>
    </row>
    <row r="4066" spans="1:4">
      <c r="A4066" s="7" t="s">
        <v>2045</v>
      </c>
      <c r="B4066" s="8">
        <v>320.66000000000003</v>
      </c>
      <c r="C4066" s="8">
        <v>150</v>
      </c>
      <c r="D4066" s="8">
        <v>213.78</v>
      </c>
    </row>
    <row r="4067" spans="1:4">
      <c r="A4067" s="7" t="s">
        <v>2046</v>
      </c>
      <c r="B4067" s="8">
        <v>227.34</v>
      </c>
      <c r="C4067" s="8">
        <v>202.6</v>
      </c>
      <c r="D4067" s="8">
        <v>112.21</v>
      </c>
    </row>
    <row r="4068" spans="1:4">
      <c r="A4068" s="7" t="s">
        <v>2047</v>
      </c>
      <c r="B4068" s="8">
        <v>80</v>
      </c>
      <c r="C4068" s="8">
        <v>80</v>
      </c>
      <c r="D4068" s="8">
        <v>100</v>
      </c>
    </row>
    <row r="4069" spans="1:4">
      <c r="A4069" s="7" t="s">
        <v>2048</v>
      </c>
      <c r="B4069" s="8">
        <v>80</v>
      </c>
      <c r="C4069" s="8">
        <v>80</v>
      </c>
      <c r="D4069" s="8">
        <v>100</v>
      </c>
    </row>
    <row r="4070" spans="1:4">
      <c r="A4070" s="7" t="s">
        <v>2049</v>
      </c>
      <c r="B4070" s="8">
        <v>80</v>
      </c>
      <c r="C4070" s="8">
        <v>80</v>
      </c>
      <c r="D4070" s="8">
        <v>100</v>
      </c>
    </row>
    <row r="4071" spans="1:4">
      <c r="A4071" s="7" t="s">
        <v>2050</v>
      </c>
      <c r="B4071" s="8">
        <v>80</v>
      </c>
      <c r="C4071" s="8">
        <v>80</v>
      </c>
      <c r="D4071" s="8">
        <v>100</v>
      </c>
    </row>
    <row r="4072" spans="1:4">
      <c r="A4072" s="7" t="s">
        <v>2051</v>
      </c>
      <c r="B4072" s="8">
        <v>148.65</v>
      </c>
      <c r="C4072" s="8">
        <v>167.95</v>
      </c>
      <c r="D4072" s="8">
        <v>88.51</v>
      </c>
    </row>
    <row r="4073" spans="1:4">
      <c r="A4073" s="7" t="s">
        <v>2052</v>
      </c>
      <c r="B4073" s="8">
        <v>188.93</v>
      </c>
      <c r="C4073" s="8">
        <v>232.75</v>
      </c>
      <c r="D4073" s="8">
        <v>81.17</v>
      </c>
    </row>
    <row r="4074" spans="1:4">
      <c r="A4074" s="7" t="s">
        <v>2053</v>
      </c>
      <c r="B4074" s="8">
        <v>188.93</v>
      </c>
      <c r="C4074" s="8">
        <v>232.75</v>
      </c>
      <c r="D4074" s="8">
        <v>81.17</v>
      </c>
    </row>
    <row r="4075" spans="1:4">
      <c r="A4075" s="7" t="s">
        <v>2054</v>
      </c>
      <c r="B4075" s="8">
        <v>148.65</v>
      </c>
      <c r="C4075" s="8">
        <v>167.95</v>
      </c>
      <c r="D4075" s="8">
        <v>88.51</v>
      </c>
    </row>
    <row r="4076" spans="1:4">
      <c r="A4076" s="7" t="s">
        <v>2055</v>
      </c>
      <c r="B4076" s="8">
        <v>249.5</v>
      </c>
      <c r="C4076" s="8">
        <v>240</v>
      </c>
      <c r="D4076" s="8">
        <v>103.96</v>
      </c>
    </row>
    <row r="4077" spans="1:4">
      <c r="A4077" s="7" t="s">
        <v>2056</v>
      </c>
      <c r="B4077" s="8">
        <v>239.02</v>
      </c>
      <c r="C4077" s="8">
        <v>297.60000000000002</v>
      </c>
      <c r="D4077" s="8">
        <v>80.319999999999993</v>
      </c>
    </row>
    <row r="4078" spans="1:4">
      <c r="A4078" s="7" t="s">
        <v>2057</v>
      </c>
      <c r="B4078" s="8">
        <v>320.98</v>
      </c>
      <c r="C4078" s="8">
        <v>364.8</v>
      </c>
      <c r="D4078" s="8">
        <v>87.99</v>
      </c>
    </row>
    <row r="4079" spans="1:4">
      <c r="A4079" s="7" t="s">
        <v>2058</v>
      </c>
      <c r="B4079" s="8">
        <v>121.18</v>
      </c>
      <c r="C4079" s="8">
        <v>134.1</v>
      </c>
      <c r="D4079" s="8">
        <v>90.37</v>
      </c>
    </row>
    <row r="4080" spans="1:4">
      <c r="A4080" s="7" t="s">
        <v>2059</v>
      </c>
      <c r="B4080" s="8">
        <v>121.18</v>
      </c>
      <c r="C4080" s="8">
        <v>134.1</v>
      </c>
      <c r="D4080" s="8">
        <v>90.37</v>
      </c>
    </row>
    <row r="4081" spans="1:4">
      <c r="A4081" s="7" t="s">
        <v>2060</v>
      </c>
      <c r="B4081" s="8">
        <v>320.98</v>
      </c>
      <c r="C4081" s="8">
        <v>364.8</v>
      </c>
      <c r="D4081" s="8">
        <v>87.99</v>
      </c>
    </row>
    <row r="4082" spans="1:4">
      <c r="A4082" s="7" t="s">
        <v>2061</v>
      </c>
      <c r="B4082" s="8">
        <v>574.79999999999995</v>
      </c>
      <c r="C4082" s="8">
        <v>240</v>
      </c>
      <c r="D4082" s="8">
        <v>239.5</v>
      </c>
    </row>
    <row r="4083" spans="1:4">
      <c r="A4083" s="7" t="s">
        <v>2062</v>
      </c>
      <c r="B4083" s="8">
        <v>424.96</v>
      </c>
      <c r="C4083" s="8">
        <v>297.60000000000002</v>
      </c>
      <c r="D4083" s="8">
        <v>142.80000000000001</v>
      </c>
    </row>
    <row r="4084" spans="1:4">
      <c r="A4084" s="7" t="s">
        <v>2063</v>
      </c>
      <c r="B4084" s="8">
        <v>595.58000000000004</v>
      </c>
      <c r="C4084" s="8">
        <v>240</v>
      </c>
      <c r="D4084" s="8">
        <v>248.16</v>
      </c>
    </row>
    <row r="4085" spans="1:4">
      <c r="A4085" s="7" t="s">
        <v>2064</v>
      </c>
      <c r="B4085" s="8">
        <v>424.96</v>
      </c>
      <c r="C4085" s="8">
        <v>297.60000000000002</v>
      </c>
      <c r="D4085" s="8">
        <v>142.80000000000001</v>
      </c>
    </row>
    <row r="4086" spans="1:4">
      <c r="A4086" s="7" t="s">
        <v>2065</v>
      </c>
      <c r="B4086" s="8">
        <v>117.51</v>
      </c>
      <c r="C4086" s="8">
        <v>142.28</v>
      </c>
      <c r="D4086" s="8">
        <v>82.59</v>
      </c>
    </row>
    <row r="4087" spans="1:4">
      <c r="A4087" s="7" t="s">
        <v>2066</v>
      </c>
      <c r="B4087" s="8">
        <v>595.58000000000004</v>
      </c>
      <c r="C4087" s="8">
        <v>240</v>
      </c>
      <c r="D4087" s="8">
        <v>248.16</v>
      </c>
    </row>
    <row r="4088" spans="1:4">
      <c r="A4088" s="7" t="s">
        <v>2067</v>
      </c>
      <c r="B4088" s="8">
        <v>424.96</v>
      </c>
      <c r="C4088" s="8">
        <v>297.60000000000002</v>
      </c>
      <c r="D4088" s="8">
        <v>142.80000000000001</v>
      </c>
    </row>
    <row r="4089" spans="1:4">
      <c r="A4089" s="7" t="s">
        <v>2068</v>
      </c>
      <c r="B4089" s="8">
        <v>595.58000000000004</v>
      </c>
      <c r="C4089" s="8">
        <v>240</v>
      </c>
      <c r="D4089" s="8">
        <v>248.16</v>
      </c>
    </row>
    <row r="4090" spans="1:4">
      <c r="A4090" s="7" t="s">
        <v>2069</v>
      </c>
      <c r="B4090" s="8">
        <v>424.96</v>
      </c>
      <c r="C4090" s="8">
        <v>297.60000000000002</v>
      </c>
      <c r="D4090" s="8">
        <v>142.80000000000001</v>
      </c>
    </row>
    <row r="4091" spans="1:4">
      <c r="A4091" s="7" t="s">
        <v>2070</v>
      </c>
      <c r="B4091" s="8">
        <v>595.58000000000004</v>
      </c>
      <c r="C4091" s="8">
        <v>240</v>
      </c>
      <c r="D4091" s="8">
        <v>248.16</v>
      </c>
    </row>
    <row r="4092" spans="1:4">
      <c r="A4092" s="7" t="s">
        <v>2071</v>
      </c>
      <c r="B4092" s="8">
        <v>424.96</v>
      </c>
      <c r="C4092" s="8">
        <v>297.60000000000002</v>
      </c>
      <c r="D4092" s="8">
        <v>142.80000000000001</v>
      </c>
    </row>
    <row r="4093" spans="1:4">
      <c r="A4093" s="7" t="s">
        <v>2072</v>
      </c>
      <c r="B4093" s="8">
        <v>607.95000000000005</v>
      </c>
      <c r="C4093" s="8">
        <v>240</v>
      </c>
      <c r="D4093" s="8">
        <v>253.31</v>
      </c>
    </row>
    <row r="4094" spans="1:4">
      <c r="A4094" s="7" t="s">
        <v>2073</v>
      </c>
      <c r="B4094" s="8">
        <v>424.96</v>
      </c>
      <c r="C4094" s="8">
        <v>297.60000000000002</v>
      </c>
      <c r="D4094" s="8">
        <v>142.80000000000001</v>
      </c>
    </row>
    <row r="4095" spans="1:4">
      <c r="A4095" s="7" t="s">
        <v>2074</v>
      </c>
      <c r="B4095" s="8">
        <v>373.06</v>
      </c>
      <c r="C4095" s="8">
        <v>323.35000000000002</v>
      </c>
      <c r="D4095" s="8">
        <v>115.37</v>
      </c>
    </row>
    <row r="4096" spans="1:4">
      <c r="A4096" s="7" t="s">
        <v>2075</v>
      </c>
      <c r="B4096" s="8">
        <v>97.61</v>
      </c>
      <c r="C4096" s="8">
        <v>101.29</v>
      </c>
      <c r="D4096" s="8">
        <v>96.36</v>
      </c>
    </row>
    <row r="4097" spans="1:4">
      <c r="A4097" s="7" t="s">
        <v>2076</v>
      </c>
      <c r="B4097" s="8">
        <v>97.61</v>
      </c>
      <c r="C4097" s="8">
        <v>101.29</v>
      </c>
      <c r="D4097" s="8">
        <v>96.36</v>
      </c>
    </row>
    <row r="4098" spans="1:4">
      <c r="A4098" s="7" t="s">
        <v>2077</v>
      </c>
      <c r="B4098" s="8">
        <v>377.2</v>
      </c>
      <c r="C4098" s="8">
        <v>323.35000000000002</v>
      </c>
      <c r="D4098" s="8">
        <v>116.65</v>
      </c>
    </row>
    <row r="4099" spans="1:4">
      <c r="A4099" s="7" t="s">
        <v>2078</v>
      </c>
      <c r="B4099" s="8">
        <v>4228.57</v>
      </c>
      <c r="C4099" s="8">
        <v>4911.58</v>
      </c>
      <c r="D4099" s="8">
        <v>86.09</v>
      </c>
    </row>
    <row r="4100" spans="1:4">
      <c r="A4100" s="7" t="s">
        <v>2079</v>
      </c>
      <c r="B4100" s="8">
        <v>5450.95</v>
      </c>
      <c r="C4100" s="8">
        <v>5973.16</v>
      </c>
      <c r="D4100" s="8">
        <v>91.26</v>
      </c>
    </row>
    <row r="4101" spans="1:4">
      <c r="A4101" s="7" t="s">
        <v>2080</v>
      </c>
      <c r="B4101" s="8">
        <v>5031.76</v>
      </c>
      <c r="C4101" s="8">
        <v>5872.1</v>
      </c>
      <c r="D4101" s="8">
        <v>85.69</v>
      </c>
    </row>
    <row r="4102" spans="1:4">
      <c r="A4102" s="7" t="s">
        <v>2081</v>
      </c>
      <c r="B4102" s="8">
        <v>13301.7</v>
      </c>
      <c r="C4102" s="8">
        <v>10472.049999999999</v>
      </c>
      <c r="D4102" s="8">
        <v>127.02</v>
      </c>
    </row>
    <row r="4103" spans="1:4">
      <c r="A4103" s="7" t="s">
        <v>2082</v>
      </c>
      <c r="B4103" s="8">
        <v>15590.46</v>
      </c>
      <c r="C4103" s="8">
        <v>12799.86</v>
      </c>
      <c r="D4103" s="8">
        <v>121.8</v>
      </c>
    </row>
    <row r="4104" spans="1:4">
      <c r="A4104" s="7" t="s">
        <v>2083</v>
      </c>
      <c r="B4104" s="8">
        <v>8873.83</v>
      </c>
      <c r="C4104" s="8">
        <v>5986.66</v>
      </c>
      <c r="D4104" s="8">
        <v>148.22999999999999</v>
      </c>
    </row>
    <row r="4105" spans="1:4">
      <c r="A4105" s="7" t="s">
        <v>640</v>
      </c>
      <c r="B4105" s="8">
        <v>14999.92</v>
      </c>
      <c r="C4105" s="8">
        <v>5971.85</v>
      </c>
      <c r="D4105" s="8">
        <v>251.18</v>
      </c>
    </row>
    <row r="4106" spans="1:4">
      <c r="A4106" s="7" t="s">
        <v>598</v>
      </c>
      <c r="B4106" s="8">
        <v>7954.95</v>
      </c>
      <c r="C4106" s="8">
        <v>7606.5</v>
      </c>
      <c r="D4106" s="8">
        <v>104.58</v>
      </c>
    </row>
    <row r="4107" spans="1:4">
      <c r="A4107" s="7" t="s">
        <v>2084</v>
      </c>
      <c r="B4107" s="8">
        <v>8206.24</v>
      </c>
      <c r="C4107" s="8">
        <v>8148.24</v>
      </c>
      <c r="D4107" s="8">
        <v>100.71</v>
      </c>
    </row>
    <row r="4108" spans="1:4">
      <c r="A4108" s="7" t="s">
        <v>2085</v>
      </c>
      <c r="B4108" s="8">
        <v>10810.42</v>
      </c>
      <c r="C4108" s="8">
        <v>10194.93</v>
      </c>
      <c r="D4108" s="8">
        <v>106.04</v>
      </c>
    </row>
    <row r="4109" spans="1:4">
      <c r="A4109" s="7" t="s">
        <v>2086</v>
      </c>
      <c r="B4109" s="8">
        <v>9107.77</v>
      </c>
      <c r="C4109" s="8">
        <v>9653.24</v>
      </c>
      <c r="D4109" s="8">
        <v>94.35</v>
      </c>
    </row>
    <row r="4110" spans="1:4">
      <c r="A4110" s="7" t="s">
        <v>621</v>
      </c>
      <c r="B4110" s="8">
        <v>15999.71</v>
      </c>
      <c r="C4110" s="8">
        <v>11666.4</v>
      </c>
      <c r="D4110" s="8">
        <v>137.13999999999999</v>
      </c>
    </row>
    <row r="4111" spans="1:4">
      <c r="A4111" s="7" t="s">
        <v>642</v>
      </c>
      <c r="B4111" s="8">
        <v>15000.09</v>
      </c>
      <c r="C4111" s="8">
        <v>6502.71</v>
      </c>
      <c r="D4111" s="8">
        <v>230.67</v>
      </c>
    </row>
    <row r="4112" spans="1:4">
      <c r="A4112" s="7" t="s">
        <v>600</v>
      </c>
      <c r="B4112" s="8">
        <v>19499.330000000002</v>
      </c>
      <c r="C4112" s="8">
        <v>11911.47</v>
      </c>
      <c r="D4112" s="8">
        <v>163.69999999999999</v>
      </c>
    </row>
    <row r="4113" spans="1:4">
      <c r="A4113" s="7" t="s">
        <v>2087</v>
      </c>
      <c r="B4113" s="8">
        <v>2365.5100000000002</v>
      </c>
      <c r="C4113" s="8">
        <v>1377.05</v>
      </c>
      <c r="D4113" s="8">
        <v>171.78</v>
      </c>
    </row>
    <row r="4114" spans="1:4">
      <c r="A4114" s="7" t="s">
        <v>2088</v>
      </c>
      <c r="B4114" s="8">
        <v>197.77</v>
      </c>
      <c r="C4114" s="8">
        <v>493.27</v>
      </c>
      <c r="D4114" s="8">
        <v>40.090000000000003</v>
      </c>
    </row>
    <row r="4115" spans="1:4">
      <c r="A4115" s="7" t="s">
        <v>2089</v>
      </c>
      <c r="B4115" s="8">
        <v>693.81</v>
      </c>
      <c r="C4115" s="8">
        <v>614.64</v>
      </c>
      <c r="D4115" s="8">
        <v>112.88</v>
      </c>
    </row>
    <row r="4116" spans="1:4">
      <c r="A4116" s="7" t="s">
        <v>2090</v>
      </c>
      <c r="B4116" s="8">
        <v>134.66999999999999</v>
      </c>
      <c r="C4116" s="8">
        <v>134.69</v>
      </c>
      <c r="D4116" s="8">
        <v>99.98</v>
      </c>
    </row>
    <row r="4117" spans="1:4">
      <c r="A4117" s="7" t="s">
        <v>2091</v>
      </c>
      <c r="B4117" s="8">
        <v>693.81</v>
      </c>
      <c r="C4117" s="8">
        <v>614.64</v>
      </c>
      <c r="D4117" s="8">
        <v>112.88</v>
      </c>
    </row>
    <row r="4118" spans="1:4">
      <c r="A4118" s="7" t="s">
        <v>2092</v>
      </c>
      <c r="B4118" s="8">
        <v>134.61000000000001</v>
      </c>
      <c r="C4118" s="8">
        <v>134.61000000000001</v>
      </c>
      <c r="D4118" s="8">
        <v>100</v>
      </c>
    </row>
    <row r="4119" spans="1:4">
      <c r="A4119" s="7" t="s">
        <v>2093</v>
      </c>
      <c r="B4119" s="8">
        <v>975.47</v>
      </c>
      <c r="C4119" s="8">
        <v>914.51</v>
      </c>
      <c r="D4119" s="8">
        <v>106.67</v>
      </c>
    </row>
    <row r="4120" spans="1:4">
      <c r="A4120" s="7" t="s">
        <v>2094</v>
      </c>
      <c r="B4120" s="8">
        <v>828.28</v>
      </c>
      <c r="C4120" s="8">
        <v>823.93</v>
      </c>
      <c r="D4120" s="8">
        <v>100.53</v>
      </c>
    </row>
    <row r="4121" spans="1:4">
      <c r="A4121" s="7" t="s">
        <v>2095</v>
      </c>
      <c r="B4121" s="8">
        <v>431.65</v>
      </c>
      <c r="C4121" s="8">
        <v>342.99</v>
      </c>
      <c r="D4121" s="8">
        <v>125.85</v>
      </c>
    </row>
    <row r="4122" spans="1:4">
      <c r="A4122" s="7" t="s">
        <v>2096</v>
      </c>
      <c r="B4122" s="8">
        <v>701.52</v>
      </c>
      <c r="C4122" s="8">
        <v>340.98</v>
      </c>
      <c r="D4122" s="8">
        <v>205.74</v>
      </c>
    </row>
    <row r="4123" spans="1:4">
      <c r="A4123" s="7" t="s">
        <v>2097</v>
      </c>
      <c r="B4123" s="8">
        <v>225.4</v>
      </c>
      <c r="C4123" s="8">
        <v>225.4</v>
      </c>
      <c r="D4123" s="8">
        <v>100</v>
      </c>
    </row>
    <row r="4124" spans="1:4">
      <c r="A4124" s="7" t="s">
        <v>2098</v>
      </c>
      <c r="B4124" s="8">
        <v>70</v>
      </c>
      <c r="C4124" s="8">
        <v>70</v>
      </c>
      <c r="D4124" s="8">
        <v>100</v>
      </c>
    </row>
    <row r="4125" spans="1:4">
      <c r="A4125" s="7" t="s">
        <v>2099</v>
      </c>
      <c r="B4125" s="8">
        <v>70</v>
      </c>
      <c r="C4125" s="8">
        <v>70</v>
      </c>
      <c r="D4125" s="8">
        <v>100</v>
      </c>
    </row>
    <row r="4126" spans="1:4">
      <c r="A4126" s="7" t="s">
        <v>2100</v>
      </c>
      <c r="B4126" s="8">
        <v>471.65</v>
      </c>
      <c r="C4126" s="8">
        <v>373.08</v>
      </c>
      <c r="D4126" s="8">
        <v>126.42</v>
      </c>
    </row>
    <row r="4127" spans="1:4">
      <c r="A4127" s="7" t="s">
        <v>2101</v>
      </c>
      <c r="B4127" s="8">
        <v>196.39</v>
      </c>
      <c r="C4127" s="8">
        <v>220.4</v>
      </c>
      <c r="D4127" s="8">
        <v>89.11</v>
      </c>
    </row>
    <row r="4128" spans="1:4">
      <c r="A4128" s="7" t="s">
        <v>2102</v>
      </c>
      <c r="B4128" s="8">
        <v>82.15</v>
      </c>
      <c r="C4128" s="8">
        <v>85.2</v>
      </c>
      <c r="D4128" s="8">
        <v>96.42</v>
      </c>
    </row>
    <row r="4129" spans="1:4">
      <c r="A4129" s="7" t="s">
        <v>2103</v>
      </c>
      <c r="B4129" s="8">
        <v>913.77</v>
      </c>
      <c r="C4129" s="8">
        <v>860.08</v>
      </c>
      <c r="D4129" s="8">
        <v>106.24</v>
      </c>
    </row>
    <row r="4130" spans="1:4">
      <c r="A4130" s="7" t="s">
        <v>2104</v>
      </c>
      <c r="B4130" s="8">
        <v>524.92999999999995</v>
      </c>
      <c r="C4130" s="8">
        <v>555</v>
      </c>
      <c r="D4130" s="8">
        <v>94.58</v>
      </c>
    </row>
    <row r="4131" spans="1:4">
      <c r="A4131" s="7" t="s">
        <v>2105</v>
      </c>
      <c r="B4131" s="8">
        <v>179.28</v>
      </c>
      <c r="C4131" s="8">
        <v>220.4</v>
      </c>
      <c r="D4131" s="8">
        <v>81.34</v>
      </c>
    </row>
    <row r="4132" spans="1:4">
      <c r="A4132" s="7" t="s">
        <v>2106</v>
      </c>
      <c r="B4132" s="8">
        <v>82.15</v>
      </c>
      <c r="C4132" s="8">
        <v>85.2</v>
      </c>
      <c r="D4132" s="8">
        <v>96.42</v>
      </c>
    </row>
    <row r="4133" spans="1:4">
      <c r="A4133" s="7" t="s">
        <v>2107</v>
      </c>
      <c r="B4133" s="8">
        <v>55.2</v>
      </c>
      <c r="C4133" s="8">
        <v>55.2</v>
      </c>
      <c r="D4133" s="8">
        <v>100</v>
      </c>
    </row>
    <row r="4134" spans="1:4">
      <c r="A4134" s="7" t="s">
        <v>2108</v>
      </c>
      <c r="B4134" s="8">
        <v>135.63999999999999</v>
      </c>
      <c r="C4134" s="8">
        <v>150.4</v>
      </c>
      <c r="D4134" s="8">
        <v>90.18</v>
      </c>
    </row>
    <row r="4135" spans="1:4">
      <c r="A4135" s="7" t="s">
        <v>2109</v>
      </c>
      <c r="B4135" s="8">
        <v>80</v>
      </c>
      <c r="C4135" s="8">
        <v>80</v>
      </c>
      <c r="D4135" s="8">
        <v>100</v>
      </c>
    </row>
    <row r="4136" spans="1:4">
      <c r="A4136" s="7" t="s">
        <v>2110</v>
      </c>
      <c r="B4136" s="8">
        <v>135.63999999999999</v>
      </c>
      <c r="C4136" s="8">
        <v>150.4</v>
      </c>
      <c r="D4136" s="8">
        <v>90.18</v>
      </c>
    </row>
    <row r="4137" spans="1:4">
      <c r="A4137" s="7" t="s">
        <v>2111</v>
      </c>
      <c r="B4137" s="8">
        <v>80</v>
      </c>
      <c r="C4137" s="8">
        <v>80</v>
      </c>
      <c r="D4137" s="8">
        <v>100</v>
      </c>
    </row>
    <row r="4138" spans="1:4">
      <c r="A4138" s="7" t="s">
        <v>2112</v>
      </c>
      <c r="B4138" s="8">
        <v>108.48</v>
      </c>
      <c r="C4138" s="8">
        <v>120.2</v>
      </c>
      <c r="D4138" s="8">
        <v>90.25</v>
      </c>
    </row>
    <row r="4139" spans="1:4">
      <c r="A4139" s="7" t="s">
        <v>2113</v>
      </c>
      <c r="B4139" s="8">
        <v>92.87</v>
      </c>
      <c r="C4139" s="8">
        <v>95.92</v>
      </c>
      <c r="D4139" s="8">
        <v>96.82</v>
      </c>
    </row>
    <row r="4140" spans="1:4">
      <c r="A4140" s="7" t="s">
        <v>2114</v>
      </c>
      <c r="B4140" s="8">
        <v>65.2</v>
      </c>
      <c r="C4140" s="8">
        <v>65.2</v>
      </c>
      <c r="D4140" s="8">
        <v>100</v>
      </c>
    </row>
    <row r="4141" spans="1:4">
      <c r="A4141" s="7" t="s">
        <v>2115</v>
      </c>
      <c r="B4141" s="8">
        <v>70.2</v>
      </c>
      <c r="C4141" s="8">
        <v>70.2</v>
      </c>
      <c r="D4141" s="8">
        <v>100</v>
      </c>
    </row>
    <row r="4142" spans="1:4">
      <c r="A4142" s="7" t="s">
        <v>2116</v>
      </c>
      <c r="B4142" s="8">
        <v>471.62</v>
      </c>
      <c r="C4142" s="8">
        <v>373</v>
      </c>
      <c r="D4142" s="8">
        <v>126.44</v>
      </c>
    </row>
    <row r="4143" spans="1:4">
      <c r="A4143" s="7" t="s">
        <v>2117</v>
      </c>
      <c r="B4143" s="8">
        <v>70.2</v>
      </c>
      <c r="C4143" s="8">
        <v>70.2</v>
      </c>
      <c r="D4143" s="8">
        <v>100</v>
      </c>
    </row>
    <row r="4144" spans="1:4">
      <c r="A4144" s="7" t="s">
        <v>2118</v>
      </c>
      <c r="B4144" s="8">
        <v>61.18</v>
      </c>
      <c r="C4144" s="8">
        <v>61.18</v>
      </c>
      <c r="D4144" s="8">
        <v>100</v>
      </c>
    </row>
    <row r="4145" spans="1:4">
      <c r="A4145" s="7" t="s">
        <v>2119</v>
      </c>
      <c r="B4145" s="8">
        <v>271.39999999999998</v>
      </c>
      <c r="C4145" s="8">
        <v>243.85</v>
      </c>
      <c r="D4145" s="8">
        <v>111.3</v>
      </c>
    </row>
    <row r="4146" spans="1:4">
      <c r="A4146" s="7" t="s">
        <v>2120</v>
      </c>
      <c r="B4146" s="8">
        <v>271.39999999999998</v>
      </c>
      <c r="C4146" s="8">
        <v>243.85</v>
      </c>
      <c r="D4146" s="8">
        <v>111.3</v>
      </c>
    </row>
    <row r="4147" spans="1:4">
      <c r="A4147" s="7" t="s">
        <v>2121</v>
      </c>
      <c r="B4147" s="8">
        <v>70.2</v>
      </c>
      <c r="C4147" s="8">
        <v>70.2</v>
      </c>
      <c r="D4147" s="8">
        <v>100</v>
      </c>
    </row>
    <row r="4148" spans="1:4">
      <c r="A4148" s="7" t="s">
        <v>2122</v>
      </c>
      <c r="B4148" s="8">
        <v>70.2</v>
      </c>
      <c r="C4148" s="8">
        <v>70.2</v>
      </c>
      <c r="D4148" s="8">
        <v>100</v>
      </c>
    </row>
    <row r="4149" spans="1:4">
      <c r="A4149" s="7" t="s">
        <v>2123</v>
      </c>
      <c r="B4149" s="8">
        <v>70.2</v>
      </c>
      <c r="C4149" s="8">
        <v>70.2</v>
      </c>
      <c r="D4149" s="8">
        <v>100</v>
      </c>
    </row>
    <row r="4150" spans="1:4">
      <c r="A4150" s="7" t="s">
        <v>2124</v>
      </c>
      <c r="B4150" s="8">
        <v>421.66</v>
      </c>
      <c r="C4150" s="8">
        <v>379.17</v>
      </c>
      <c r="D4150" s="8">
        <v>111.21</v>
      </c>
    </row>
    <row r="4151" spans="1:4">
      <c r="A4151" s="7" t="s">
        <v>2125</v>
      </c>
      <c r="B4151" s="8">
        <v>80</v>
      </c>
      <c r="C4151" s="8">
        <v>80</v>
      </c>
      <c r="D4151" s="8">
        <v>100</v>
      </c>
    </row>
    <row r="4152" spans="1:4">
      <c r="A4152" s="7" t="s">
        <v>2126</v>
      </c>
      <c r="B4152" s="8">
        <v>80</v>
      </c>
      <c r="C4152" s="8">
        <v>80</v>
      </c>
      <c r="D4152" s="8">
        <v>100</v>
      </c>
    </row>
    <row r="4153" spans="1:4">
      <c r="A4153" s="7" t="s">
        <v>2127</v>
      </c>
      <c r="B4153" s="8">
        <v>70.2</v>
      </c>
      <c r="C4153" s="8">
        <v>70.2</v>
      </c>
      <c r="D4153" s="8">
        <v>100</v>
      </c>
    </row>
    <row r="4154" spans="1:4">
      <c r="A4154" s="7" t="s">
        <v>2128</v>
      </c>
      <c r="B4154" s="8">
        <v>55.51</v>
      </c>
      <c r="C4154" s="8">
        <v>55.51</v>
      </c>
      <c r="D4154" s="8">
        <v>100</v>
      </c>
    </row>
    <row r="4155" spans="1:4">
      <c r="A4155" s="7" t="s">
        <v>2129</v>
      </c>
      <c r="B4155" s="8">
        <v>55.2</v>
      </c>
      <c r="C4155" s="8">
        <v>55.2</v>
      </c>
      <c r="D4155" s="8">
        <v>100</v>
      </c>
    </row>
    <row r="4156" spans="1:4">
      <c r="A4156" s="7" t="s">
        <v>2130</v>
      </c>
      <c r="B4156" s="8">
        <v>70.2</v>
      </c>
      <c r="C4156" s="8">
        <v>70.2</v>
      </c>
      <c r="D4156" s="8">
        <v>100</v>
      </c>
    </row>
    <row r="4157" spans="1:4">
      <c r="A4157" s="7" t="s">
        <v>2131</v>
      </c>
      <c r="B4157" s="8">
        <v>61.74</v>
      </c>
      <c r="C4157" s="8">
        <v>61.74</v>
      </c>
      <c r="D4157" s="8">
        <v>100</v>
      </c>
    </row>
    <row r="4158" spans="1:4">
      <c r="A4158" s="7" t="s">
        <v>2132</v>
      </c>
      <c r="B4158" s="8">
        <v>55.51</v>
      </c>
      <c r="C4158" s="8">
        <v>55.51</v>
      </c>
      <c r="D4158" s="8">
        <v>100</v>
      </c>
    </row>
    <row r="4159" spans="1:4">
      <c r="A4159" s="7" t="s">
        <v>2133</v>
      </c>
      <c r="B4159" s="8">
        <v>65.2</v>
      </c>
      <c r="C4159" s="8">
        <v>65.2</v>
      </c>
      <c r="D4159" s="8">
        <v>100</v>
      </c>
    </row>
    <row r="4160" spans="1:4">
      <c r="A4160" s="7" t="s">
        <v>2134</v>
      </c>
      <c r="B4160" s="8">
        <v>60.2</v>
      </c>
      <c r="C4160" s="8">
        <v>60.2</v>
      </c>
      <c r="D4160" s="8">
        <v>100</v>
      </c>
    </row>
    <row r="4161" spans="1:4">
      <c r="A4161" s="7" t="s">
        <v>2135</v>
      </c>
      <c r="B4161" s="8">
        <v>55.51</v>
      </c>
      <c r="C4161" s="8">
        <v>55.51</v>
      </c>
      <c r="D4161" s="8">
        <v>100</v>
      </c>
    </row>
    <row r="4162" spans="1:4">
      <c r="A4162" s="7" t="s">
        <v>2136</v>
      </c>
      <c r="B4162" s="8">
        <v>75.2</v>
      </c>
      <c r="C4162" s="8">
        <v>75.2</v>
      </c>
      <c r="D4162" s="8">
        <v>100</v>
      </c>
    </row>
    <row r="4163" spans="1:4">
      <c r="A4163" s="7" t="s">
        <v>2137</v>
      </c>
      <c r="B4163" s="8">
        <v>231.67</v>
      </c>
      <c r="C4163" s="8">
        <v>206.95</v>
      </c>
      <c r="D4163" s="8">
        <v>111.94</v>
      </c>
    </row>
    <row r="4164" spans="1:4">
      <c r="A4164" s="7" t="s">
        <v>2138</v>
      </c>
      <c r="B4164" s="8">
        <v>74.7</v>
      </c>
      <c r="C4164" s="8">
        <v>74.7</v>
      </c>
      <c r="D4164" s="8">
        <v>100</v>
      </c>
    </row>
    <row r="4165" spans="1:4">
      <c r="A4165" s="7" t="s">
        <v>2139</v>
      </c>
      <c r="B4165" s="8">
        <v>9627.39</v>
      </c>
      <c r="C4165" s="8">
        <v>5348.2</v>
      </c>
      <c r="D4165" s="8">
        <v>180.01</v>
      </c>
    </row>
    <row r="4166" spans="1:4">
      <c r="A4166" s="7" t="s">
        <v>2140</v>
      </c>
      <c r="B4166" s="8">
        <v>139.91</v>
      </c>
      <c r="C4166" s="8">
        <v>164.4</v>
      </c>
      <c r="D4166" s="8">
        <v>85.11</v>
      </c>
    </row>
    <row r="4167" spans="1:4">
      <c r="A4167" s="7" t="s">
        <v>2141</v>
      </c>
      <c r="B4167" s="8">
        <v>72.790000000000006</v>
      </c>
      <c r="C4167" s="8">
        <v>80.3</v>
      </c>
      <c r="D4167" s="8">
        <v>90.65</v>
      </c>
    </row>
    <row r="4168" spans="1:4">
      <c r="A4168" s="7" t="s">
        <v>2142</v>
      </c>
      <c r="B4168" s="8">
        <v>198.77</v>
      </c>
      <c r="C4168" s="8">
        <v>90.66</v>
      </c>
      <c r="D4168" s="8">
        <v>219.24</v>
      </c>
    </row>
    <row r="4169" spans="1:4">
      <c r="A4169" s="7" t="s">
        <v>2143</v>
      </c>
      <c r="B4169" s="8">
        <v>314.31</v>
      </c>
      <c r="C4169" s="8">
        <v>216.43</v>
      </c>
      <c r="D4169" s="8">
        <v>145.22999999999999</v>
      </c>
    </row>
    <row r="4170" spans="1:4">
      <c r="A4170" s="7" t="s">
        <v>2144</v>
      </c>
      <c r="B4170" s="8">
        <v>60</v>
      </c>
      <c r="C4170" s="8">
        <v>357.07</v>
      </c>
      <c r="D4170" s="8">
        <v>16.8</v>
      </c>
    </row>
    <row r="4171" spans="1:4">
      <c r="A4171" s="7" t="s">
        <v>2145</v>
      </c>
      <c r="B4171" s="8">
        <v>1820.74</v>
      </c>
      <c r="C4171" s="8">
        <v>2264.7600000000002</v>
      </c>
      <c r="D4171" s="8">
        <v>80.39</v>
      </c>
    </row>
    <row r="4172" spans="1:4">
      <c r="A4172" s="7" t="s">
        <v>2146</v>
      </c>
      <c r="B4172" s="8">
        <v>801.13</v>
      </c>
      <c r="C4172" s="8">
        <v>845.26</v>
      </c>
      <c r="D4172" s="8">
        <v>94.78</v>
      </c>
    </row>
    <row r="4173" spans="1:4">
      <c r="A4173" s="7" t="s">
        <v>2147</v>
      </c>
      <c r="B4173" s="8">
        <v>130.44</v>
      </c>
      <c r="C4173" s="8">
        <v>145.19999999999999</v>
      </c>
      <c r="D4173" s="8">
        <v>89.83</v>
      </c>
    </row>
    <row r="4174" spans="1:4">
      <c r="A4174" s="7" t="s">
        <v>2148</v>
      </c>
      <c r="B4174" s="8">
        <v>130.44</v>
      </c>
      <c r="C4174" s="8">
        <v>145.19999999999999</v>
      </c>
      <c r="D4174" s="8">
        <v>89.83</v>
      </c>
    </row>
    <row r="4175" spans="1:4">
      <c r="A4175" s="7" t="s">
        <v>2149</v>
      </c>
      <c r="B4175" s="8">
        <v>120.3</v>
      </c>
      <c r="C4175" s="8">
        <v>120.72</v>
      </c>
      <c r="D4175" s="8">
        <v>99.65</v>
      </c>
    </row>
    <row r="4176" spans="1:4">
      <c r="A4176" s="7" t="s">
        <v>639</v>
      </c>
      <c r="B4176" s="8">
        <v>15000.34</v>
      </c>
      <c r="C4176" s="8">
        <v>6530.99</v>
      </c>
      <c r="D4176" s="8">
        <v>229.68</v>
      </c>
    </row>
    <row r="4177" spans="1:4">
      <c r="A4177" s="7" t="s">
        <v>586</v>
      </c>
      <c r="B4177" s="8">
        <v>11030.5</v>
      </c>
      <c r="C4177" s="8">
        <v>9169.91</v>
      </c>
      <c r="D4177" s="8">
        <v>120.29</v>
      </c>
    </row>
    <row r="4178" spans="1:4">
      <c r="A4178" s="7" t="s">
        <v>622</v>
      </c>
      <c r="B4178" s="8">
        <v>3499.11</v>
      </c>
      <c r="C4178" s="8">
        <v>1800.38</v>
      </c>
      <c r="D4178" s="8">
        <v>194.35</v>
      </c>
    </row>
    <row r="4179" spans="1:4">
      <c r="A4179" s="7" t="s">
        <v>624</v>
      </c>
      <c r="B4179" s="8">
        <v>4299.6099999999997</v>
      </c>
      <c r="C4179" s="8">
        <v>2109.98</v>
      </c>
      <c r="D4179" s="8">
        <v>203.77</v>
      </c>
    </row>
    <row r="4180" spans="1:4">
      <c r="A4180" s="7" t="s">
        <v>2150</v>
      </c>
      <c r="B4180" s="8">
        <v>94.21</v>
      </c>
      <c r="C4180" s="8">
        <v>106.94</v>
      </c>
      <c r="D4180" s="8">
        <v>88.1</v>
      </c>
    </row>
    <row r="4181" spans="1:4">
      <c r="A4181" s="7" t="s">
        <v>2151</v>
      </c>
      <c r="B4181" s="8">
        <v>85.21</v>
      </c>
      <c r="C4181" s="8">
        <v>85.21</v>
      </c>
      <c r="D4181" s="8">
        <v>100</v>
      </c>
    </row>
    <row r="4182" spans="1:4">
      <c r="A4182" s="7" t="s">
        <v>2152</v>
      </c>
      <c r="B4182" s="8">
        <v>94.21</v>
      </c>
      <c r="C4182" s="8">
        <v>106.94</v>
      </c>
      <c r="D4182" s="8">
        <v>88.1</v>
      </c>
    </row>
    <row r="4183" spans="1:4">
      <c r="A4183" s="7" t="s">
        <v>2153</v>
      </c>
      <c r="B4183" s="8">
        <v>73.69</v>
      </c>
      <c r="C4183" s="8">
        <v>73.69</v>
      </c>
      <c r="D4183" s="8">
        <v>100</v>
      </c>
    </row>
    <row r="4184" spans="1:4">
      <c r="A4184" s="7" t="s">
        <v>2154</v>
      </c>
      <c r="B4184" s="8">
        <v>235.26</v>
      </c>
      <c r="C4184" s="8">
        <v>258.69</v>
      </c>
      <c r="D4184" s="8">
        <v>90.94</v>
      </c>
    </row>
    <row r="4185" spans="1:4">
      <c r="A4185" s="7" t="s">
        <v>2155</v>
      </c>
      <c r="B4185" s="8">
        <v>94.21</v>
      </c>
      <c r="C4185" s="8">
        <v>106.94</v>
      </c>
      <c r="D4185" s="8">
        <v>88.1</v>
      </c>
    </row>
    <row r="4186" spans="1:4">
      <c r="A4186" s="7" t="s">
        <v>2156</v>
      </c>
      <c r="B4186" s="8">
        <v>85.21</v>
      </c>
      <c r="C4186" s="8">
        <v>85.21</v>
      </c>
      <c r="D4186" s="8">
        <v>100</v>
      </c>
    </row>
    <row r="4187" spans="1:4">
      <c r="A4187" s="7" t="s">
        <v>2157</v>
      </c>
      <c r="B4187" s="8">
        <v>94.21</v>
      </c>
      <c r="C4187" s="8">
        <v>106.94</v>
      </c>
      <c r="D4187" s="8">
        <v>88.1</v>
      </c>
    </row>
    <row r="4188" spans="1:4">
      <c r="A4188" s="7" t="s">
        <v>2158</v>
      </c>
      <c r="B4188" s="8">
        <v>88.69</v>
      </c>
      <c r="C4188" s="8">
        <v>88.69</v>
      </c>
      <c r="D4188" s="8">
        <v>100</v>
      </c>
    </row>
    <row r="4189" spans="1:4">
      <c r="A4189" s="7" t="s">
        <v>2159</v>
      </c>
      <c r="B4189" s="8">
        <v>273.54000000000002</v>
      </c>
      <c r="C4189" s="8">
        <v>298.89</v>
      </c>
      <c r="D4189" s="8">
        <v>91.52</v>
      </c>
    </row>
    <row r="4190" spans="1:4">
      <c r="A4190" s="7" t="s">
        <v>2160</v>
      </c>
      <c r="B4190" s="8">
        <v>7797.66</v>
      </c>
      <c r="C4190" s="8">
        <v>6193.08</v>
      </c>
      <c r="D4190" s="8">
        <v>125.91</v>
      </c>
    </row>
    <row r="4191" spans="1:4">
      <c r="A4191" s="7" t="s">
        <v>2161</v>
      </c>
      <c r="B4191" s="8">
        <v>7499.05</v>
      </c>
      <c r="C4191" s="8">
        <v>5762.03</v>
      </c>
      <c r="D4191" s="8">
        <v>130.15</v>
      </c>
    </row>
    <row r="4192" spans="1:4">
      <c r="A4192" s="7" t="s">
        <v>2162</v>
      </c>
      <c r="B4192" s="8">
        <v>261.19</v>
      </c>
      <c r="C4192" s="8">
        <v>286.2</v>
      </c>
      <c r="D4192" s="8">
        <v>91.26</v>
      </c>
    </row>
    <row r="4193" spans="1:4">
      <c r="A4193" s="7" t="s">
        <v>2163</v>
      </c>
      <c r="B4193" s="8">
        <v>100.21</v>
      </c>
      <c r="C4193" s="8">
        <v>109</v>
      </c>
      <c r="D4193" s="8">
        <v>91.94</v>
      </c>
    </row>
    <row r="4194" spans="1:4">
      <c r="A4194" s="7" t="s">
        <v>2164</v>
      </c>
      <c r="B4194" s="8">
        <v>100.21</v>
      </c>
      <c r="C4194" s="8">
        <v>109</v>
      </c>
      <c r="D4194" s="8">
        <v>91.94</v>
      </c>
    </row>
    <row r="4195" spans="1:4">
      <c r="A4195" s="7" t="s">
        <v>2165</v>
      </c>
      <c r="B4195" s="8">
        <v>174.53</v>
      </c>
      <c r="C4195" s="8">
        <v>196.5</v>
      </c>
      <c r="D4195" s="8">
        <v>88.82</v>
      </c>
    </row>
    <row r="4196" spans="1:4">
      <c r="A4196" s="7" t="s">
        <v>2166</v>
      </c>
      <c r="B4196" s="8">
        <v>109.53</v>
      </c>
      <c r="C4196" s="8">
        <v>131.5</v>
      </c>
      <c r="D4196" s="8">
        <v>83.3</v>
      </c>
    </row>
    <row r="4197" spans="1:4">
      <c r="A4197" s="7" t="s">
        <v>2167</v>
      </c>
      <c r="B4197" s="8">
        <v>100.21</v>
      </c>
      <c r="C4197" s="8">
        <v>109</v>
      </c>
      <c r="D4197" s="8">
        <v>91.94</v>
      </c>
    </row>
    <row r="4198" spans="1:4">
      <c r="A4198" s="7" t="s">
        <v>2168</v>
      </c>
      <c r="B4198" s="8">
        <v>100.21</v>
      </c>
      <c r="C4198" s="8">
        <v>109</v>
      </c>
      <c r="D4198" s="8">
        <v>91.94</v>
      </c>
    </row>
    <row r="4199" spans="1:4">
      <c r="A4199" s="7" t="s">
        <v>2169</v>
      </c>
      <c r="B4199" s="8">
        <v>175.01</v>
      </c>
      <c r="C4199" s="8">
        <v>196.98</v>
      </c>
      <c r="D4199" s="8">
        <v>88.85</v>
      </c>
    </row>
    <row r="4200" spans="1:4">
      <c r="A4200" s="7" t="s">
        <v>2170</v>
      </c>
      <c r="B4200" s="8">
        <v>434.25</v>
      </c>
      <c r="C4200" s="8">
        <v>482.68</v>
      </c>
      <c r="D4200" s="8">
        <v>89.97</v>
      </c>
    </row>
    <row r="4201" spans="1:4">
      <c r="A4201" s="7" t="s">
        <v>2171</v>
      </c>
      <c r="B4201" s="8">
        <v>149.52000000000001</v>
      </c>
      <c r="C4201" s="8">
        <v>149.52000000000001</v>
      </c>
      <c r="D4201" s="8">
        <v>100</v>
      </c>
    </row>
    <row r="4202" spans="1:4">
      <c r="A4202" s="7" t="s">
        <v>2172</v>
      </c>
      <c r="B4202" s="8">
        <v>136.57</v>
      </c>
      <c r="C4202" s="8">
        <v>160</v>
      </c>
      <c r="D4202" s="8">
        <v>85.36</v>
      </c>
    </row>
    <row r="4203" spans="1:4">
      <c r="A4203" s="7" t="s">
        <v>2173</v>
      </c>
      <c r="B4203" s="8">
        <v>126.21</v>
      </c>
      <c r="C4203" s="8">
        <v>135</v>
      </c>
      <c r="D4203" s="8">
        <v>93.49</v>
      </c>
    </row>
    <row r="4204" spans="1:4">
      <c r="A4204" s="7" t="s">
        <v>2174</v>
      </c>
      <c r="B4204" s="8">
        <v>126.21</v>
      </c>
      <c r="C4204" s="8">
        <v>135</v>
      </c>
      <c r="D4204" s="8">
        <v>93.49</v>
      </c>
    </row>
    <row r="4205" spans="1:4">
      <c r="A4205" s="7" t="s">
        <v>2175</v>
      </c>
      <c r="B4205" s="8">
        <v>136.57</v>
      </c>
      <c r="C4205" s="8">
        <v>160</v>
      </c>
      <c r="D4205" s="8">
        <v>85.36</v>
      </c>
    </row>
    <row r="4206" spans="1:4">
      <c r="A4206" s="7" t="s">
        <v>2176</v>
      </c>
      <c r="B4206" s="8">
        <v>207.28</v>
      </c>
      <c r="C4206" s="8">
        <v>260</v>
      </c>
      <c r="D4206" s="8">
        <v>79.72</v>
      </c>
    </row>
    <row r="4207" spans="1:4">
      <c r="A4207" s="7" t="s">
        <v>2177</v>
      </c>
      <c r="B4207" s="8">
        <v>251.92</v>
      </c>
      <c r="C4207" s="8">
        <v>290</v>
      </c>
      <c r="D4207" s="8">
        <v>86.87</v>
      </c>
    </row>
    <row r="4208" spans="1:4">
      <c r="A4208" s="7" t="s">
        <v>2178</v>
      </c>
      <c r="B4208" s="8">
        <v>209.35</v>
      </c>
      <c r="C4208" s="8">
        <v>265</v>
      </c>
      <c r="D4208" s="8">
        <v>79</v>
      </c>
    </row>
    <row r="4209" spans="1:4">
      <c r="A4209" s="7" t="s">
        <v>2179</v>
      </c>
      <c r="B4209" s="8">
        <v>185</v>
      </c>
      <c r="C4209" s="8">
        <v>185</v>
      </c>
      <c r="D4209" s="8">
        <v>100</v>
      </c>
    </row>
    <row r="4210" spans="1:4">
      <c r="A4210" s="7" t="s">
        <v>2180</v>
      </c>
      <c r="B4210" s="8">
        <v>220.23</v>
      </c>
      <c r="C4210" s="8">
        <v>226.09</v>
      </c>
      <c r="D4210" s="8">
        <v>97.41</v>
      </c>
    </row>
    <row r="4211" spans="1:4">
      <c r="A4211" s="7" t="s">
        <v>2181</v>
      </c>
      <c r="B4211" s="8">
        <v>164.64</v>
      </c>
      <c r="C4211" s="8">
        <v>177.9</v>
      </c>
      <c r="D4211" s="8">
        <v>92.55</v>
      </c>
    </row>
    <row r="4212" spans="1:4">
      <c r="A4212" s="7" t="s">
        <v>2182</v>
      </c>
      <c r="B4212" s="8">
        <v>229.88</v>
      </c>
      <c r="C4212" s="8">
        <v>250.53</v>
      </c>
      <c r="D4212" s="8">
        <v>91.76</v>
      </c>
    </row>
    <row r="4213" spans="1:4">
      <c r="A4213" s="7" t="s">
        <v>2183</v>
      </c>
      <c r="B4213" s="8">
        <v>145.32</v>
      </c>
      <c r="C4213" s="8">
        <v>157.04</v>
      </c>
      <c r="D4213" s="8">
        <v>92.54</v>
      </c>
    </row>
    <row r="4214" spans="1:4">
      <c r="A4214" s="7" t="s">
        <v>2184</v>
      </c>
      <c r="B4214" s="8">
        <v>109.07</v>
      </c>
      <c r="C4214" s="8">
        <v>132.5</v>
      </c>
      <c r="D4214" s="8">
        <v>82.32</v>
      </c>
    </row>
    <row r="4215" spans="1:4">
      <c r="A4215" s="7" t="s">
        <v>2185</v>
      </c>
      <c r="B4215" s="8">
        <v>98.71</v>
      </c>
      <c r="C4215" s="8">
        <v>107.5</v>
      </c>
      <c r="D4215" s="8">
        <v>91.83</v>
      </c>
    </row>
    <row r="4216" spans="1:4">
      <c r="A4216" s="7" t="s">
        <v>2186</v>
      </c>
      <c r="B4216" s="8">
        <v>98.71</v>
      </c>
      <c r="C4216" s="8">
        <v>107.5</v>
      </c>
      <c r="D4216" s="8">
        <v>91.83</v>
      </c>
    </row>
    <row r="4217" spans="1:4">
      <c r="A4217" s="7" t="s">
        <v>2187</v>
      </c>
      <c r="B4217" s="8">
        <v>109.07</v>
      </c>
      <c r="C4217" s="8">
        <v>132.5</v>
      </c>
      <c r="D4217" s="8">
        <v>82.32</v>
      </c>
    </row>
    <row r="4218" spans="1:4">
      <c r="A4218" s="7" t="s">
        <v>2188</v>
      </c>
      <c r="B4218" s="8">
        <v>109.07</v>
      </c>
      <c r="C4218" s="8">
        <v>132.5</v>
      </c>
      <c r="D4218" s="8">
        <v>82.32</v>
      </c>
    </row>
    <row r="4219" spans="1:4">
      <c r="A4219" s="7" t="s">
        <v>2189</v>
      </c>
      <c r="B4219" s="8">
        <v>98.71</v>
      </c>
      <c r="C4219" s="8">
        <v>107.5</v>
      </c>
      <c r="D4219" s="8">
        <v>91.83</v>
      </c>
    </row>
    <row r="4220" spans="1:4">
      <c r="A4220" s="7" t="s">
        <v>2190</v>
      </c>
      <c r="B4220" s="8">
        <v>98.71</v>
      </c>
      <c r="C4220" s="8">
        <v>107.5</v>
      </c>
      <c r="D4220" s="8">
        <v>91.83</v>
      </c>
    </row>
    <row r="4221" spans="1:4">
      <c r="A4221" s="7" t="s">
        <v>2191</v>
      </c>
      <c r="B4221" s="8">
        <v>109.07</v>
      </c>
      <c r="C4221" s="8">
        <v>132.5</v>
      </c>
      <c r="D4221" s="8">
        <v>82.32</v>
      </c>
    </row>
    <row r="4222" spans="1:4">
      <c r="A4222" s="7" t="s">
        <v>2192</v>
      </c>
      <c r="B4222" s="8">
        <v>777.86</v>
      </c>
      <c r="C4222" s="8">
        <v>836.92</v>
      </c>
      <c r="D4222" s="8">
        <v>92.94</v>
      </c>
    </row>
    <row r="4223" spans="1:4">
      <c r="A4223" s="7" t="s">
        <v>2193</v>
      </c>
      <c r="B4223" s="8">
        <v>85.59</v>
      </c>
      <c r="C4223" s="8">
        <v>85.59</v>
      </c>
      <c r="D4223" s="8">
        <v>100</v>
      </c>
    </row>
    <row r="4224" spans="1:4">
      <c r="A4224" s="7" t="s">
        <v>2194</v>
      </c>
      <c r="B4224" s="8">
        <v>85.59</v>
      </c>
      <c r="C4224" s="8">
        <v>85.59</v>
      </c>
      <c r="D4224" s="8">
        <v>100</v>
      </c>
    </row>
    <row r="4225" spans="1:4">
      <c r="A4225" s="7" t="s">
        <v>2195</v>
      </c>
      <c r="B4225" s="8">
        <v>90.59</v>
      </c>
      <c r="C4225" s="8">
        <v>90.59</v>
      </c>
      <c r="D4225" s="8">
        <v>100</v>
      </c>
    </row>
    <row r="4226" spans="1:4">
      <c r="A4226" s="7" t="s">
        <v>2196</v>
      </c>
      <c r="B4226" s="8">
        <v>88.19</v>
      </c>
      <c r="C4226" s="8">
        <v>88.19</v>
      </c>
      <c r="D4226" s="8">
        <v>100</v>
      </c>
    </row>
    <row r="4227" spans="1:4">
      <c r="A4227" s="7" t="s">
        <v>2197</v>
      </c>
      <c r="B4227" s="8">
        <v>88.19</v>
      </c>
      <c r="C4227" s="8">
        <v>88.19</v>
      </c>
      <c r="D4227" s="8">
        <v>100</v>
      </c>
    </row>
    <row r="4228" spans="1:4">
      <c r="A4228" s="7" t="s">
        <v>2198</v>
      </c>
      <c r="B4228" s="8">
        <v>88.19</v>
      </c>
      <c r="C4228" s="8">
        <v>88.19</v>
      </c>
      <c r="D4228" s="8">
        <v>100</v>
      </c>
    </row>
    <row r="4229" spans="1:4">
      <c r="A4229" s="7" t="s">
        <v>2199</v>
      </c>
      <c r="B4229" s="8">
        <v>90.62</v>
      </c>
      <c r="C4229" s="8">
        <v>90.62</v>
      </c>
      <c r="D4229" s="8">
        <v>100</v>
      </c>
    </row>
    <row r="4230" spans="1:4">
      <c r="A4230" s="7" t="s">
        <v>2200</v>
      </c>
      <c r="B4230" s="8">
        <v>90.62</v>
      </c>
      <c r="C4230" s="8">
        <v>90.62</v>
      </c>
      <c r="D4230" s="8">
        <v>100</v>
      </c>
    </row>
    <row r="4231" spans="1:4">
      <c r="A4231" s="7" t="s">
        <v>2201</v>
      </c>
      <c r="B4231" s="8">
        <v>90.62</v>
      </c>
      <c r="C4231" s="8">
        <v>90.62</v>
      </c>
      <c r="D4231" s="8">
        <v>100</v>
      </c>
    </row>
    <row r="4232" spans="1:4">
      <c r="A4232" s="7" t="s">
        <v>2202</v>
      </c>
      <c r="B4232" s="8">
        <v>90.62</v>
      </c>
      <c r="C4232" s="8">
        <v>90.62</v>
      </c>
      <c r="D4232" s="8">
        <v>100</v>
      </c>
    </row>
    <row r="4233" spans="1:4">
      <c r="A4233" s="7" t="s">
        <v>2203</v>
      </c>
      <c r="B4233" s="8">
        <v>90.62</v>
      </c>
      <c r="C4233" s="8">
        <v>90.62</v>
      </c>
      <c r="D4233" s="8">
        <v>100</v>
      </c>
    </row>
    <row r="4234" spans="1:4">
      <c r="A4234" s="7" t="s">
        <v>2204</v>
      </c>
      <c r="B4234" s="8">
        <v>90.62</v>
      </c>
      <c r="C4234" s="8">
        <v>90.62</v>
      </c>
      <c r="D4234" s="8">
        <v>100</v>
      </c>
    </row>
    <row r="4235" spans="1:4">
      <c r="A4235" s="7" t="s">
        <v>2205</v>
      </c>
      <c r="B4235" s="8">
        <v>147.81</v>
      </c>
      <c r="C4235" s="8">
        <v>158.12</v>
      </c>
      <c r="D4235" s="8">
        <v>93.48</v>
      </c>
    </row>
    <row r="4236" spans="1:4">
      <c r="A4236" s="7" t="s">
        <v>2206</v>
      </c>
      <c r="B4236" s="8">
        <v>110</v>
      </c>
      <c r="C4236" s="8">
        <v>110</v>
      </c>
      <c r="D4236" s="8">
        <v>100</v>
      </c>
    </row>
    <row r="4237" spans="1:4">
      <c r="A4237" s="7" t="s">
        <v>2207</v>
      </c>
      <c r="B4237" s="8">
        <v>144.88</v>
      </c>
      <c r="C4237" s="8">
        <v>158.12</v>
      </c>
      <c r="D4237" s="8">
        <v>91.63</v>
      </c>
    </row>
    <row r="4238" spans="1:4">
      <c r="A4238" s="7" t="s">
        <v>2208</v>
      </c>
      <c r="B4238" s="8">
        <v>119.75</v>
      </c>
      <c r="C4238" s="8">
        <v>122.8</v>
      </c>
      <c r="D4238" s="8">
        <v>97.52</v>
      </c>
    </row>
    <row r="4239" spans="1:4">
      <c r="A4239" s="7" t="s">
        <v>2209</v>
      </c>
      <c r="B4239" s="8">
        <v>95</v>
      </c>
      <c r="C4239" s="8">
        <v>95</v>
      </c>
      <c r="D4239" s="8">
        <v>100</v>
      </c>
    </row>
    <row r="4240" spans="1:4">
      <c r="A4240" s="7" t="s">
        <v>2210</v>
      </c>
      <c r="B4240" s="8">
        <v>95.57</v>
      </c>
      <c r="C4240" s="8">
        <v>117.6</v>
      </c>
      <c r="D4240" s="8">
        <v>81.27</v>
      </c>
    </row>
    <row r="4241" spans="1:4">
      <c r="A4241" s="7" t="s">
        <v>2211</v>
      </c>
      <c r="B4241" s="8">
        <v>147.81</v>
      </c>
      <c r="C4241" s="8">
        <v>158.12</v>
      </c>
      <c r="D4241" s="8">
        <v>93.48</v>
      </c>
    </row>
    <row r="4242" spans="1:4">
      <c r="A4242" s="7" t="s">
        <v>2212</v>
      </c>
      <c r="B4242" s="8">
        <v>110</v>
      </c>
      <c r="C4242" s="8">
        <v>110</v>
      </c>
      <c r="D4242" s="8">
        <v>100</v>
      </c>
    </row>
    <row r="4243" spans="1:4">
      <c r="A4243" s="7" t="s">
        <v>2213</v>
      </c>
      <c r="B4243" s="8">
        <v>144.88</v>
      </c>
      <c r="C4243" s="8">
        <v>158.12</v>
      </c>
      <c r="D4243" s="8">
        <v>91.63</v>
      </c>
    </row>
    <row r="4244" spans="1:4">
      <c r="A4244" s="7" t="s">
        <v>2214</v>
      </c>
      <c r="B4244" s="8">
        <v>119.75</v>
      </c>
      <c r="C4244" s="8">
        <v>122.8</v>
      </c>
      <c r="D4244" s="8">
        <v>97.52</v>
      </c>
    </row>
    <row r="4245" spans="1:4">
      <c r="A4245" s="7" t="s">
        <v>2215</v>
      </c>
      <c r="B4245" s="8">
        <v>95</v>
      </c>
      <c r="C4245" s="8">
        <v>95</v>
      </c>
      <c r="D4245" s="8">
        <v>100</v>
      </c>
    </row>
    <row r="4246" spans="1:4">
      <c r="A4246" s="7" t="s">
        <v>2216</v>
      </c>
      <c r="B4246" s="8">
        <v>95.57</v>
      </c>
      <c r="C4246" s="8">
        <v>117.6</v>
      </c>
      <c r="D4246" s="8">
        <v>81.27</v>
      </c>
    </row>
    <row r="4247" spans="1:4">
      <c r="A4247" s="7" t="s">
        <v>2217</v>
      </c>
      <c r="B4247" s="8">
        <v>107.29</v>
      </c>
      <c r="C4247" s="8">
        <v>117.6</v>
      </c>
      <c r="D4247" s="8">
        <v>91.23</v>
      </c>
    </row>
    <row r="4248" spans="1:4">
      <c r="A4248" s="7" t="s">
        <v>2218</v>
      </c>
      <c r="B4248" s="8">
        <v>110.92</v>
      </c>
      <c r="C4248" s="8">
        <v>126.37</v>
      </c>
      <c r="D4248" s="8">
        <v>87.78</v>
      </c>
    </row>
    <row r="4249" spans="1:4">
      <c r="A4249" s="7" t="s">
        <v>2219</v>
      </c>
      <c r="B4249" s="8">
        <v>126.7</v>
      </c>
      <c r="C4249" s="8">
        <v>157.4</v>
      </c>
      <c r="D4249" s="8">
        <v>80.5</v>
      </c>
    </row>
    <row r="4250" spans="1:4">
      <c r="A4250" s="7" t="s">
        <v>2220</v>
      </c>
      <c r="B4250" s="8">
        <v>138.72999999999999</v>
      </c>
      <c r="C4250" s="8">
        <v>157.4</v>
      </c>
      <c r="D4250" s="8">
        <v>88.14</v>
      </c>
    </row>
    <row r="4251" spans="1:4">
      <c r="A4251" s="7" t="s">
        <v>2221</v>
      </c>
      <c r="B4251" s="8">
        <v>110</v>
      </c>
      <c r="C4251" s="8">
        <v>110</v>
      </c>
      <c r="D4251" s="8">
        <v>100</v>
      </c>
    </row>
    <row r="4252" spans="1:4">
      <c r="A4252" s="7" t="s">
        <v>2222</v>
      </c>
      <c r="B4252" s="8">
        <v>127.65</v>
      </c>
      <c r="C4252" s="8">
        <v>152.6</v>
      </c>
      <c r="D4252" s="8">
        <v>83.65</v>
      </c>
    </row>
    <row r="4253" spans="1:4">
      <c r="A4253" s="7" t="s">
        <v>620</v>
      </c>
      <c r="B4253" s="8">
        <v>4199.01</v>
      </c>
      <c r="C4253" s="8">
        <v>2911.75</v>
      </c>
      <c r="D4253" s="8">
        <v>144.21</v>
      </c>
    </row>
    <row r="4254" spans="1:4">
      <c r="A4254" s="7" t="s">
        <v>2223</v>
      </c>
      <c r="B4254" s="8">
        <v>16118.38</v>
      </c>
      <c r="C4254" s="8">
        <v>12920.68</v>
      </c>
      <c r="D4254" s="8">
        <v>124.75</v>
      </c>
    </row>
    <row r="4255" spans="1:4">
      <c r="A4255" s="7" t="s">
        <v>2224</v>
      </c>
      <c r="B4255" s="8">
        <v>10497.04</v>
      </c>
      <c r="C4255" s="8">
        <v>7950.65</v>
      </c>
      <c r="D4255" s="8">
        <v>132.03</v>
      </c>
    </row>
    <row r="4256" spans="1:4">
      <c r="A4256" s="7" t="s">
        <v>2225</v>
      </c>
      <c r="B4256" s="8">
        <v>18397.169999999998</v>
      </c>
      <c r="C4256" s="8">
        <v>6390.44</v>
      </c>
      <c r="D4256" s="8">
        <v>287.89</v>
      </c>
    </row>
    <row r="4257" spans="1:4">
      <c r="A4257" s="7" t="s">
        <v>2226</v>
      </c>
      <c r="B4257" s="8">
        <v>9549.7900000000009</v>
      </c>
      <c r="C4257" s="8">
        <v>7675.2</v>
      </c>
      <c r="D4257" s="8">
        <v>124.42</v>
      </c>
    </row>
    <row r="4258" spans="1:4">
      <c r="A4258" s="7" t="s">
        <v>2227</v>
      </c>
      <c r="B4258" s="8">
        <v>17079.62</v>
      </c>
      <c r="C4258" s="8">
        <v>13355.69</v>
      </c>
      <c r="D4258" s="8">
        <v>127.88</v>
      </c>
    </row>
    <row r="4259" spans="1:4">
      <c r="A4259" s="7" t="s">
        <v>2228</v>
      </c>
      <c r="B4259" s="8">
        <v>15391.94</v>
      </c>
      <c r="C4259" s="8">
        <v>12442.38</v>
      </c>
      <c r="D4259" s="8">
        <v>123.71</v>
      </c>
    </row>
    <row r="4260" spans="1:4">
      <c r="A4260" s="7" t="s">
        <v>2229</v>
      </c>
      <c r="B4260" s="8">
        <v>1919.79</v>
      </c>
      <c r="C4260" s="8">
        <v>14949.57</v>
      </c>
      <c r="D4260" s="8">
        <v>12.84</v>
      </c>
    </row>
    <row r="4261" spans="1:4">
      <c r="A4261" s="7" t="s">
        <v>2230</v>
      </c>
      <c r="B4261" s="8">
        <v>6552.24</v>
      </c>
      <c r="C4261" s="8">
        <v>7381.54</v>
      </c>
      <c r="D4261" s="8">
        <v>88.77</v>
      </c>
    </row>
    <row r="4262" spans="1:4">
      <c r="A4262" s="7" t="s">
        <v>2231</v>
      </c>
      <c r="B4262" s="8">
        <v>8355.58</v>
      </c>
      <c r="C4262" s="8">
        <v>6827.8</v>
      </c>
      <c r="D4262" s="8">
        <v>122.38</v>
      </c>
    </row>
    <row r="4263" spans="1:4">
      <c r="A4263" s="7" t="s">
        <v>2232</v>
      </c>
      <c r="B4263" s="8">
        <v>1738.46</v>
      </c>
      <c r="C4263" s="8">
        <v>15948.24</v>
      </c>
      <c r="D4263" s="8">
        <v>10.9</v>
      </c>
    </row>
    <row r="4264" spans="1:4">
      <c r="A4264" s="7" t="s">
        <v>643</v>
      </c>
      <c r="B4264" s="8">
        <v>15000.19</v>
      </c>
      <c r="C4264" s="8">
        <v>6450.04</v>
      </c>
      <c r="D4264" s="8">
        <v>232.56</v>
      </c>
    </row>
    <row r="4265" spans="1:4">
      <c r="A4265" s="7" t="s">
        <v>601</v>
      </c>
      <c r="B4265" s="8">
        <v>6566.52</v>
      </c>
      <c r="C4265" s="8">
        <v>6999.83</v>
      </c>
      <c r="D4265" s="8">
        <v>93.81</v>
      </c>
    </row>
    <row r="4266" spans="1:4">
      <c r="A4266" s="7" t="s">
        <v>566</v>
      </c>
      <c r="B4266" s="8">
        <v>23999.18</v>
      </c>
      <c r="C4266" s="8">
        <v>17535.189999999999</v>
      </c>
      <c r="D4266" s="8">
        <v>136.86000000000001</v>
      </c>
    </row>
    <row r="4267" spans="1:4">
      <c r="A4267" s="7" t="s">
        <v>567</v>
      </c>
      <c r="B4267" s="8">
        <v>23999.37</v>
      </c>
      <c r="C4267" s="8">
        <v>14783.04</v>
      </c>
      <c r="D4267" s="8">
        <v>162.34</v>
      </c>
    </row>
    <row r="4268" spans="1:4">
      <c r="A4268" s="7" t="s">
        <v>568</v>
      </c>
      <c r="B4268" s="8">
        <v>23999.62</v>
      </c>
      <c r="C4268" s="8">
        <v>11063.04</v>
      </c>
      <c r="D4268" s="8">
        <v>216.94</v>
      </c>
    </row>
    <row r="4269" spans="1:4">
      <c r="A4269" s="7" t="s">
        <v>569</v>
      </c>
      <c r="B4269" s="8">
        <v>23999.95</v>
      </c>
      <c r="C4269" s="8">
        <v>6955.19</v>
      </c>
      <c r="D4269" s="8">
        <v>345.07</v>
      </c>
    </row>
    <row r="4270" spans="1:4">
      <c r="A4270" s="7" t="s">
        <v>570</v>
      </c>
      <c r="B4270" s="8">
        <v>23999.29</v>
      </c>
      <c r="C4270" s="8">
        <v>10975.19</v>
      </c>
      <c r="D4270" s="8">
        <v>218.67</v>
      </c>
    </row>
    <row r="4271" spans="1:4">
      <c r="A4271" s="7" t="s">
        <v>571</v>
      </c>
      <c r="B4271" s="8">
        <v>23999.37</v>
      </c>
      <c r="C4271" s="8">
        <v>15986.59</v>
      </c>
      <c r="D4271" s="8">
        <v>150.12</v>
      </c>
    </row>
    <row r="4272" spans="1:4">
      <c r="A4272" s="7" t="s">
        <v>572</v>
      </c>
      <c r="B4272" s="8">
        <v>23999.38</v>
      </c>
      <c r="C4272" s="8">
        <v>20006.59</v>
      </c>
      <c r="D4272" s="8">
        <v>119.96</v>
      </c>
    </row>
    <row r="4273" spans="1:4">
      <c r="A4273" s="7" t="s">
        <v>573</v>
      </c>
      <c r="B4273" s="8">
        <v>23999.45</v>
      </c>
      <c r="C4273" s="8">
        <v>21175.19</v>
      </c>
      <c r="D4273" s="8">
        <v>113.34</v>
      </c>
    </row>
    <row r="4274" spans="1:4">
      <c r="A4274" s="7" t="s">
        <v>574</v>
      </c>
      <c r="B4274" s="8">
        <v>26779.56</v>
      </c>
      <c r="C4274" s="8">
        <v>19480.89</v>
      </c>
      <c r="D4274" s="8">
        <v>137.47</v>
      </c>
    </row>
    <row r="4275" spans="1:4">
      <c r="A4275" s="7" t="s">
        <v>575</v>
      </c>
      <c r="B4275" s="8">
        <v>26779.65</v>
      </c>
      <c r="C4275" s="8">
        <v>15060.99</v>
      </c>
      <c r="D4275" s="8">
        <v>177.81</v>
      </c>
    </row>
    <row r="4276" spans="1:4">
      <c r="A4276" s="7" t="s">
        <v>576</v>
      </c>
      <c r="B4276" s="8">
        <v>26779.31</v>
      </c>
      <c r="C4276" s="8">
        <v>12265.27</v>
      </c>
      <c r="D4276" s="8">
        <v>218.33</v>
      </c>
    </row>
    <row r="4277" spans="1:4">
      <c r="A4277" s="7" t="s">
        <v>577</v>
      </c>
      <c r="B4277" s="8">
        <v>26779.57</v>
      </c>
      <c r="C4277" s="8">
        <v>8618.77</v>
      </c>
      <c r="D4277" s="8">
        <v>310.70999999999998</v>
      </c>
    </row>
    <row r="4278" spans="1:4">
      <c r="A4278" s="7" t="s">
        <v>578</v>
      </c>
      <c r="B4278" s="8">
        <v>26779.46</v>
      </c>
      <c r="C4278" s="8">
        <v>12826.84</v>
      </c>
      <c r="D4278" s="8">
        <v>208.78</v>
      </c>
    </row>
    <row r="4279" spans="1:4">
      <c r="A4279" s="7" t="s">
        <v>579</v>
      </c>
      <c r="B4279" s="8">
        <v>26779.5</v>
      </c>
      <c r="C4279" s="8">
        <v>16793.599999999999</v>
      </c>
      <c r="D4279" s="8">
        <v>159.46</v>
      </c>
    </row>
    <row r="4280" spans="1:4">
      <c r="A4280" s="7" t="s">
        <v>580</v>
      </c>
      <c r="B4280" s="8">
        <v>26779.5</v>
      </c>
      <c r="C4280" s="8">
        <v>20528.64</v>
      </c>
      <c r="D4280" s="8">
        <v>130.44999999999999</v>
      </c>
    </row>
    <row r="4281" spans="1:4">
      <c r="A4281" s="7" t="s">
        <v>581</v>
      </c>
      <c r="B4281" s="8">
        <v>26779.56</v>
      </c>
      <c r="C4281" s="8">
        <v>21453.14</v>
      </c>
      <c r="D4281" s="8">
        <v>124.83</v>
      </c>
    </row>
    <row r="4282" spans="1:4">
      <c r="A4282" s="7" t="s">
        <v>582</v>
      </c>
      <c r="B4282" s="8">
        <v>2187.81</v>
      </c>
      <c r="C4282" s="8">
        <v>2081.87</v>
      </c>
      <c r="D4282" s="8">
        <v>105.09</v>
      </c>
    </row>
  </sheetData>
  <protectedRanges>
    <protectedRange sqref="A1469" name="範圍1"/>
    <protectedRange sqref="A1472" name="範圍1_1"/>
    <protectedRange sqref="A1477" name="範圍1_2"/>
  </protectedRanges>
  <phoneticPr fontId="7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2">
    <tabColor theme="4" tint="0.79998168889431442"/>
  </sheetPr>
  <dimension ref="A1:K92"/>
  <sheetViews>
    <sheetView topLeftCell="A58" zoomScale="85" zoomScaleNormal="85" workbookViewId="0">
      <selection activeCell="K25" sqref="K25"/>
    </sheetView>
  </sheetViews>
  <sheetFormatPr defaultRowHeight="15"/>
  <cols>
    <col min="1" max="1" width="7.42578125" bestFit="1" customWidth="1"/>
    <col min="2" max="2" width="13.85546875" bestFit="1" customWidth="1"/>
    <col min="3" max="3" width="17.85546875" bestFit="1" customWidth="1"/>
    <col min="4" max="4" width="9.28515625" bestFit="1" customWidth="1"/>
    <col min="5" max="5" width="16.5703125" bestFit="1" customWidth="1"/>
    <col min="6" max="6" width="9.28515625" bestFit="1" customWidth="1"/>
    <col min="7" max="7" width="16.5703125" bestFit="1" customWidth="1"/>
    <col min="8" max="8" width="9.28515625" bestFit="1" customWidth="1"/>
    <col min="9" max="9" width="16.5703125" bestFit="1" customWidth="1"/>
    <col min="10" max="10" width="13.85546875" customWidth="1"/>
    <col min="11" max="11" width="29.85546875" bestFit="1" customWidth="1"/>
    <col min="12" max="12" width="9.28515625" bestFit="1" customWidth="1"/>
    <col min="13" max="13" width="30" bestFit="1" customWidth="1"/>
    <col min="14" max="14" width="9.28515625" bestFit="1" customWidth="1"/>
    <col min="15" max="15" width="32.7109375" bestFit="1" customWidth="1"/>
    <col min="16" max="16" width="9.28515625" bestFit="1" customWidth="1"/>
    <col min="17" max="17" width="21.140625" bestFit="1" customWidth="1"/>
    <col min="18" max="18" width="9.28515625" bestFit="1" customWidth="1"/>
    <col min="19" max="19" width="21.140625" bestFit="1" customWidth="1"/>
    <col min="20" max="20" width="9.28515625" bestFit="1" customWidth="1"/>
    <col min="21" max="21" width="21.140625" bestFit="1" customWidth="1"/>
    <col min="22" max="22" width="12.5703125" bestFit="1" customWidth="1"/>
    <col min="23" max="23" width="16.5703125" bestFit="1" customWidth="1"/>
    <col min="24" max="24" width="10.5703125" bestFit="1" customWidth="1"/>
    <col min="26" max="26" width="10.7109375" bestFit="1" customWidth="1"/>
  </cols>
  <sheetData>
    <row r="1" spans="1:11">
      <c r="A1" s="14"/>
      <c r="B1" s="14"/>
      <c r="C1" s="14"/>
      <c r="D1" s="14"/>
      <c r="E1" s="14"/>
      <c r="F1" s="14"/>
      <c r="G1" s="14"/>
      <c r="H1" s="14"/>
      <c r="I1" s="14"/>
    </row>
    <row r="2" spans="1:11">
      <c r="A2" s="14"/>
      <c r="B2" s="14"/>
      <c r="C2" s="14"/>
      <c r="D2" s="14"/>
      <c r="E2" s="14"/>
      <c r="F2" s="14"/>
      <c r="G2" s="14"/>
      <c r="H2" s="14"/>
      <c r="I2" s="14"/>
    </row>
    <row r="3" spans="1:11">
      <c r="A3" s="14"/>
      <c r="B3" s="14"/>
      <c r="C3" s="14"/>
      <c r="D3" s="14"/>
      <c r="E3" s="14"/>
      <c r="F3" s="14"/>
      <c r="G3" s="14"/>
      <c r="H3" s="14"/>
      <c r="I3" s="14"/>
    </row>
    <row r="4" spans="1:11">
      <c r="A4" s="14"/>
      <c r="B4" s="14"/>
      <c r="C4" s="14"/>
      <c r="D4" s="14"/>
      <c r="E4" s="14"/>
      <c r="F4" s="14"/>
      <c r="G4" s="14"/>
      <c r="H4" s="14"/>
      <c r="I4" s="14"/>
    </row>
    <row r="5" spans="1:11">
      <c r="A5" s="14"/>
      <c r="B5" s="14"/>
      <c r="C5" s="14"/>
      <c r="D5" s="14"/>
      <c r="E5" s="14"/>
      <c r="F5" s="14"/>
      <c r="G5" s="14"/>
      <c r="H5" s="14"/>
      <c r="I5" s="14"/>
    </row>
    <row r="6" spans="1:11">
      <c r="A6" s="14"/>
      <c r="B6" s="14"/>
      <c r="C6" s="14"/>
      <c r="D6" s="14"/>
      <c r="E6" s="14"/>
      <c r="F6" s="14"/>
      <c r="G6" s="14"/>
      <c r="H6" s="14"/>
      <c r="I6" s="14"/>
    </row>
    <row r="7" spans="1:11">
      <c r="A7" s="14"/>
      <c r="B7" s="14"/>
      <c r="C7" s="14"/>
      <c r="D7" s="14"/>
      <c r="E7" s="14"/>
      <c r="F7" s="14"/>
      <c r="G7" s="14"/>
      <c r="H7" s="14"/>
      <c r="I7" s="14"/>
    </row>
    <row r="8" spans="1:11" ht="15.75" thickBot="1">
      <c r="A8" s="14"/>
      <c r="B8" s="14"/>
      <c r="C8" s="14"/>
      <c r="D8" s="14"/>
      <c r="E8" s="14"/>
      <c r="F8" s="14"/>
      <c r="G8" s="14"/>
      <c r="H8" s="14"/>
      <c r="I8" s="14"/>
    </row>
    <row r="9" spans="1:11">
      <c r="A9" s="20"/>
      <c r="B9" s="21"/>
      <c r="C9" s="13" t="s">
        <v>2268</v>
      </c>
      <c r="D9" s="22"/>
      <c r="E9" s="13" t="s">
        <v>2286</v>
      </c>
      <c r="F9" s="22"/>
      <c r="G9" s="13" t="s">
        <v>2287</v>
      </c>
      <c r="H9" s="22"/>
      <c r="I9" s="23"/>
    </row>
    <row r="10" spans="1:11" ht="15.75" thickBot="1">
      <c r="A10" s="2" t="s">
        <v>0</v>
      </c>
      <c r="B10" s="3" t="s">
        <v>1</v>
      </c>
      <c r="C10" s="3" t="s">
        <v>2</v>
      </c>
      <c r="D10" s="4" t="s">
        <v>3</v>
      </c>
      <c r="E10" s="3" t="s">
        <v>2</v>
      </c>
      <c r="F10" s="4" t="s">
        <v>3</v>
      </c>
      <c r="G10" s="3" t="s">
        <v>2</v>
      </c>
      <c r="H10" s="4" t="s">
        <v>3</v>
      </c>
      <c r="I10" s="9" t="s">
        <v>4</v>
      </c>
    </row>
    <row r="11" spans="1:11">
      <c r="A11" s="68" t="s">
        <v>5</v>
      </c>
      <c r="B11" s="33" t="s">
        <v>2253</v>
      </c>
      <c r="C11" s="10" t="s">
        <v>2252</v>
      </c>
      <c r="D11" s="24">
        <f>VLOOKUP(C11,data!$A:$B,2,0)</f>
        <v>642.72</v>
      </c>
      <c r="E11" s="10" t="s">
        <v>2269</v>
      </c>
      <c r="F11" s="24">
        <f>VLOOKUP(E11,data!$A:$B,2,0)</f>
        <v>5318.23</v>
      </c>
      <c r="G11" s="25" t="s">
        <v>2278</v>
      </c>
      <c r="H11" s="24">
        <f>VLOOKUP(G11,data!$A:$B,2,0)</f>
        <v>36170.28</v>
      </c>
      <c r="I11" s="28">
        <f>SUM(H11,F11,D11)</f>
        <v>42131.229999999996</v>
      </c>
    </row>
    <row r="12" spans="1:11">
      <c r="A12" s="69"/>
      <c r="B12" s="34" t="s">
        <v>2255</v>
      </c>
      <c r="C12" s="11" t="s">
        <v>2254</v>
      </c>
      <c r="D12" s="26">
        <f>VLOOKUP(C12,data!$A:$B,2,0)</f>
        <v>642.78</v>
      </c>
      <c r="E12" s="11" t="s">
        <v>2270</v>
      </c>
      <c r="F12" s="26">
        <f>VLOOKUP(E12,data!$A:$B,2,0)</f>
        <v>3228.74</v>
      </c>
      <c r="G12" s="27" t="s">
        <v>2279</v>
      </c>
      <c r="H12" s="26">
        <f>VLOOKUP(G12,data!$A:$B,2,0)</f>
        <v>38259.89</v>
      </c>
      <c r="I12" s="29">
        <f t="shared" ref="I12:I18" si="0">SUM(H12,F12,D12)</f>
        <v>42131.409999999996</v>
      </c>
    </row>
    <row r="13" spans="1:11">
      <c r="A13" s="69"/>
      <c r="B13" s="34" t="s">
        <v>2257</v>
      </c>
      <c r="C13" s="11" t="s">
        <v>2256</v>
      </c>
      <c r="D13" s="26">
        <f>VLOOKUP(C13,data!$A:$B,2,0)</f>
        <v>617.79</v>
      </c>
      <c r="E13" s="11" t="s">
        <v>2271</v>
      </c>
      <c r="F13" s="26">
        <f>VLOOKUP(E13,data!$A:$B,2,0)</f>
        <v>2576.04</v>
      </c>
      <c r="G13" s="27" t="s">
        <v>2280</v>
      </c>
      <c r="H13" s="26">
        <f>VLOOKUP(G13,data!$A:$B,2,0)</f>
        <v>38937.25</v>
      </c>
      <c r="I13" s="29">
        <f t="shared" si="0"/>
        <v>42131.08</v>
      </c>
    </row>
    <row r="14" spans="1:11">
      <c r="A14" s="69"/>
      <c r="B14" s="34" t="s">
        <v>2259</v>
      </c>
      <c r="C14" s="11" t="s">
        <v>2258</v>
      </c>
      <c r="D14" s="26">
        <f>VLOOKUP(C14,data!$A:$B,2,0)</f>
        <v>592.80999999999995</v>
      </c>
      <c r="E14" s="11" t="s">
        <v>2272</v>
      </c>
      <c r="F14" s="26">
        <f>VLOOKUP(E14,data!$A:$B,2,0)</f>
        <v>3992.3</v>
      </c>
      <c r="G14" s="27" t="s">
        <v>2281</v>
      </c>
      <c r="H14" s="26">
        <f>VLOOKUP(G14,data!$A:$B,2,0)</f>
        <v>37545.99</v>
      </c>
      <c r="I14" s="29">
        <f t="shared" si="0"/>
        <v>42131.1</v>
      </c>
    </row>
    <row r="15" spans="1:11">
      <c r="A15" s="69"/>
      <c r="B15" s="34" t="s">
        <v>2261</v>
      </c>
      <c r="C15" s="11" t="s">
        <v>2260</v>
      </c>
      <c r="D15" s="26">
        <f>VLOOKUP(C15,data!$A:$B,2,0)</f>
        <v>592.80999999999995</v>
      </c>
      <c r="E15" s="11" t="s">
        <v>2274</v>
      </c>
      <c r="F15" s="26">
        <f>VLOOKUP(E15,data!$A:$B,2,0)</f>
        <v>11936.48</v>
      </c>
      <c r="G15" s="27" t="s">
        <v>2282</v>
      </c>
      <c r="H15" s="26">
        <f>VLOOKUP(G15,data!$A:$B,2,0)</f>
        <v>29601.72</v>
      </c>
      <c r="I15" s="29">
        <f t="shared" si="0"/>
        <v>42131.009999999995</v>
      </c>
      <c r="J15">
        <f>I15-42131</f>
        <v>9.9999999947613105E-3</v>
      </c>
      <c r="K15">
        <f>H15-J15</f>
        <v>29601.710000000006</v>
      </c>
    </row>
    <row r="16" spans="1:11">
      <c r="A16" s="69"/>
      <c r="B16" s="11" t="s">
        <v>2263</v>
      </c>
      <c r="C16" s="11" t="s">
        <v>2262</v>
      </c>
      <c r="D16" s="26">
        <f>VLOOKUP(C16,data!$A:$B,2,0)</f>
        <v>617.79</v>
      </c>
      <c r="E16" s="11" t="s">
        <v>2275</v>
      </c>
      <c r="F16" s="26">
        <f>VLOOKUP(E16,data!$A:$B,2,0)</f>
        <v>13462.53</v>
      </c>
      <c r="G16" s="27" t="s">
        <v>2283</v>
      </c>
      <c r="H16" s="26">
        <f>VLOOKUP(G16,data!$A:$B,2,0)</f>
        <v>28050.79</v>
      </c>
      <c r="I16" s="29">
        <f t="shared" si="0"/>
        <v>42131.11</v>
      </c>
    </row>
    <row r="17" spans="1:11">
      <c r="A17" s="69"/>
      <c r="B17" s="11" t="s">
        <v>2265</v>
      </c>
      <c r="C17" s="11" t="s">
        <v>2264</v>
      </c>
      <c r="D17" s="26">
        <f>VLOOKUP(C17,data!$A:$B,2,0)</f>
        <v>592.80999999999995</v>
      </c>
      <c r="E17" s="11" t="s">
        <v>2276</v>
      </c>
      <c r="F17" s="26">
        <f>VLOOKUP(E17,data!$A:$B,2,0)</f>
        <v>8661.52</v>
      </c>
      <c r="G17" s="27" t="s">
        <v>2284</v>
      </c>
      <c r="H17" s="26">
        <f>VLOOKUP(G17,data!$A:$B,2,0)</f>
        <v>32876.839999999997</v>
      </c>
      <c r="I17" s="29">
        <f t="shared" si="0"/>
        <v>42131.17</v>
      </c>
    </row>
    <row r="18" spans="1:11" ht="15.75" thickBot="1">
      <c r="A18" s="70"/>
      <c r="B18" s="12" t="s">
        <v>2267</v>
      </c>
      <c r="C18" s="12" t="s">
        <v>2266</v>
      </c>
      <c r="D18" s="30">
        <f>VLOOKUP(C18,data!$A:$B,2,0)</f>
        <v>642.78</v>
      </c>
      <c r="E18" s="12" t="s">
        <v>2277</v>
      </c>
      <c r="F18" s="30">
        <f>VLOOKUP(E18,data!$A:$B,2,0)</f>
        <v>8585.0300000000007</v>
      </c>
      <c r="G18" s="31" t="s">
        <v>2285</v>
      </c>
      <c r="H18" s="30">
        <f>VLOOKUP(G18,data!$A:$B,2,0)</f>
        <v>32903.21</v>
      </c>
      <c r="I18" s="32">
        <f t="shared" si="0"/>
        <v>42131.02</v>
      </c>
    </row>
    <row r="19" spans="1:11">
      <c r="A19" s="68" t="s">
        <v>12</v>
      </c>
      <c r="B19" s="33" t="s">
        <v>2253</v>
      </c>
      <c r="C19" s="10" t="s">
        <v>2288</v>
      </c>
      <c r="D19" s="24">
        <f>VLOOKUP(C19,data!$A:$B,2,0)</f>
        <v>642.72</v>
      </c>
      <c r="E19" s="10" t="s">
        <v>2289</v>
      </c>
      <c r="F19" s="24">
        <f>VLOOKUP(E19,data!$A:$B,2,0)</f>
        <v>2087.41</v>
      </c>
      <c r="G19" s="25" t="s">
        <v>2400</v>
      </c>
      <c r="H19" s="24">
        <f>VLOOKUP(G19,data!$A:$B,2,0)</f>
        <v>39401.019999999997</v>
      </c>
      <c r="I19" s="28">
        <f>SUM(H19,F19,D19)</f>
        <v>42131.149999999994</v>
      </c>
    </row>
    <row r="20" spans="1:11">
      <c r="A20" s="69"/>
      <c r="B20" s="34" t="s">
        <v>2255</v>
      </c>
      <c r="C20" s="11" t="s">
        <v>2290</v>
      </c>
      <c r="D20" s="26">
        <f>VLOOKUP(C20,data!$A:$B,2,0)</f>
        <v>642.78</v>
      </c>
      <c r="E20" s="11" t="s">
        <v>2291</v>
      </c>
      <c r="F20" s="26">
        <f>VLOOKUP(E20,data!$A:$B,2,0)</f>
        <v>1605.68</v>
      </c>
      <c r="G20" s="27" t="s">
        <v>2401</v>
      </c>
      <c r="H20" s="26">
        <f>VLOOKUP(G20,data!$A:$B,2,0)</f>
        <v>39882.61</v>
      </c>
      <c r="I20" s="29">
        <f t="shared" ref="I20:I26" si="1">SUM(H20,F20,D20)</f>
        <v>42131.07</v>
      </c>
    </row>
    <row r="21" spans="1:11">
      <c r="A21" s="69"/>
      <c r="B21" s="34" t="s">
        <v>2257</v>
      </c>
      <c r="C21" s="11" t="s">
        <v>2292</v>
      </c>
      <c r="D21" s="26">
        <f>VLOOKUP(C21,data!$A:$B,2,0)</f>
        <v>617.79</v>
      </c>
      <c r="E21" s="11" t="s">
        <v>2293</v>
      </c>
      <c r="F21" s="26">
        <f>VLOOKUP(E21,data!$A:$B,2,0)</f>
        <v>1585.59</v>
      </c>
      <c r="G21" s="27" t="s">
        <v>2402</v>
      </c>
      <c r="H21" s="26">
        <f>VLOOKUP(G21,data!$A:$B,2,0)</f>
        <v>39927.83</v>
      </c>
      <c r="I21" s="29">
        <f t="shared" si="1"/>
        <v>42131.21</v>
      </c>
    </row>
    <row r="22" spans="1:11">
      <c r="A22" s="69"/>
      <c r="B22" s="34" t="s">
        <v>2259</v>
      </c>
      <c r="C22" s="11" t="s">
        <v>2294</v>
      </c>
      <c r="D22" s="26">
        <f>VLOOKUP(C22,data!$A:$B,2,0)</f>
        <v>592.80999999999995</v>
      </c>
      <c r="E22" s="11" t="s">
        <v>2295</v>
      </c>
      <c r="F22" s="26">
        <f>VLOOKUP(E22,data!$A:$B,2,0)</f>
        <v>1990.65</v>
      </c>
      <c r="G22" s="27" t="s">
        <v>2403</v>
      </c>
      <c r="H22" s="26">
        <f>VLOOKUP(G22,data!$A:$B,2,0)</f>
        <v>39547.589999999997</v>
      </c>
      <c r="I22" s="29">
        <f t="shared" si="1"/>
        <v>42131.049999999996</v>
      </c>
    </row>
    <row r="23" spans="1:11">
      <c r="A23" s="69"/>
      <c r="B23" s="34" t="s">
        <v>2261</v>
      </c>
      <c r="C23" s="11" t="s">
        <v>2296</v>
      </c>
      <c r="D23" s="26">
        <f>VLOOKUP(C23,data!$A:$B,2,0)</f>
        <v>592.80999999999995</v>
      </c>
      <c r="E23" s="11" t="s">
        <v>2297</v>
      </c>
      <c r="F23" s="26">
        <f>VLOOKUP(E23,data!$A:$B,2,0)</f>
        <v>11936.37</v>
      </c>
      <c r="G23" s="27" t="s">
        <v>2404</v>
      </c>
      <c r="H23" s="26">
        <f>VLOOKUP(G23,data!$A:$B,2,0)</f>
        <v>29601.51</v>
      </c>
      <c r="I23" s="29">
        <f t="shared" si="1"/>
        <v>42130.689999999995</v>
      </c>
      <c r="J23">
        <f>I23-42131</f>
        <v>-0.31000000000494765</v>
      </c>
      <c r="K23">
        <f>H23-J23</f>
        <v>29601.820000000003</v>
      </c>
    </row>
    <row r="24" spans="1:11">
      <c r="A24" s="69"/>
      <c r="B24" s="11" t="s">
        <v>2263</v>
      </c>
      <c r="C24" s="11" t="s">
        <v>2298</v>
      </c>
      <c r="D24" s="26">
        <f>VLOOKUP(C24,data!$A:$B,2,0)</f>
        <v>642.6</v>
      </c>
      <c r="E24" s="11" t="s">
        <v>2299</v>
      </c>
      <c r="F24" s="26">
        <f>VLOOKUP(E24,data!$A:$B,2,0)</f>
        <v>11330.34</v>
      </c>
      <c r="G24" s="27" t="s">
        <v>2405</v>
      </c>
      <c r="H24" s="26">
        <f>VLOOKUP(G24,data!$A:$B,2,0)</f>
        <v>30158.3</v>
      </c>
      <c r="I24" s="29">
        <f t="shared" si="1"/>
        <v>42131.24</v>
      </c>
    </row>
    <row r="25" spans="1:11">
      <c r="A25" s="69"/>
      <c r="B25" s="11" t="s">
        <v>2265</v>
      </c>
      <c r="C25" s="11" t="s">
        <v>2300</v>
      </c>
      <c r="D25" s="26">
        <f>VLOOKUP(C25,data!$A:$B,2,0)</f>
        <v>642.64</v>
      </c>
      <c r="E25" s="11" t="s">
        <v>2301</v>
      </c>
      <c r="F25" s="26">
        <f>VLOOKUP(E25,data!$A:$B,2,0)</f>
        <v>8594.6</v>
      </c>
      <c r="G25" s="27" t="s">
        <v>2406</v>
      </c>
      <c r="H25" s="26">
        <f>VLOOKUP(G25,data!$A:$B,2,0)</f>
        <v>32893.839999999997</v>
      </c>
      <c r="I25" s="29">
        <f t="shared" si="1"/>
        <v>42131.079999999994</v>
      </c>
    </row>
    <row r="26" spans="1:11" ht="15.75" thickBot="1">
      <c r="A26" s="70"/>
      <c r="B26" s="12" t="s">
        <v>2267</v>
      </c>
      <c r="C26" s="12" t="s">
        <v>2302</v>
      </c>
      <c r="D26" s="30">
        <f>VLOOKUP(C26,data!$A:$B,2,0)</f>
        <v>642.78</v>
      </c>
      <c r="E26" s="12" t="s">
        <v>2303</v>
      </c>
      <c r="F26" s="30">
        <f>VLOOKUP(E26,data!$A:$B,2,0)</f>
        <v>11749.46</v>
      </c>
      <c r="G26" s="31" t="s">
        <v>2407</v>
      </c>
      <c r="H26" s="30">
        <f>VLOOKUP(G26,data!$A:$B,2,0)</f>
        <v>29738.84</v>
      </c>
      <c r="I26" s="32">
        <f t="shared" si="1"/>
        <v>42131.08</v>
      </c>
    </row>
    <row r="27" spans="1:11">
      <c r="A27" s="68" t="s">
        <v>13</v>
      </c>
      <c r="B27" s="33" t="s">
        <v>2253</v>
      </c>
      <c r="C27" s="10" t="s">
        <v>2304</v>
      </c>
      <c r="D27" s="24">
        <f>VLOOKUP(C27,data!$A:$B,2,0)</f>
        <v>642.72</v>
      </c>
      <c r="E27" s="10" t="s">
        <v>2305</v>
      </c>
      <c r="F27" s="24">
        <f>VLOOKUP(E27,data!$A:$B,2,0)</f>
        <v>1711.8</v>
      </c>
      <c r="G27" s="25" t="s">
        <v>2408</v>
      </c>
      <c r="H27" s="24">
        <f>VLOOKUP(G27,data!$A:$B,2,0)</f>
        <v>39776.550000000003</v>
      </c>
      <c r="I27" s="28">
        <f>SUM(H27,F27,D27)</f>
        <v>42131.070000000007</v>
      </c>
    </row>
    <row r="28" spans="1:11">
      <c r="A28" s="69"/>
      <c r="B28" s="34" t="s">
        <v>2255</v>
      </c>
      <c r="C28" s="11" t="s">
        <v>2306</v>
      </c>
      <c r="D28" s="26">
        <f>VLOOKUP(C28,data!$A:$B,2,0)</f>
        <v>642.78</v>
      </c>
      <c r="E28" s="11" t="s">
        <v>2307</v>
      </c>
      <c r="F28" s="26">
        <f>VLOOKUP(E28,data!$A:$B,2,0)</f>
        <v>1901</v>
      </c>
      <c r="G28" s="27" t="s">
        <v>2409</v>
      </c>
      <c r="H28" s="26">
        <f>VLOOKUP(G28,data!$A:$B,2,0)</f>
        <v>39587.35</v>
      </c>
      <c r="I28" s="29">
        <f t="shared" ref="I28:I34" si="2">SUM(H28,F28,D28)</f>
        <v>42131.13</v>
      </c>
    </row>
    <row r="29" spans="1:11">
      <c r="A29" s="69"/>
      <c r="B29" s="34" t="s">
        <v>2257</v>
      </c>
      <c r="C29" s="11" t="s">
        <v>2308</v>
      </c>
      <c r="D29" s="26">
        <f>VLOOKUP(C29,data!$A:$B,2,0)</f>
        <v>617.79</v>
      </c>
      <c r="E29" s="11" t="s">
        <v>2309</v>
      </c>
      <c r="F29" s="26">
        <f>VLOOKUP(E29,data!$A:$B,2,0)</f>
        <v>2251.92</v>
      </c>
      <c r="G29" s="27" t="s">
        <v>2410</v>
      </c>
      <c r="H29" s="26">
        <f>VLOOKUP(G29,data!$A:$B,2,0)</f>
        <v>39261.519999999997</v>
      </c>
      <c r="I29" s="29">
        <f t="shared" si="2"/>
        <v>42131.229999999996</v>
      </c>
    </row>
    <row r="30" spans="1:11">
      <c r="A30" s="69"/>
      <c r="B30" s="34" t="s">
        <v>2259</v>
      </c>
      <c r="C30" s="11" t="s">
        <v>2310</v>
      </c>
      <c r="D30" s="26">
        <f>VLOOKUP(C30,data!$A:$B,2,0)</f>
        <v>592.80999999999995</v>
      </c>
      <c r="E30" s="11" t="s">
        <v>2311</v>
      </c>
      <c r="F30" s="26">
        <f>VLOOKUP(E30,data!$A:$B,2,0)</f>
        <v>2369.2199999999998</v>
      </c>
      <c r="G30" s="27" t="s">
        <v>2411</v>
      </c>
      <c r="H30" s="26">
        <f>VLOOKUP(G30,data!$A:$B,2,0)</f>
        <v>39168.81</v>
      </c>
      <c r="I30" s="29">
        <f t="shared" si="2"/>
        <v>42130.84</v>
      </c>
    </row>
    <row r="31" spans="1:11">
      <c r="A31" s="69"/>
      <c r="B31" s="34" t="s">
        <v>2261</v>
      </c>
      <c r="C31" s="11" t="s">
        <v>2312</v>
      </c>
      <c r="D31" s="26">
        <f>VLOOKUP(C31,data!$A:$B,2,0)</f>
        <v>592.80999999999995</v>
      </c>
      <c r="E31" s="11" t="s">
        <v>2313</v>
      </c>
      <c r="F31" s="26">
        <f>VLOOKUP(E31,data!$A:$B,2,0)</f>
        <v>11936.01</v>
      </c>
      <c r="G31" s="27" t="s">
        <v>2412</v>
      </c>
      <c r="H31" s="26">
        <f>VLOOKUP(G31,data!$A:$B,2,0)</f>
        <v>29602.3</v>
      </c>
      <c r="I31" s="29">
        <f t="shared" si="2"/>
        <v>42131.119999999995</v>
      </c>
      <c r="J31">
        <f>I31-42131</f>
        <v>0.11999999999534339</v>
      </c>
      <c r="K31">
        <f>H31-J31</f>
        <v>29602.180000000004</v>
      </c>
    </row>
    <row r="32" spans="1:11">
      <c r="A32" s="69"/>
      <c r="B32" s="11" t="s">
        <v>2263</v>
      </c>
      <c r="C32" s="11" t="s">
        <v>2314</v>
      </c>
      <c r="D32" s="26">
        <f>VLOOKUP(C32,data!$A:$B,2,0)</f>
        <v>617.79</v>
      </c>
      <c r="E32" s="11" t="s">
        <v>2315</v>
      </c>
      <c r="F32" s="26">
        <f>VLOOKUP(E32,data!$A:$B,2,0)</f>
        <v>13779.8</v>
      </c>
      <c r="G32" s="27" t="s">
        <v>2413</v>
      </c>
      <c r="H32" s="26">
        <f>VLOOKUP(G32,data!$A:$B,2,0)</f>
        <v>27733.51</v>
      </c>
      <c r="I32" s="29">
        <f t="shared" si="2"/>
        <v>42131.1</v>
      </c>
    </row>
    <row r="33" spans="1:11">
      <c r="A33" s="69"/>
      <c r="B33" s="11" t="s">
        <v>2265</v>
      </c>
      <c r="C33" s="11" t="s">
        <v>2316</v>
      </c>
      <c r="D33" s="26">
        <f>VLOOKUP(C33,data!$A:$B,2,0)</f>
        <v>592.80999999999995</v>
      </c>
      <c r="E33" s="11" t="s">
        <v>2317</v>
      </c>
      <c r="F33" s="26">
        <f>VLOOKUP(E33,data!$A:$B,2,0)</f>
        <v>7679.67</v>
      </c>
      <c r="G33" s="27" t="s">
        <v>2414</v>
      </c>
      <c r="H33" s="26">
        <f>VLOOKUP(G33,data!$A:$B,2,0)</f>
        <v>33858.6</v>
      </c>
      <c r="I33" s="29">
        <f t="shared" si="2"/>
        <v>42131.079999999994</v>
      </c>
    </row>
    <row r="34" spans="1:11" ht="15.75" thickBot="1">
      <c r="A34" s="70"/>
      <c r="B34" s="12" t="s">
        <v>2267</v>
      </c>
      <c r="C34" s="12" t="s">
        <v>2318</v>
      </c>
      <c r="D34" s="30">
        <f>VLOOKUP(C34,data!$A:$B,2,0)</f>
        <v>642.78</v>
      </c>
      <c r="E34" s="12" t="s">
        <v>2319</v>
      </c>
      <c r="F34" s="30">
        <f>VLOOKUP(E34,data!$A:$B,2,0)</f>
        <v>12222.22</v>
      </c>
      <c r="G34" s="31" t="s">
        <v>2415</v>
      </c>
      <c r="H34" s="30">
        <f>VLOOKUP(G34,data!$A:$B,2,0)</f>
        <v>29266.21</v>
      </c>
      <c r="I34" s="32">
        <f t="shared" si="2"/>
        <v>42131.21</v>
      </c>
    </row>
    <row r="35" spans="1:11">
      <c r="A35" s="68" t="s">
        <v>14</v>
      </c>
      <c r="B35" s="33" t="s">
        <v>2253</v>
      </c>
      <c r="C35" s="10" t="s">
        <v>2320</v>
      </c>
      <c r="D35" s="24">
        <f>VLOOKUP(C35,data!$A:$B,2,0)</f>
        <v>642.72</v>
      </c>
      <c r="E35" s="10" t="s">
        <v>2321</v>
      </c>
      <c r="F35" s="24">
        <f>VLOOKUP(E35,data!$A:$B,2,0)</f>
        <v>3901.13</v>
      </c>
      <c r="G35" s="25" t="s">
        <v>2416</v>
      </c>
      <c r="H35" s="24">
        <f>VLOOKUP(G35,data!$A:$B,2,0)</f>
        <v>37587.360000000001</v>
      </c>
      <c r="I35" s="28">
        <f>SUM(H35,F35,D35)</f>
        <v>42131.21</v>
      </c>
    </row>
    <row r="36" spans="1:11">
      <c r="A36" s="69"/>
      <c r="B36" s="34" t="s">
        <v>2255</v>
      </c>
      <c r="C36" s="11" t="s">
        <v>2322</v>
      </c>
      <c r="D36" s="26">
        <f>VLOOKUP(C36,data!$A:$B,2,0)</f>
        <v>642.78</v>
      </c>
      <c r="E36" s="11" t="s">
        <v>2323</v>
      </c>
      <c r="F36" s="26">
        <f>VLOOKUP(E36,data!$A:$B,2,0)</f>
        <v>4540.53</v>
      </c>
      <c r="G36" s="27" t="s">
        <v>2417</v>
      </c>
      <c r="H36" s="26">
        <f>VLOOKUP(G36,data!$A:$B,2,0)</f>
        <v>36947.660000000003</v>
      </c>
      <c r="I36" s="29">
        <f t="shared" ref="I36:I42" si="3">SUM(H36,F36,D36)</f>
        <v>42130.97</v>
      </c>
    </row>
    <row r="37" spans="1:11">
      <c r="A37" s="69"/>
      <c r="B37" s="34" t="s">
        <v>2257</v>
      </c>
      <c r="C37" s="11" t="s">
        <v>2324</v>
      </c>
      <c r="D37" s="26">
        <f>VLOOKUP(C37,data!$A:$B,2,0)</f>
        <v>617.79</v>
      </c>
      <c r="E37" s="11" t="s">
        <v>2325</v>
      </c>
      <c r="F37" s="26">
        <f>VLOOKUP(E37,data!$A:$B,2,0)</f>
        <v>4150.9399999999996</v>
      </c>
      <c r="G37" s="27" t="s">
        <v>2418</v>
      </c>
      <c r="H37" s="26">
        <f>VLOOKUP(G37,data!$A:$B,2,0)</f>
        <v>37362.339999999997</v>
      </c>
      <c r="I37" s="29">
        <f t="shared" si="3"/>
        <v>42131.07</v>
      </c>
    </row>
    <row r="38" spans="1:11">
      <c r="A38" s="69"/>
      <c r="B38" s="34" t="s">
        <v>2259</v>
      </c>
      <c r="C38" s="11" t="s">
        <v>2326</v>
      </c>
      <c r="D38" s="26">
        <f>VLOOKUP(C38,data!$A:$B,2,0)</f>
        <v>592.80999999999995</v>
      </c>
      <c r="E38" s="11" t="s">
        <v>2327</v>
      </c>
      <c r="F38" s="26">
        <f>VLOOKUP(E38,data!$A:$B,2,0)</f>
        <v>4356.26</v>
      </c>
      <c r="G38" s="27" t="s">
        <v>2419</v>
      </c>
      <c r="H38" s="26">
        <f>VLOOKUP(G38,data!$A:$B,2,0)</f>
        <v>37181.9</v>
      </c>
      <c r="I38" s="29">
        <f t="shared" si="3"/>
        <v>42130.97</v>
      </c>
    </row>
    <row r="39" spans="1:11">
      <c r="A39" s="69"/>
      <c r="B39" s="34" t="s">
        <v>2261</v>
      </c>
      <c r="C39" s="11" t="s">
        <v>2328</v>
      </c>
      <c r="D39" s="26">
        <f>VLOOKUP(C39,data!$A:$B,2,0)</f>
        <v>592.80999999999995</v>
      </c>
      <c r="E39" s="11" t="s">
        <v>2329</v>
      </c>
      <c r="F39" s="26">
        <f>VLOOKUP(E39,data!$A:$B,2,0)</f>
        <v>11936.15</v>
      </c>
      <c r="G39" s="27" t="s">
        <v>2420</v>
      </c>
      <c r="H39" s="26">
        <f>VLOOKUP(G39,data!$A:$B,2,0)</f>
        <v>29602.39</v>
      </c>
      <c r="I39" s="29">
        <f t="shared" si="3"/>
        <v>42131.35</v>
      </c>
      <c r="J39">
        <f>I39-42131</f>
        <v>0.34999999999854481</v>
      </c>
      <c r="K39">
        <f>H39-J39</f>
        <v>29602.04</v>
      </c>
    </row>
    <row r="40" spans="1:11">
      <c r="A40" s="69"/>
      <c r="B40" s="11" t="s">
        <v>2263</v>
      </c>
      <c r="C40" s="11" t="s">
        <v>2330</v>
      </c>
      <c r="D40" s="26">
        <f>VLOOKUP(C40,data!$A:$B,2,0)</f>
        <v>617.79</v>
      </c>
      <c r="E40" s="11" t="s">
        <v>2331</v>
      </c>
      <c r="F40" s="26">
        <f>VLOOKUP(E40,data!$A:$B,2,0)</f>
        <v>10062.799999999999</v>
      </c>
      <c r="G40" s="27" t="s">
        <v>2421</v>
      </c>
      <c r="H40" s="26">
        <f>VLOOKUP(G40,data!$A:$B,2,0)</f>
        <v>31450.42</v>
      </c>
      <c r="I40" s="29">
        <f t="shared" si="3"/>
        <v>42131.01</v>
      </c>
    </row>
    <row r="41" spans="1:11">
      <c r="A41" s="69"/>
      <c r="B41" s="11" t="s">
        <v>2265</v>
      </c>
      <c r="C41" s="11" t="s">
        <v>2332</v>
      </c>
      <c r="D41" s="26">
        <f>VLOOKUP(C41,data!$A:$B,2,0)</f>
        <v>592.80999999999995</v>
      </c>
      <c r="E41" s="11" t="s">
        <v>2333</v>
      </c>
      <c r="F41" s="26">
        <f>VLOOKUP(E41,data!$A:$B,2,0)</f>
        <v>5716.11</v>
      </c>
      <c r="G41" s="27" t="s">
        <v>2422</v>
      </c>
      <c r="H41" s="26">
        <f>VLOOKUP(G41,data!$A:$B,2,0)</f>
        <v>35822.129999999997</v>
      </c>
      <c r="I41" s="29">
        <f t="shared" si="3"/>
        <v>42131.049999999996</v>
      </c>
    </row>
    <row r="42" spans="1:11" ht="15.75" thickBot="1">
      <c r="A42" s="70"/>
      <c r="B42" s="12" t="s">
        <v>2267</v>
      </c>
      <c r="C42" s="12" t="s">
        <v>2334</v>
      </c>
      <c r="D42" s="30">
        <f>VLOOKUP(C42,data!$A:$B,2,0)</f>
        <v>642.78</v>
      </c>
      <c r="E42" s="12" t="s">
        <v>2335</v>
      </c>
      <c r="F42" s="30">
        <f>VLOOKUP(E42,data!$A:$B,2,0)</f>
        <v>6481.36</v>
      </c>
      <c r="G42" s="31" t="s">
        <v>2423</v>
      </c>
      <c r="H42" s="30">
        <f>VLOOKUP(G42,data!$A:$B,2,0)</f>
        <v>35006.949999999997</v>
      </c>
      <c r="I42" s="32">
        <f t="shared" si="3"/>
        <v>42131.09</v>
      </c>
    </row>
    <row r="43" spans="1:11">
      <c r="A43" s="68" t="s">
        <v>15</v>
      </c>
      <c r="B43" s="33" t="s">
        <v>2253</v>
      </c>
      <c r="C43" s="10" t="s">
        <v>2336</v>
      </c>
      <c r="D43" s="24">
        <f>VLOOKUP(C43,data!$A:$B,2,0)</f>
        <v>642.72</v>
      </c>
      <c r="E43" s="10" t="s">
        <v>2337</v>
      </c>
      <c r="F43" s="24">
        <f>VLOOKUP(E43,data!$A:$B,2,0)</f>
        <v>10083.040000000001</v>
      </c>
      <c r="G43" s="25" t="s">
        <v>35</v>
      </c>
      <c r="H43" s="24">
        <f>VLOOKUP(G43,data!$A:$B,2,0)</f>
        <v>31405.360000000001</v>
      </c>
      <c r="I43" s="28">
        <f>SUM(H43,F43,D43)</f>
        <v>42131.12</v>
      </c>
    </row>
    <row r="44" spans="1:11">
      <c r="A44" s="69"/>
      <c r="B44" s="34" t="s">
        <v>2255</v>
      </c>
      <c r="C44" s="11" t="s">
        <v>2338</v>
      </c>
      <c r="D44" s="26">
        <f>VLOOKUP(C44,data!$A:$B,2,0)</f>
        <v>642.78</v>
      </c>
      <c r="E44" s="11" t="s">
        <v>2339</v>
      </c>
      <c r="F44" s="26">
        <f>VLOOKUP(E44,data!$A:$B,2,0)</f>
        <v>11665.05</v>
      </c>
      <c r="G44" s="27" t="s">
        <v>39</v>
      </c>
      <c r="H44" s="26">
        <f>VLOOKUP(G44,data!$A:$B,2,0)</f>
        <v>29823.23</v>
      </c>
      <c r="I44" s="29">
        <f t="shared" ref="I44:I50" si="4">SUM(H44,F44,D44)</f>
        <v>42131.06</v>
      </c>
    </row>
    <row r="45" spans="1:11">
      <c r="A45" s="69"/>
      <c r="B45" s="34" t="s">
        <v>2257</v>
      </c>
      <c r="C45" s="11" t="s">
        <v>2340</v>
      </c>
      <c r="D45" s="26">
        <f>VLOOKUP(C45,data!$A:$B,2,0)</f>
        <v>617.79</v>
      </c>
      <c r="E45" s="11" t="s">
        <v>2341</v>
      </c>
      <c r="F45" s="26">
        <f>VLOOKUP(E45,data!$A:$B,2,0)</f>
        <v>10071.969999999999</v>
      </c>
      <c r="G45" s="27" t="s">
        <v>43</v>
      </c>
      <c r="H45" s="26">
        <f>VLOOKUP(G45,data!$A:$B,2,0)</f>
        <v>31441.25</v>
      </c>
      <c r="I45" s="29">
        <f t="shared" si="4"/>
        <v>42131.01</v>
      </c>
    </row>
    <row r="46" spans="1:11">
      <c r="A46" s="69"/>
      <c r="B46" s="34" t="s">
        <v>2259</v>
      </c>
      <c r="C46" s="11" t="s">
        <v>2342</v>
      </c>
      <c r="D46" s="26">
        <f>VLOOKUP(C46,data!$A:$B,2,0)</f>
        <v>592.80999999999995</v>
      </c>
      <c r="E46" s="11" t="s">
        <v>2343</v>
      </c>
      <c r="F46" s="26">
        <f>VLOOKUP(E46,data!$A:$B,2,0)</f>
        <v>9990.94</v>
      </c>
      <c r="G46" s="27" t="s">
        <v>2424</v>
      </c>
      <c r="H46" s="26">
        <f>VLOOKUP(G46,data!$A:$B,2,0)</f>
        <v>31547.25</v>
      </c>
      <c r="I46" s="29">
        <f t="shared" si="4"/>
        <v>42131</v>
      </c>
    </row>
    <row r="47" spans="1:11">
      <c r="A47" s="69"/>
      <c r="B47" s="34" t="s">
        <v>2261</v>
      </c>
      <c r="C47" s="11" t="s">
        <v>2344</v>
      </c>
      <c r="D47" s="26">
        <f>VLOOKUP(C47,data!$A:$B,2,0)</f>
        <v>592.80999999999995</v>
      </c>
      <c r="E47" s="11" t="s">
        <v>2345</v>
      </c>
      <c r="F47" s="26">
        <f>VLOOKUP(E47,data!$A:$B,2,0)</f>
        <v>11936.01</v>
      </c>
      <c r="G47" s="27" t="s">
        <v>2425</v>
      </c>
      <c r="H47" s="26">
        <f>VLOOKUP(G47,data!$A:$B,2,0)</f>
        <v>29602.23</v>
      </c>
      <c r="I47" s="29">
        <f t="shared" si="4"/>
        <v>42131.049999999996</v>
      </c>
    </row>
    <row r="48" spans="1:11">
      <c r="A48" s="69"/>
      <c r="B48" s="11" t="s">
        <v>2263</v>
      </c>
      <c r="C48" s="11" t="s">
        <v>2346</v>
      </c>
      <c r="D48" s="26">
        <f>VLOOKUP(C48,data!$A:$B,2,0)</f>
        <v>617.79</v>
      </c>
      <c r="E48" s="11" t="s">
        <v>2347</v>
      </c>
      <c r="F48" s="26">
        <f>VLOOKUP(E48,data!$A:$B,2,0)</f>
        <v>6697.33</v>
      </c>
      <c r="G48" s="27" t="s">
        <v>23</v>
      </c>
      <c r="H48" s="26">
        <f>VLOOKUP(G48,data!$A:$B,2,0)</f>
        <v>34815.99</v>
      </c>
      <c r="I48" s="29">
        <f t="shared" si="4"/>
        <v>42131.11</v>
      </c>
    </row>
    <row r="49" spans="1:11">
      <c r="A49" s="69"/>
      <c r="B49" s="11" t="s">
        <v>2265</v>
      </c>
      <c r="C49" s="11" t="s">
        <v>2348</v>
      </c>
      <c r="D49" s="26">
        <f>VLOOKUP(C49,data!$A:$B,2,0)</f>
        <v>592.80999999999995</v>
      </c>
      <c r="E49" s="11" t="s">
        <v>2349</v>
      </c>
      <c r="F49" s="26">
        <f>VLOOKUP(E49,data!$A:$B,2,0)</f>
        <v>6481.61</v>
      </c>
      <c r="G49" s="27" t="s">
        <v>27</v>
      </c>
      <c r="H49" s="26">
        <f>VLOOKUP(G49,data!$A:$B,2,0)</f>
        <v>35056.75</v>
      </c>
      <c r="I49" s="29">
        <f t="shared" si="4"/>
        <v>42131.17</v>
      </c>
    </row>
    <row r="50" spans="1:11" ht="15.75" thickBot="1">
      <c r="A50" s="70"/>
      <c r="B50" s="12" t="s">
        <v>2267</v>
      </c>
      <c r="C50" s="12" t="s">
        <v>2350</v>
      </c>
      <c r="D50" s="30">
        <f>VLOOKUP(C50,data!$A:$B,2,0)</f>
        <v>642.78</v>
      </c>
      <c r="E50" s="12" t="s">
        <v>2351</v>
      </c>
      <c r="F50" s="30">
        <f>VLOOKUP(E50,data!$A:$B,2,0)</f>
        <v>7351.66</v>
      </c>
      <c r="G50" s="31" t="s">
        <v>31</v>
      </c>
      <c r="H50" s="30">
        <f>VLOOKUP(G50,data!$A:$B,2,0)</f>
        <v>34136.639999999999</v>
      </c>
      <c r="I50" s="32">
        <f t="shared" si="4"/>
        <v>42131.08</v>
      </c>
    </row>
    <row r="51" spans="1:11">
      <c r="A51" s="68" t="s">
        <v>16</v>
      </c>
      <c r="B51" s="33" t="s">
        <v>2253</v>
      </c>
      <c r="C51" s="10" t="s">
        <v>2352</v>
      </c>
      <c r="D51" s="24">
        <f>VLOOKUP(C51,data!$A:$B,2,0)</f>
        <v>642.72</v>
      </c>
      <c r="E51" s="10" t="s">
        <v>2353</v>
      </c>
      <c r="F51" s="24">
        <f>VLOOKUP(E51,data!$A:$B,2,0)</f>
        <v>4921.16</v>
      </c>
      <c r="G51" s="25" t="s">
        <v>36</v>
      </c>
      <c r="H51" s="24">
        <f>VLOOKUP(G51,data!$A:$B,2,0)</f>
        <v>36567.22</v>
      </c>
      <c r="I51" s="28">
        <f>SUM(H51,F51,D51)</f>
        <v>42131.100000000006</v>
      </c>
    </row>
    <row r="52" spans="1:11">
      <c r="A52" s="69"/>
      <c r="B52" s="34" t="s">
        <v>2255</v>
      </c>
      <c r="C52" s="11" t="s">
        <v>2354</v>
      </c>
      <c r="D52" s="26">
        <f>VLOOKUP(C52,data!$A:$B,2,0)</f>
        <v>642.78</v>
      </c>
      <c r="E52" s="11" t="s">
        <v>2355</v>
      </c>
      <c r="F52" s="26">
        <f>VLOOKUP(E52,data!$A:$B,2,0)</f>
        <v>5085.21</v>
      </c>
      <c r="G52" s="27" t="s">
        <v>40</v>
      </c>
      <c r="H52" s="26">
        <f>VLOOKUP(G52,data!$A:$B,2,0)</f>
        <v>36403.06</v>
      </c>
      <c r="I52" s="29">
        <f t="shared" ref="I52:I58" si="5">SUM(H52,F52,D52)</f>
        <v>42131.049999999996</v>
      </c>
    </row>
    <row r="53" spans="1:11">
      <c r="A53" s="69"/>
      <c r="B53" s="34" t="s">
        <v>2257</v>
      </c>
      <c r="C53" s="11" t="s">
        <v>2356</v>
      </c>
      <c r="D53" s="26">
        <f>VLOOKUP(C53,data!$A:$B,2,0)</f>
        <v>617.79</v>
      </c>
      <c r="E53" s="11" t="s">
        <v>2357</v>
      </c>
      <c r="F53" s="26">
        <f>VLOOKUP(E53,data!$A:$B,2,0)</f>
        <v>5799.72</v>
      </c>
      <c r="G53" s="27" t="s">
        <v>44</v>
      </c>
      <c r="H53" s="26">
        <f>VLOOKUP(G53,data!$A:$B,2,0)</f>
        <v>35713.550000000003</v>
      </c>
      <c r="I53" s="29">
        <f t="shared" si="5"/>
        <v>42131.060000000005</v>
      </c>
    </row>
    <row r="54" spans="1:11">
      <c r="A54" s="69"/>
      <c r="B54" s="34" t="s">
        <v>2259</v>
      </c>
      <c r="C54" s="11" t="s">
        <v>2358</v>
      </c>
      <c r="D54" s="26">
        <f>VLOOKUP(C54,data!$A:$B,2,0)</f>
        <v>592.80999999999995</v>
      </c>
      <c r="E54" s="11" t="s">
        <v>2359</v>
      </c>
      <c r="F54" s="26">
        <f>VLOOKUP(E54,data!$A:$B,2,0)</f>
        <v>5417.27</v>
      </c>
      <c r="G54" s="27" t="s">
        <v>2426</v>
      </c>
      <c r="H54" s="26">
        <f>VLOOKUP(G54,data!$A:$B,2,0)</f>
        <v>36121.120000000003</v>
      </c>
      <c r="I54" s="29">
        <f t="shared" si="5"/>
        <v>42131.199999999997</v>
      </c>
    </row>
    <row r="55" spans="1:11">
      <c r="A55" s="69"/>
      <c r="B55" s="34" t="s">
        <v>2261</v>
      </c>
      <c r="C55" s="11" t="s">
        <v>2360</v>
      </c>
      <c r="D55" s="26">
        <f>VLOOKUP(C55,data!$A:$B,2,0)</f>
        <v>592.80999999999995</v>
      </c>
      <c r="E55" s="11" t="s">
        <v>2361</v>
      </c>
      <c r="F55" s="26">
        <f>VLOOKUP(E55,data!$A:$B,2,0)</f>
        <v>11936.24</v>
      </c>
      <c r="G55" s="27" t="s">
        <v>2427</v>
      </c>
      <c r="H55" s="26">
        <f>VLOOKUP(G55,data!$A:$B,2,0)</f>
        <v>29601.88</v>
      </c>
      <c r="I55" s="29">
        <f t="shared" si="5"/>
        <v>42130.93</v>
      </c>
      <c r="J55">
        <f>I55-42131</f>
        <v>-6.9999999999708962E-2</v>
      </c>
      <c r="K55">
        <f>H55-J55</f>
        <v>29601.95</v>
      </c>
    </row>
    <row r="56" spans="1:11">
      <c r="A56" s="69"/>
      <c r="B56" s="11" t="s">
        <v>2263</v>
      </c>
      <c r="C56" s="11" t="s">
        <v>2362</v>
      </c>
      <c r="D56" s="26">
        <f>VLOOKUP(C56,data!$A:$B,2,0)</f>
        <v>617.79</v>
      </c>
      <c r="E56" s="11" t="s">
        <v>2363</v>
      </c>
      <c r="F56" s="26">
        <f>VLOOKUP(E56,data!$A:$B,2,0)</f>
        <v>6197.77</v>
      </c>
      <c r="G56" s="27" t="s">
        <v>24</v>
      </c>
      <c r="H56" s="26">
        <f>VLOOKUP(G56,data!$A:$B,2,0)</f>
        <v>35315.49</v>
      </c>
      <c r="I56" s="29">
        <f t="shared" si="5"/>
        <v>42131.049999999996</v>
      </c>
    </row>
    <row r="57" spans="1:11">
      <c r="A57" s="69"/>
      <c r="B57" s="11" t="s">
        <v>2265</v>
      </c>
      <c r="C57" s="11" t="s">
        <v>2364</v>
      </c>
      <c r="D57" s="26">
        <f>VLOOKUP(C57,data!$A:$B,2,0)</f>
        <v>592.80999999999995</v>
      </c>
      <c r="E57" s="11" t="s">
        <v>2365</v>
      </c>
      <c r="F57" s="26">
        <f>VLOOKUP(E57,data!$A:$B,2,0)</f>
        <v>5894.62</v>
      </c>
      <c r="G57" s="27" t="s">
        <v>28</v>
      </c>
      <c r="H57" s="26">
        <f>VLOOKUP(G57,data!$A:$B,2,0)</f>
        <v>35643.78</v>
      </c>
      <c r="I57" s="29">
        <f t="shared" si="5"/>
        <v>42131.21</v>
      </c>
    </row>
    <row r="58" spans="1:11" ht="15.75" thickBot="1">
      <c r="A58" s="70"/>
      <c r="B58" s="12" t="s">
        <v>2267</v>
      </c>
      <c r="C58" s="12" t="s">
        <v>2366</v>
      </c>
      <c r="D58" s="30">
        <f>VLOOKUP(C58,data!$A:$B,2,0)</f>
        <v>642.78</v>
      </c>
      <c r="E58" s="12" t="s">
        <v>2367</v>
      </c>
      <c r="F58" s="30">
        <f>VLOOKUP(E58,data!$A:$B,2,0)</f>
        <v>11920.14</v>
      </c>
      <c r="G58" s="31" t="s">
        <v>32</v>
      </c>
      <c r="H58" s="30">
        <f>VLOOKUP(G58,data!$A:$B,2,0)</f>
        <v>29568.3</v>
      </c>
      <c r="I58" s="32">
        <f t="shared" si="5"/>
        <v>42131.22</v>
      </c>
    </row>
    <row r="59" spans="1:11">
      <c r="A59" s="68" t="s">
        <v>17</v>
      </c>
      <c r="B59" s="33" t="s">
        <v>2253</v>
      </c>
      <c r="C59" s="10" t="s">
        <v>2368</v>
      </c>
      <c r="D59" s="24">
        <f>VLOOKUP(C59,data!$A:$B,2,0)</f>
        <v>642.72</v>
      </c>
      <c r="E59" s="10" t="s">
        <v>2369</v>
      </c>
      <c r="F59" s="24">
        <f>VLOOKUP(E59,data!$A:$B,2,0)</f>
        <v>5158.54</v>
      </c>
      <c r="G59" s="25" t="s">
        <v>37</v>
      </c>
      <c r="H59" s="24">
        <f>VLOOKUP(G59,data!$A:$B,2,0)</f>
        <v>36329.89</v>
      </c>
      <c r="I59" s="28">
        <f>SUM(H59,F59,D59)</f>
        <v>42131.15</v>
      </c>
    </row>
    <row r="60" spans="1:11">
      <c r="A60" s="69"/>
      <c r="B60" s="34" t="s">
        <v>2255</v>
      </c>
      <c r="C60" s="11" t="s">
        <v>2370</v>
      </c>
      <c r="D60" s="26">
        <f>VLOOKUP(C60,data!$A:$B,2,0)</f>
        <v>642.78</v>
      </c>
      <c r="E60" s="11" t="s">
        <v>2371</v>
      </c>
      <c r="F60" s="26">
        <f>VLOOKUP(E60,data!$A:$B,2,0)</f>
        <v>4629.53</v>
      </c>
      <c r="G60" s="27" t="s">
        <v>41</v>
      </c>
      <c r="H60" s="26">
        <f>VLOOKUP(G60,data!$A:$B,2,0)</f>
        <v>36858.85</v>
      </c>
      <c r="I60" s="29">
        <f t="shared" ref="I60:I66" si="6">SUM(H60,F60,D60)</f>
        <v>42131.159999999996</v>
      </c>
    </row>
    <row r="61" spans="1:11">
      <c r="A61" s="69"/>
      <c r="B61" s="34" t="s">
        <v>2257</v>
      </c>
      <c r="C61" s="11" t="s">
        <v>2372</v>
      </c>
      <c r="D61" s="26">
        <f>VLOOKUP(C61,data!$A:$B,2,0)</f>
        <v>617.79</v>
      </c>
      <c r="E61" s="11" t="s">
        <v>2373</v>
      </c>
      <c r="F61" s="26">
        <f>VLOOKUP(E61,data!$A:$B,2,0)</f>
        <v>4437.7700000000004</v>
      </c>
      <c r="G61" s="27" t="s">
        <v>45</v>
      </c>
      <c r="H61" s="26">
        <f>VLOOKUP(G61,data!$A:$B,2,0)</f>
        <v>37075.660000000003</v>
      </c>
      <c r="I61" s="29">
        <f t="shared" si="6"/>
        <v>42131.220000000008</v>
      </c>
    </row>
    <row r="62" spans="1:11">
      <c r="A62" s="69"/>
      <c r="B62" s="34" t="s">
        <v>2259</v>
      </c>
      <c r="C62" s="11" t="s">
        <v>2374</v>
      </c>
      <c r="D62" s="26">
        <f>VLOOKUP(C62,data!$A:$B,2,0)</f>
        <v>592.80999999999995</v>
      </c>
      <c r="E62" s="11" t="s">
        <v>2375</v>
      </c>
      <c r="F62" s="26">
        <f>VLOOKUP(E62,data!$A:$B,2,0)</f>
        <v>4750.72</v>
      </c>
      <c r="G62" s="27" t="s">
        <v>2428</v>
      </c>
      <c r="H62" s="26">
        <f>VLOOKUP(G62,data!$A:$B,2,0)</f>
        <v>36787.279999999999</v>
      </c>
      <c r="I62" s="29">
        <f t="shared" si="6"/>
        <v>42130.81</v>
      </c>
    </row>
    <row r="63" spans="1:11">
      <c r="A63" s="69"/>
      <c r="B63" s="34" t="s">
        <v>2261</v>
      </c>
      <c r="C63" s="11" t="s">
        <v>2376</v>
      </c>
      <c r="D63" s="26">
        <f>VLOOKUP(C63,data!$A:$B,2,0)</f>
        <v>592.80999999999995</v>
      </c>
      <c r="E63" s="11" t="s">
        <v>2377</v>
      </c>
      <c r="F63" s="26">
        <f>VLOOKUP(E63,data!$A:$B,2,0)</f>
        <v>11936.18</v>
      </c>
      <c r="G63" s="27" t="s">
        <v>2429</v>
      </c>
      <c r="H63" s="26">
        <f>VLOOKUP(G63,data!$A:$B,2,0)</f>
        <v>29602.04</v>
      </c>
      <c r="I63" s="29">
        <f t="shared" si="6"/>
        <v>42131.03</v>
      </c>
      <c r="J63">
        <f>I63-42131</f>
        <v>2.9999999998835847E-2</v>
      </c>
      <c r="K63">
        <f>H63-J63</f>
        <v>29602.010000000002</v>
      </c>
    </row>
    <row r="64" spans="1:11">
      <c r="A64" s="69"/>
      <c r="B64" s="11" t="s">
        <v>2263</v>
      </c>
      <c r="C64" s="11" t="s">
        <v>2378</v>
      </c>
      <c r="D64" s="26">
        <f>VLOOKUP(C64,data!$A:$B,2,0)</f>
        <v>617.79</v>
      </c>
      <c r="E64" s="11" t="s">
        <v>2379</v>
      </c>
      <c r="F64" s="26">
        <f>VLOOKUP(E64,data!$A:$B,2,0)</f>
        <v>11123.97</v>
      </c>
      <c r="G64" s="27" t="s">
        <v>25</v>
      </c>
      <c r="H64" s="26">
        <f>VLOOKUP(G64,data!$A:$B,2,0)</f>
        <v>30389.279999999999</v>
      </c>
      <c r="I64" s="29">
        <f t="shared" si="6"/>
        <v>42131.040000000001</v>
      </c>
    </row>
    <row r="65" spans="1:11">
      <c r="A65" s="69"/>
      <c r="B65" s="11" t="s">
        <v>2265</v>
      </c>
      <c r="C65" s="11" t="s">
        <v>2380</v>
      </c>
      <c r="D65" s="26">
        <f>VLOOKUP(C65,data!$A:$B,2,0)</f>
        <v>592.80999999999995</v>
      </c>
      <c r="E65" s="11" t="s">
        <v>2381</v>
      </c>
      <c r="F65" s="26">
        <f>VLOOKUP(E65,data!$A:$B,2,0)</f>
        <v>12251.95</v>
      </c>
      <c r="G65" s="27" t="s">
        <v>29</v>
      </c>
      <c r="H65" s="26">
        <f>VLOOKUP(G65,data!$A:$B,2,0)</f>
        <v>29286.34</v>
      </c>
      <c r="I65" s="29">
        <f t="shared" si="6"/>
        <v>42131.1</v>
      </c>
    </row>
    <row r="66" spans="1:11" ht="15.75" thickBot="1">
      <c r="A66" s="70"/>
      <c r="B66" s="12" t="s">
        <v>2267</v>
      </c>
      <c r="C66" s="12" t="s">
        <v>2382</v>
      </c>
      <c r="D66" s="30">
        <f>VLOOKUP(C66,data!$A:$B,2,0)</f>
        <v>642.78</v>
      </c>
      <c r="E66" s="12" t="s">
        <v>2383</v>
      </c>
      <c r="F66" s="30">
        <f>VLOOKUP(E66,data!$A:$B,2,0)</f>
        <v>13095.04</v>
      </c>
      <c r="G66" s="31" t="s">
        <v>33</v>
      </c>
      <c r="H66" s="30">
        <f>VLOOKUP(G66,data!$A:$B,2,0)</f>
        <v>28393.4</v>
      </c>
      <c r="I66" s="32">
        <f t="shared" si="6"/>
        <v>42131.22</v>
      </c>
    </row>
    <row r="67" spans="1:11">
      <c r="A67" s="68" t="s">
        <v>18</v>
      </c>
      <c r="B67" s="33" t="s">
        <v>2253</v>
      </c>
      <c r="C67" s="10" t="s">
        <v>2384</v>
      </c>
      <c r="D67" s="24">
        <f>VLOOKUP(C67,data!$A:$B,2,0)</f>
        <v>642.72</v>
      </c>
      <c r="E67" s="10" t="s">
        <v>2385</v>
      </c>
      <c r="F67" s="24">
        <f>VLOOKUP(E67,data!$A:$B,2,0)</f>
        <v>10586.42</v>
      </c>
      <c r="G67" s="25" t="s">
        <v>38</v>
      </c>
      <c r="H67" s="24">
        <f>VLOOKUP(G67,data!$A:$B,2,0)</f>
        <v>30901.88</v>
      </c>
      <c r="I67" s="28">
        <f>SUM(H67,F67,D67)</f>
        <v>42131.020000000004</v>
      </c>
    </row>
    <row r="68" spans="1:11">
      <c r="A68" s="69"/>
      <c r="B68" s="34" t="s">
        <v>2255</v>
      </c>
      <c r="C68" s="11" t="s">
        <v>2386</v>
      </c>
      <c r="D68" s="26">
        <f>VLOOKUP(C68,data!$A:$B,2,0)</f>
        <v>642.78</v>
      </c>
      <c r="E68" s="11" t="s">
        <v>2387</v>
      </c>
      <c r="F68" s="26">
        <f>VLOOKUP(E68,data!$A:$B,2,0)</f>
        <v>10412.92</v>
      </c>
      <c r="G68" s="27" t="s">
        <v>42</v>
      </c>
      <c r="H68" s="26">
        <f>VLOOKUP(G68,data!$A:$B,2,0)</f>
        <v>31075.77</v>
      </c>
      <c r="I68" s="29">
        <f t="shared" ref="I68:I74" si="7">SUM(H68,F68,D68)</f>
        <v>42131.47</v>
      </c>
    </row>
    <row r="69" spans="1:11">
      <c r="A69" s="69"/>
      <c r="B69" s="34" t="s">
        <v>2257</v>
      </c>
      <c r="C69" s="11" t="s">
        <v>2388</v>
      </c>
      <c r="D69" s="26">
        <f>VLOOKUP(C69,data!$A:$B,2,0)</f>
        <v>617.79</v>
      </c>
      <c r="E69" s="11" t="s">
        <v>2389</v>
      </c>
      <c r="F69" s="26">
        <f>VLOOKUP(E69,data!$A:$B,2,0)</f>
        <v>6967.99</v>
      </c>
      <c r="G69" s="27" t="s">
        <v>46</v>
      </c>
      <c r="H69" s="26">
        <f>VLOOKUP(G69,data!$A:$B,2,0)</f>
        <v>34545.46</v>
      </c>
      <c r="I69" s="29">
        <f t="shared" si="7"/>
        <v>42131.24</v>
      </c>
    </row>
    <row r="70" spans="1:11">
      <c r="A70" s="69"/>
      <c r="B70" s="34" t="s">
        <v>2259</v>
      </c>
      <c r="C70" s="11" t="s">
        <v>2390</v>
      </c>
      <c r="D70" s="26">
        <f>VLOOKUP(C70,data!$A:$B,2,0)</f>
        <v>592.80999999999995</v>
      </c>
      <c r="E70" s="11" t="s">
        <v>2391</v>
      </c>
      <c r="F70" s="26">
        <f>VLOOKUP(E70,data!$A:$B,2,0)</f>
        <v>8606.9699999999993</v>
      </c>
      <c r="G70" s="27" t="s">
        <v>2430</v>
      </c>
      <c r="H70" s="26">
        <f>VLOOKUP(G70,data!$A:$B,2,0)</f>
        <v>32931.26</v>
      </c>
      <c r="I70" s="29">
        <f t="shared" si="7"/>
        <v>42131.040000000001</v>
      </c>
    </row>
    <row r="71" spans="1:11">
      <c r="A71" s="69"/>
      <c r="B71" s="34" t="s">
        <v>2261</v>
      </c>
      <c r="C71" s="11" t="s">
        <v>2392</v>
      </c>
      <c r="D71" s="26">
        <f>VLOOKUP(C71,data!$A:$B,2,0)</f>
        <v>592.80999999999995</v>
      </c>
      <c r="E71" s="11" t="s">
        <v>2393</v>
      </c>
      <c r="F71" s="26">
        <f>VLOOKUP(E71,data!$A:$B,2,0)</f>
        <v>11936.2</v>
      </c>
      <c r="G71" s="27" t="s">
        <v>2431</v>
      </c>
      <c r="H71" s="26">
        <f>VLOOKUP(G71,data!$A:$B,2,0)</f>
        <v>29601.91</v>
      </c>
      <c r="I71" s="29">
        <f t="shared" si="7"/>
        <v>42130.92</v>
      </c>
      <c r="J71">
        <f>I71-42131</f>
        <v>-8.000000000174623E-2</v>
      </c>
      <c r="K71">
        <f>H71-J71</f>
        <v>29601.99</v>
      </c>
    </row>
    <row r="72" spans="1:11">
      <c r="A72" s="69"/>
      <c r="B72" s="11" t="s">
        <v>2263</v>
      </c>
      <c r="C72" s="11" t="s">
        <v>2394</v>
      </c>
      <c r="D72" s="26">
        <f>VLOOKUP(C72,data!$A:$B,2,0)</f>
        <v>617.79</v>
      </c>
      <c r="E72" s="11" t="s">
        <v>2395</v>
      </c>
      <c r="F72" s="26">
        <f>VLOOKUP(E72,data!$A:$B,2,0)</f>
        <v>10275.280000000001</v>
      </c>
      <c r="G72" s="27" t="s">
        <v>26</v>
      </c>
      <c r="H72" s="26">
        <f>VLOOKUP(G72,data!$A:$B,2,0)</f>
        <v>31238.080000000002</v>
      </c>
      <c r="I72" s="29">
        <f t="shared" si="7"/>
        <v>42131.15</v>
      </c>
    </row>
    <row r="73" spans="1:11">
      <c r="A73" s="69"/>
      <c r="B73" s="11" t="s">
        <v>2265</v>
      </c>
      <c r="C73" s="11" t="s">
        <v>2396</v>
      </c>
      <c r="D73" s="26">
        <f>VLOOKUP(C73,data!$A:$B,2,0)</f>
        <v>592.80999999999995</v>
      </c>
      <c r="E73" s="11" t="s">
        <v>2397</v>
      </c>
      <c r="F73" s="26">
        <f>VLOOKUP(E73,data!$A:$B,2,0)</f>
        <v>8480.76</v>
      </c>
      <c r="G73" s="27" t="s">
        <v>30</v>
      </c>
      <c r="H73" s="26">
        <f>VLOOKUP(G73,data!$A:$B,2,0)</f>
        <v>33057.480000000003</v>
      </c>
      <c r="I73" s="29">
        <f t="shared" si="7"/>
        <v>42131.05</v>
      </c>
    </row>
    <row r="74" spans="1:11" ht="15.75" thickBot="1">
      <c r="A74" s="70"/>
      <c r="B74" s="12" t="s">
        <v>2267</v>
      </c>
      <c r="C74" s="12" t="s">
        <v>2398</v>
      </c>
      <c r="D74" s="30">
        <f>VLOOKUP(C74,data!$A:$B,2,0)</f>
        <v>642.78</v>
      </c>
      <c r="E74" s="12" t="s">
        <v>2399</v>
      </c>
      <c r="F74" s="30">
        <f>VLOOKUP(E74,data!$A:$B,2,0)</f>
        <v>10292.56</v>
      </c>
      <c r="G74" s="31" t="s">
        <v>34</v>
      </c>
      <c r="H74" s="30">
        <f>VLOOKUP(G74,data!$A:$B,2,0)</f>
        <v>31195.81</v>
      </c>
      <c r="I74" s="32">
        <f t="shared" si="7"/>
        <v>42131.15</v>
      </c>
    </row>
    <row r="75" spans="1:11">
      <c r="A75" s="15"/>
      <c r="B75" s="5"/>
      <c r="C75" s="19" t="s">
        <v>19</v>
      </c>
      <c r="D75" s="17">
        <f>MAX($D$11:$D$74)</f>
        <v>642.78</v>
      </c>
      <c r="E75" s="19" t="s">
        <v>19</v>
      </c>
      <c r="F75" s="17">
        <f>MAX($F$11:$F$74)</f>
        <v>13779.8</v>
      </c>
      <c r="G75" s="15" t="s">
        <v>19</v>
      </c>
      <c r="H75" s="17">
        <f>MAX($H$11:$H$74)</f>
        <v>39927.83</v>
      </c>
      <c r="I75" s="15" t="s">
        <v>19</v>
      </c>
      <c r="J75" s="15">
        <f>MAX($I$11:$I$74)</f>
        <v>42131.47</v>
      </c>
      <c r="K75" s="15"/>
    </row>
    <row r="76" spans="1:11">
      <c r="A76" s="15"/>
      <c r="B76" s="14"/>
      <c r="C76" s="19" t="s">
        <v>20</v>
      </c>
      <c r="D76" s="17">
        <f>MIN($D$11:$D$74)</f>
        <v>592.80999999999995</v>
      </c>
      <c r="E76" s="19" t="s">
        <v>20</v>
      </c>
      <c r="F76" s="17">
        <f>MIN($F$11:$F$74)</f>
        <v>1585.59</v>
      </c>
      <c r="G76" s="15" t="s">
        <v>20</v>
      </c>
      <c r="H76" s="17">
        <f>MIN($H$11:$H$74)</f>
        <v>27733.51</v>
      </c>
      <c r="I76" s="15" t="s">
        <v>20</v>
      </c>
      <c r="J76" s="15">
        <f>MIN($I$11:$I$74)</f>
        <v>42130.689999999995</v>
      </c>
      <c r="K76" s="15"/>
    </row>
    <row r="77" spans="1:11">
      <c r="A77" s="15"/>
      <c r="B77" s="14"/>
      <c r="C77" s="19" t="s">
        <v>21</v>
      </c>
      <c r="D77" s="17">
        <f>D75-D76</f>
        <v>49.970000000000027</v>
      </c>
      <c r="E77" s="19" t="s">
        <v>21</v>
      </c>
      <c r="F77" s="17">
        <f>F75-F76</f>
        <v>12194.21</v>
      </c>
      <c r="G77" s="15" t="s">
        <v>21</v>
      </c>
      <c r="H77" s="17">
        <f>H75-H76</f>
        <v>12194.320000000003</v>
      </c>
      <c r="I77" s="15" t="s">
        <v>21</v>
      </c>
      <c r="J77" s="15">
        <f>J75-J76</f>
        <v>0.7800000000061118</v>
      </c>
      <c r="K77" s="15"/>
    </row>
    <row r="78" spans="1:11">
      <c r="A78" s="15"/>
      <c r="B78" s="14"/>
      <c r="C78" s="19" t="s">
        <v>22</v>
      </c>
      <c r="D78" s="17"/>
      <c r="E78" s="19" t="s">
        <v>22</v>
      </c>
      <c r="F78" s="17"/>
      <c r="G78" s="15" t="s">
        <v>22</v>
      </c>
      <c r="H78" s="17"/>
      <c r="I78" s="15" t="s">
        <v>22</v>
      </c>
      <c r="J78" s="15">
        <v>1</v>
      </c>
      <c r="K78" s="15"/>
    </row>
    <row r="79" spans="1:11">
      <c r="A79" s="15"/>
      <c r="B79" s="14"/>
      <c r="C79" s="19"/>
      <c r="D79" s="17" t="str">
        <f>IF(D78="","None",IF(D77&lt;=D78,"PASS","FAIL"))</f>
        <v>None</v>
      </c>
      <c r="E79" s="19"/>
      <c r="F79" s="17" t="str">
        <f>IF(F78="","None",IF(F77&lt;=F78,"PASS","FAIL"))</f>
        <v>None</v>
      </c>
      <c r="G79" s="15"/>
      <c r="H79" s="17" t="str">
        <f>IF(H78="","None",IF(H77&lt;=H78,"PASS","FAIL"))</f>
        <v>None</v>
      </c>
      <c r="I79" s="15"/>
      <c r="J79" s="17" t="str">
        <f>IF(J78="","None",IF(J77&lt;=J78,"PASS","FAIL"))</f>
        <v>PASS</v>
      </c>
      <c r="K79" s="15"/>
    </row>
    <row r="80" spans="1:11">
      <c r="J80" s="15"/>
      <c r="K80" s="15"/>
    </row>
    <row r="81" spans="2:11">
      <c r="C81" s="71" t="s">
        <v>4307</v>
      </c>
      <c r="D81" s="71"/>
      <c r="E81" s="71"/>
      <c r="F81" s="71"/>
      <c r="G81" s="71"/>
      <c r="H81" s="71"/>
      <c r="J81" s="63" t="s">
        <v>4314</v>
      </c>
      <c r="K81" s="15"/>
    </row>
    <row r="82" spans="2:11">
      <c r="B82" s="64">
        <v>1</v>
      </c>
      <c r="C82" s="71" t="s">
        <v>4308</v>
      </c>
      <c r="D82" s="71"/>
      <c r="E82" s="71"/>
      <c r="F82" s="64"/>
      <c r="G82" s="64" t="s">
        <v>4309</v>
      </c>
      <c r="H82" s="64"/>
      <c r="I82" s="64"/>
      <c r="J82" s="63"/>
      <c r="K82" s="63"/>
    </row>
    <row r="83" spans="2:11">
      <c r="B83" s="64"/>
      <c r="C83" s="64"/>
      <c r="D83" s="64"/>
      <c r="E83" s="64"/>
      <c r="F83" s="64"/>
      <c r="G83" s="64"/>
      <c r="H83" s="64"/>
      <c r="I83" s="64"/>
      <c r="J83" s="63"/>
      <c r="K83" s="63"/>
    </row>
    <row r="84" spans="2:11">
      <c r="B84" s="64"/>
      <c r="C84" s="64"/>
      <c r="D84" s="64"/>
      <c r="E84" s="64"/>
      <c r="F84" s="64"/>
      <c r="G84" s="64"/>
      <c r="H84" s="64"/>
      <c r="I84" s="64"/>
      <c r="J84" s="64"/>
      <c r="K84" s="64"/>
    </row>
    <row r="85" spans="2:11">
      <c r="B85" s="64"/>
      <c r="C85" s="64"/>
      <c r="D85" s="64"/>
      <c r="E85" s="64"/>
      <c r="F85" s="64"/>
      <c r="G85" s="64"/>
      <c r="H85" s="64"/>
      <c r="I85" s="64"/>
      <c r="J85" s="64"/>
      <c r="K85" s="64"/>
    </row>
    <row r="86" spans="2:11">
      <c r="B86" s="64"/>
      <c r="C86" s="64"/>
      <c r="D86" s="64"/>
      <c r="E86" s="64"/>
      <c r="F86" s="64"/>
      <c r="G86" s="64"/>
      <c r="H86" s="64"/>
      <c r="I86" s="64"/>
      <c r="J86" s="64"/>
      <c r="K86" s="64"/>
    </row>
    <row r="87" spans="2:11">
      <c r="B87" s="64"/>
      <c r="C87" s="64"/>
      <c r="D87" s="64"/>
      <c r="E87" s="64"/>
      <c r="F87" s="64"/>
      <c r="G87" s="64"/>
      <c r="H87" s="64"/>
      <c r="I87" s="64"/>
      <c r="J87" s="64"/>
      <c r="K87" s="64"/>
    </row>
    <row r="88" spans="2:11">
      <c r="B88" s="64">
        <v>2</v>
      </c>
      <c r="C88" s="65" t="s">
        <v>4310</v>
      </c>
      <c r="D88" s="64"/>
      <c r="E88" s="64"/>
      <c r="F88" s="64"/>
      <c r="G88" s="64"/>
      <c r="H88" s="64"/>
      <c r="I88" s="64"/>
      <c r="J88" s="64"/>
      <c r="K88" s="64"/>
    </row>
    <row r="89" spans="2:11">
      <c r="B89" s="64"/>
      <c r="C89" s="64"/>
      <c r="D89" s="64"/>
      <c r="E89" s="64"/>
      <c r="F89" s="64"/>
      <c r="G89" s="64" t="s">
        <v>4311</v>
      </c>
      <c r="H89" s="64"/>
      <c r="I89" s="64"/>
      <c r="J89" s="64"/>
      <c r="K89" s="64"/>
    </row>
    <row r="90" spans="2:11">
      <c r="B90" s="64"/>
      <c r="C90" s="64"/>
      <c r="D90" s="64"/>
      <c r="E90" s="64"/>
      <c r="F90" s="64"/>
      <c r="G90" s="64"/>
      <c r="H90" s="64"/>
      <c r="I90" s="64"/>
      <c r="J90" s="64"/>
      <c r="K90" s="64"/>
    </row>
    <row r="91" spans="2:11">
      <c r="B91" s="64"/>
      <c r="C91" s="64"/>
      <c r="D91" s="64"/>
      <c r="E91" s="64"/>
      <c r="F91" s="64"/>
      <c r="G91" s="64"/>
      <c r="H91" s="64"/>
      <c r="I91" s="64"/>
      <c r="J91" s="64"/>
      <c r="K91" s="64"/>
    </row>
    <row r="92" spans="2:11">
      <c r="B92">
        <v>3</v>
      </c>
      <c r="C92" s="64" t="s">
        <v>4312</v>
      </c>
    </row>
  </sheetData>
  <mergeCells count="10">
    <mergeCell ref="C81:H81"/>
    <mergeCell ref="C82:E82"/>
    <mergeCell ref="A51:A58"/>
    <mergeCell ref="A59:A66"/>
    <mergeCell ref="A67:A74"/>
    <mergeCell ref="A11:A18"/>
    <mergeCell ref="A19:A26"/>
    <mergeCell ref="A27:A34"/>
    <mergeCell ref="A35:A42"/>
    <mergeCell ref="A43:A50"/>
  </mergeCells>
  <phoneticPr fontId="7" type="noConversion"/>
  <conditionalFormatting sqref="A9 A10:B10 A11">
    <cfRule type="containsText" dxfId="1303" priority="5471" operator="containsText" text="PASS">
      <formula>NOT(ISERROR(SEARCH("PASS",A9)))</formula>
    </cfRule>
    <cfRule type="containsText" dxfId="1302" priority="5472" operator="containsText" text="FAIL">
      <formula>NOT(ISERROR(SEARCH("FAIL",A9)))</formula>
    </cfRule>
  </conditionalFormatting>
  <conditionalFormatting sqref="C9:D9 C10 D11">
    <cfRule type="containsText" dxfId="1301" priority="5469" operator="containsText" text="PASS">
      <formula>NOT(ISERROR(SEARCH("PASS",C9)))</formula>
    </cfRule>
    <cfRule type="containsText" dxfId="1300" priority="5470" operator="containsText" text="FAIL">
      <formula>NOT(ISERROR(SEARCH("FAIL",C9)))</formula>
    </cfRule>
  </conditionalFormatting>
  <conditionalFormatting sqref="D10">
    <cfRule type="containsText" dxfId="1299" priority="5467" operator="containsText" text="PASS">
      <formula>NOT(ISERROR(SEARCH("PASS",D10)))</formula>
    </cfRule>
    <cfRule type="containsText" dxfId="1298" priority="5468" operator="containsText" text="FAIL">
      <formula>NOT(ISERROR(SEARCH("FAIL",D10)))</formula>
    </cfRule>
  </conditionalFormatting>
  <conditionalFormatting sqref="E9:F9 E10">
    <cfRule type="containsText" dxfId="1297" priority="5465" operator="containsText" text="PASS">
      <formula>NOT(ISERROR(SEARCH("PASS",E9)))</formula>
    </cfRule>
    <cfRule type="containsText" dxfId="1296" priority="5466" operator="containsText" text="FAIL">
      <formula>NOT(ISERROR(SEARCH("FAIL",E9)))</formula>
    </cfRule>
  </conditionalFormatting>
  <conditionalFormatting sqref="A9:F9 A11:B11 D11 A10:E10">
    <cfRule type="cellIs" dxfId="1295" priority="5462" operator="equal">
      <formula>"None"</formula>
    </cfRule>
  </conditionalFormatting>
  <conditionalFormatting sqref="I9">
    <cfRule type="containsText" dxfId="1294" priority="5457" operator="containsText" text="PASS">
      <formula>NOT(ISERROR(SEARCH("PASS",I9)))</formula>
    </cfRule>
    <cfRule type="containsText" dxfId="1293" priority="5458" operator="containsText" text="FAIL">
      <formula>NOT(ISERROR(SEARCH("FAIL",I9)))</formula>
    </cfRule>
  </conditionalFormatting>
  <conditionalFormatting sqref="I9">
    <cfRule type="cellIs" dxfId="1292" priority="5454" operator="equal">
      <formula>"None"</formula>
    </cfRule>
  </conditionalFormatting>
  <conditionalFormatting sqref="D11:D18">
    <cfRule type="containsText" dxfId="1291" priority="5116" operator="containsText" text="PASS">
      <formula>NOT(ISERROR(SEARCH("PASS",D11)))</formula>
    </cfRule>
    <cfRule type="containsText" dxfId="1290" priority="5117" operator="containsText" text="FAIL">
      <formula>NOT(ISERROR(SEARCH("FAIL",D11)))</formula>
    </cfRule>
  </conditionalFormatting>
  <conditionalFormatting sqref="G9:H9">
    <cfRule type="containsText" dxfId="1289" priority="5179" operator="containsText" text="PASS">
      <formula>NOT(ISERROR(SEARCH("PASS",G9)))</formula>
    </cfRule>
    <cfRule type="containsText" dxfId="1288" priority="5180" operator="containsText" text="FAIL">
      <formula>NOT(ISERROR(SEARCH("FAIL",G9)))</formula>
    </cfRule>
  </conditionalFormatting>
  <conditionalFormatting sqref="G9:H9 G11">
    <cfRule type="cellIs" dxfId="1287" priority="5176" operator="equal">
      <formula>"None"</formula>
    </cfRule>
  </conditionalFormatting>
  <conditionalFormatting sqref="D14">
    <cfRule type="containsText" dxfId="1286" priority="4022" operator="containsText" text="PASS">
      <formula>NOT(ISERROR(SEARCH("PASS",D14)))</formula>
    </cfRule>
    <cfRule type="containsText" dxfId="1285" priority="4023" operator="containsText" text="FAIL">
      <formula>NOT(ISERROR(SEARCH("FAIL",D14)))</formula>
    </cfRule>
  </conditionalFormatting>
  <conditionalFormatting sqref="D11:D18">
    <cfRule type="cellIs" dxfId="1284" priority="5113" operator="equal">
      <formula>"None"</formula>
    </cfRule>
  </conditionalFormatting>
  <conditionalFormatting sqref="G12">
    <cfRule type="cellIs" dxfId="1283" priority="5110" operator="equal">
      <formula>"None"</formula>
    </cfRule>
  </conditionalFormatting>
  <conditionalFormatting sqref="G13">
    <cfRule type="cellIs" dxfId="1282" priority="4084" operator="equal">
      <formula>"None"</formula>
    </cfRule>
  </conditionalFormatting>
  <conditionalFormatting sqref="D15:D18">
    <cfRule type="cellIs" dxfId="1281" priority="4016" operator="equal">
      <formula>"None"</formula>
    </cfRule>
  </conditionalFormatting>
  <conditionalFormatting sqref="G15">
    <cfRule type="cellIs" dxfId="1280" priority="4013" operator="equal">
      <formula>"None"</formula>
    </cfRule>
  </conditionalFormatting>
  <conditionalFormatting sqref="D13">
    <cfRule type="containsText" dxfId="1279" priority="4025" operator="containsText" text="PASS">
      <formula>NOT(ISERROR(SEARCH("PASS",D13)))</formula>
    </cfRule>
    <cfRule type="containsText" dxfId="1278" priority="4026" operator="containsText" text="FAIL">
      <formula>NOT(ISERROR(SEARCH("FAIL",D13)))</formula>
    </cfRule>
  </conditionalFormatting>
  <conditionalFormatting sqref="D13">
    <cfRule type="cellIs" dxfId="1277" priority="4024" operator="equal">
      <formula>"None"</formula>
    </cfRule>
  </conditionalFormatting>
  <conditionalFormatting sqref="G17">
    <cfRule type="cellIs" dxfId="1276" priority="3938" operator="equal">
      <formula>"None"</formula>
    </cfRule>
  </conditionalFormatting>
  <conditionalFormatting sqref="G16">
    <cfRule type="cellIs" dxfId="1275" priority="3970" operator="equal">
      <formula>"None"</formula>
    </cfRule>
  </conditionalFormatting>
  <conditionalFormatting sqref="D14">
    <cfRule type="cellIs" dxfId="1274" priority="4021" operator="equal">
      <formula>"None"</formula>
    </cfRule>
  </conditionalFormatting>
  <conditionalFormatting sqref="D15:D18">
    <cfRule type="containsText" dxfId="1273" priority="4019" operator="containsText" text="PASS">
      <formula>NOT(ISERROR(SEARCH("PASS",D15)))</formula>
    </cfRule>
    <cfRule type="containsText" dxfId="1272" priority="4020" operator="containsText" text="FAIL">
      <formula>NOT(ISERROR(SEARCH("FAIL",D15)))</formula>
    </cfRule>
  </conditionalFormatting>
  <conditionalFormatting sqref="G13:G17">
    <cfRule type="cellIs" dxfId="1271" priority="4057" operator="equal">
      <formula>"None"</formula>
    </cfRule>
  </conditionalFormatting>
  <conditionalFormatting sqref="G18">
    <cfRule type="cellIs" dxfId="1270" priority="3906" operator="equal">
      <formula>"None"</formula>
    </cfRule>
  </conditionalFormatting>
  <conditionalFormatting sqref="F11">
    <cfRule type="containsText" dxfId="1269" priority="2734" operator="containsText" text="PASS">
      <formula>NOT(ISERROR(SEARCH("PASS",F11)))</formula>
    </cfRule>
    <cfRule type="containsText" dxfId="1268" priority="2735" operator="containsText" text="FAIL">
      <formula>NOT(ISERROR(SEARCH("FAIL",F11)))</formula>
    </cfRule>
  </conditionalFormatting>
  <conditionalFormatting sqref="F10">
    <cfRule type="containsText" dxfId="1267" priority="2732" operator="containsText" text="PASS">
      <formula>NOT(ISERROR(SEARCH("PASS",F10)))</formula>
    </cfRule>
    <cfRule type="containsText" dxfId="1266" priority="2733" operator="containsText" text="FAIL">
      <formula>NOT(ISERROR(SEARCH("FAIL",F10)))</formula>
    </cfRule>
  </conditionalFormatting>
  <conditionalFormatting sqref="F10:F11">
    <cfRule type="cellIs" dxfId="1265" priority="2731" operator="equal">
      <formula>"None"</formula>
    </cfRule>
  </conditionalFormatting>
  <conditionalFormatting sqref="F11:F18">
    <cfRule type="containsText" dxfId="1264" priority="2729" operator="containsText" text="PASS">
      <formula>NOT(ISERROR(SEARCH("PASS",F11)))</formula>
    </cfRule>
    <cfRule type="containsText" dxfId="1263" priority="2730" operator="containsText" text="FAIL">
      <formula>NOT(ISERROR(SEARCH("FAIL",F11)))</formula>
    </cfRule>
  </conditionalFormatting>
  <conditionalFormatting sqref="F14">
    <cfRule type="containsText" dxfId="1262" priority="2723" operator="containsText" text="PASS">
      <formula>NOT(ISERROR(SEARCH("PASS",F14)))</formula>
    </cfRule>
    <cfRule type="containsText" dxfId="1261" priority="2724" operator="containsText" text="FAIL">
      <formula>NOT(ISERROR(SEARCH("FAIL",F14)))</formula>
    </cfRule>
  </conditionalFormatting>
  <conditionalFormatting sqref="F11:F18">
    <cfRule type="cellIs" dxfId="1260" priority="2728" operator="equal">
      <formula>"None"</formula>
    </cfRule>
  </conditionalFormatting>
  <conditionalFormatting sqref="F15:F18">
    <cfRule type="cellIs" dxfId="1259" priority="2719" operator="equal">
      <formula>"None"</formula>
    </cfRule>
  </conditionalFormatting>
  <conditionalFormatting sqref="F13">
    <cfRule type="containsText" dxfId="1258" priority="2726" operator="containsText" text="PASS">
      <formula>NOT(ISERROR(SEARCH("PASS",F13)))</formula>
    </cfRule>
    <cfRule type="containsText" dxfId="1257" priority="2727" operator="containsText" text="FAIL">
      <formula>NOT(ISERROR(SEARCH("FAIL",F13)))</formula>
    </cfRule>
  </conditionalFormatting>
  <conditionalFormatting sqref="F13">
    <cfRule type="cellIs" dxfId="1256" priority="2725" operator="equal">
      <formula>"None"</formula>
    </cfRule>
  </conditionalFormatting>
  <conditionalFormatting sqref="F14">
    <cfRule type="cellIs" dxfId="1255" priority="2722" operator="equal">
      <formula>"None"</formula>
    </cfRule>
  </conditionalFormatting>
  <conditionalFormatting sqref="F15:F18">
    <cfRule type="containsText" dxfId="1254" priority="2720" operator="containsText" text="PASS">
      <formula>NOT(ISERROR(SEARCH("PASS",F15)))</formula>
    </cfRule>
    <cfRule type="containsText" dxfId="1253" priority="2721" operator="containsText" text="FAIL">
      <formula>NOT(ISERROR(SEARCH("FAIL",F15)))</formula>
    </cfRule>
  </conditionalFormatting>
  <conditionalFormatting sqref="E10">
    <cfRule type="containsText" dxfId="1252" priority="2717" operator="containsText" text="PASS">
      <formula>NOT(ISERROR(SEARCH("PASS",E10)))</formula>
    </cfRule>
    <cfRule type="containsText" dxfId="1251" priority="2718" operator="containsText" text="FAIL">
      <formula>NOT(ISERROR(SEARCH("FAIL",E10)))</formula>
    </cfRule>
  </conditionalFormatting>
  <conditionalFormatting sqref="G10">
    <cfRule type="containsText" dxfId="1250" priority="2715" operator="containsText" text="PASS">
      <formula>NOT(ISERROR(SEARCH("PASS",G10)))</formula>
    </cfRule>
    <cfRule type="containsText" dxfId="1249" priority="2716" operator="containsText" text="FAIL">
      <formula>NOT(ISERROR(SEARCH("FAIL",G10)))</formula>
    </cfRule>
  </conditionalFormatting>
  <conditionalFormatting sqref="G10">
    <cfRule type="cellIs" dxfId="1248" priority="2714" operator="equal">
      <formula>"None"</formula>
    </cfRule>
  </conditionalFormatting>
  <conditionalFormatting sqref="H11">
    <cfRule type="containsText" dxfId="1247" priority="2712" operator="containsText" text="PASS">
      <formula>NOT(ISERROR(SEARCH("PASS",H11)))</formula>
    </cfRule>
    <cfRule type="containsText" dxfId="1246" priority="2713" operator="containsText" text="FAIL">
      <formula>NOT(ISERROR(SEARCH("FAIL",H11)))</formula>
    </cfRule>
  </conditionalFormatting>
  <conditionalFormatting sqref="H10">
    <cfRule type="containsText" dxfId="1245" priority="2710" operator="containsText" text="PASS">
      <formula>NOT(ISERROR(SEARCH("PASS",H10)))</formula>
    </cfRule>
    <cfRule type="containsText" dxfId="1244" priority="2711" operator="containsText" text="FAIL">
      <formula>NOT(ISERROR(SEARCH("FAIL",H10)))</formula>
    </cfRule>
  </conditionalFormatting>
  <conditionalFormatting sqref="H10:H11">
    <cfRule type="cellIs" dxfId="1243" priority="2709" operator="equal">
      <formula>"None"</formula>
    </cfRule>
  </conditionalFormatting>
  <conditionalFormatting sqref="H11:H18">
    <cfRule type="containsText" dxfId="1242" priority="2707" operator="containsText" text="PASS">
      <formula>NOT(ISERROR(SEARCH("PASS",H11)))</formula>
    </cfRule>
    <cfRule type="containsText" dxfId="1241" priority="2708" operator="containsText" text="FAIL">
      <formula>NOT(ISERROR(SEARCH("FAIL",H11)))</formula>
    </cfRule>
  </conditionalFormatting>
  <conditionalFormatting sqref="H14">
    <cfRule type="containsText" dxfId="1240" priority="2701" operator="containsText" text="PASS">
      <formula>NOT(ISERROR(SEARCH("PASS",H14)))</formula>
    </cfRule>
    <cfRule type="containsText" dxfId="1239" priority="2702" operator="containsText" text="FAIL">
      <formula>NOT(ISERROR(SEARCH("FAIL",H14)))</formula>
    </cfRule>
  </conditionalFormatting>
  <conditionalFormatting sqref="H11:H18">
    <cfRule type="cellIs" dxfId="1238" priority="2706" operator="equal">
      <formula>"None"</formula>
    </cfRule>
  </conditionalFormatting>
  <conditionalFormatting sqref="H15:H18">
    <cfRule type="cellIs" dxfId="1237" priority="2697" operator="equal">
      <formula>"None"</formula>
    </cfRule>
  </conditionalFormatting>
  <conditionalFormatting sqref="H13">
    <cfRule type="containsText" dxfId="1236" priority="2704" operator="containsText" text="PASS">
      <formula>NOT(ISERROR(SEARCH("PASS",H13)))</formula>
    </cfRule>
    <cfRule type="containsText" dxfId="1235" priority="2705" operator="containsText" text="FAIL">
      <formula>NOT(ISERROR(SEARCH("FAIL",H13)))</formula>
    </cfRule>
  </conditionalFormatting>
  <conditionalFormatting sqref="H13">
    <cfRule type="cellIs" dxfId="1234" priority="2703" operator="equal">
      <formula>"None"</formula>
    </cfRule>
  </conditionalFormatting>
  <conditionalFormatting sqref="H14">
    <cfRule type="cellIs" dxfId="1233" priority="2700" operator="equal">
      <formula>"None"</formula>
    </cfRule>
  </conditionalFormatting>
  <conditionalFormatting sqref="H15:H18">
    <cfRule type="containsText" dxfId="1232" priority="2698" operator="containsText" text="PASS">
      <formula>NOT(ISERROR(SEARCH("PASS",H15)))</formula>
    </cfRule>
    <cfRule type="containsText" dxfId="1231" priority="2699" operator="containsText" text="FAIL">
      <formula>NOT(ISERROR(SEARCH("FAIL",H15)))</formula>
    </cfRule>
  </conditionalFormatting>
  <conditionalFormatting sqref="I10">
    <cfRule type="containsText" dxfId="1230" priority="2695" operator="containsText" text="PASS">
      <formula>NOT(ISERROR(SEARCH("PASS",I10)))</formula>
    </cfRule>
    <cfRule type="containsText" dxfId="1229" priority="2696" operator="containsText" text="FAIL">
      <formula>NOT(ISERROR(SEARCH("FAIL",I10)))</formula>
    </cfRule>
  </conditionalFormatting>
  <conditionalFormatting sqref="I10">
    <cfRule type="cellIs" dxfId="1228" priority="2694" operator="equal">
      <formula>"None"</formula>
    </cfRule>
  </conditionalFormatting>
  <conditionalFormatting sqref="I11:I18">
    <cfRule type="cellIs" dxfId="1227" priority="2693" operator="equal">
      <formula>"None"</formula>
    </cfRule>
  </conditionalFormatting>
  <conditionalFormatting sqref="I11:I18">
    <cfRule type="cellIs" dxfId="1226" priority="2692" operator="equal">
      <formula>"None"</formula>
    </cfRule>
  </conditionalFormatting>
  <conditionalFormatting sqref="I75:I79">
    <cfRule type="cellIs" dxfId="1225" priority="753" operator="equal">
      <formula>"None"</formula>
    </cfRule>
  </conditionalFormatting>
  <conditionalFormatting sqref="D75">
    <cfRule type="containsText" dxfId="1224" priority="805" operator="containsText" text="PASS">
      <formula>NOT(ISERROR(SEARCH("PASS",D75)))</formula>
    </cfRule>
    <cfRule type="containsText" dxfId="1223" priority="806" operator="containsText" text="FAIL">
      <formula>NOT(ISERROR(SEARCH("FAIL",D75)))</formula>
    </cfRule>
  </conditionalFormatting>
  <conditionalFormatting sqref="A75:B75 D75">
    <cfRule type="cellIs" dxfId="1222" priority="804" operator="equal">
      <formula>"None"</formula>
    </cfRule>
  </conditionalFormatting>
  <conditionalFormatting sqref="G77">
    <cfRule type="cellIs" dxfId="1221" priority="798" operator="equal">
      <formula>"None"</formula>
    </cfRule>
  </conditionalFormatting>
  <conditionalFormatting sqref="D77">
    <cfRule type="cellIs" dxfId="1220" priority="794" operator="equal">
      <formula>"None"</formula>
    </cfRule>
  </conditionalFormatting>
  <conditionalFormatting sqref="H77">
    <cfRule type="containsText" dxfId="1219" priority="761" operator="containsText" text="PASS">
      <formula>NOT(ISERROR(SEARCH("PASS",H77)))</formula>
    </cfRule>
    <cfRule type="containsText" dxfId="1218" priority="762" operator="containsText" text="FAIL">
      <formula>NOT(ISERROR(SEARCH("FAIL",H77)))</formula>
    </cfRule>
  </conditionalFormatting>
  <conditionalFormatting sqref="G79">
    <cfRule type="cellIs" dxfId="1217" priority="787" operator="equal">
      <formula>"None"</formula>
    </cfRule>
  </conditionalFormatting>
  <conditionalFormatting sqref="H77">
    <cfRule type="cellIs" dxfId="1216" priority="760" operator="equal">
      <formula>"None"</formula>
    </cfRule>
  </conditionalFormatting>
  <conditionalFormatting sqref="D78">
    <cfRule type="cellIs" dxfId="1215" priority="791" operator="equal">
      <formula>"None"</formula>
    </cfRule>
  </conditionalFormatting>
  <conditionalFormatting sqref="F75">
    <cfRule type="containsText" dxfId="1214" priority="782" operator="containsText" text="PASS">
      <formula>NOT(ISERROR(SEARCH("PASS",F75)))</formula>
    </cfRule>
    <cfRule type="containsText" dxfId="1213" priority="783" operator="containsText" text="FAIL">
      <formula>NOT(ISERROR(SEARCH("FAIL",F75)))</formula>
    </cfRule>
  </conditionalFormatting>
  <conditionalFormatting sqref="F75">
    <cfRule type="cellIs" dxfId="1212" priority="781" operator="equal">
      <formula>"None"</formula>
    </cfRule>
  </conditionalFormatting>
  <conditionalFormatting sqref="F75:F78">
    <cfRule type="containsText" dxfId="1211" priority="779" operator="containsText" text="PASS">
      <formula>NOT(ISERROR(SEARCH("PASS",F75)))</formula>
    </cfRule>
    <cfRule type="containsText" dxfId="1210" priority="780" operator="containsText" text="FAIL">
      <formula>NOT(ISERROR(SEARCH("FAIL",F75)))</formula>
    </cfRule>
  </conditionalFormatting>
  <conditionalFormatting sqref="F78">
    <cfRule type="containsText" dxfId="1209" priority="773" operator="containsText" text="PASS">
      <formula>NOT(ISERROR(SEARCH("PASS",F78)))</formula>
    </cfRule>
    <cfRule type="containsText" dxfId="1208" priority="774" operator="containsText" text="FAIL">
      <formula>NOT(ISERROR(SEARCH("FAIL",F78)))</formula>
    </cfRule>
  </conditionalFormatting>
  <conditionalFormatting sqref="F75:F78">
    <cfRule type="cellIs" dxfId="1207" priority="778" operator="equal">
      <formula>"None"</formula>
    </cfRule>
  </conditionalFormatting>
  <conditionalFormatting sqref="F77">
    <cfRule type="containsText" dxfId="1206" priority="776" operator="containsText" text="PASS">
      <formula>NOT(ISERROR(SEARCH("PASS",F77)))</formula>
    </cfRule>
    <cfRule type="containsText" dxfId="1205" priority="777" operator="containsText" text="FAIL">
      <formula>NOT(ISERROR(SEARCH("FAIL",F77)))</formula>
    </cfRule>
  </conditionalFormatting>
  <conditionalFormatting sqref="F77">
    <cfRule type="cellIs" dxfId="1204" priority="775" operator="equal">
      <formula>"None"</formula>
    </cfRule>
  </conditionalFormatting>
  <conditionalFormatting sqref="F78">
    <cfRule type="cellIs" dxfId="1203" priority="772" operator="equal">
      <formula>"None"</formula>
    </cfRule>
  </conditionalFormatting>
  <conditionalFormatting sqref="H75">
    <cfRule type="containsText" dxfId="1202" priority="767" operator="containsText" text="PASS">
      <formula>NOT(ISERROR(SEARCH("PASS",H75)))</formula>
    </cfRule>
    <cfRule type="containsText" dxfId="1201" priority="768" operator="containsText" text="FAIL">
      <formula>NOT(ISERROR(SEARCH("FAIL",H75)))</formula>
    </cfRule>
  </conditionalFormatting>
  <conditionalFormatting sqref="H75">
    <cfRule type="cellIs" dxfId="1200" priority="766" operator="equal">
      <formula>"None"</formula>
    </cfRule>
  </conditionalFormatting>
  <conditionalFormatting sqref="H75:H78">
    <cfRule type="containsText" dxfId="1199" priority="764" operator="containsText" text="PASS">
      <formula>NOT(ISERROR(SEARCH("PASS",H75)))</formula>
    </cfRule>
    <cfRule type="containsText" dxfId="1198" priority="765" operator="containsText" text="FAIL">
      <formula>NOT(ISERROR(SEARCH("FAIL",H75)))</formula>
    </cfRule>
  </conditionalFormatting>
  <conditionalFormatting sqref="H78">
    <cfRule type="containsText" dxfId="1197" priority="758" operator="containsText" text="PASS">
      <formula>NOT(ISERROR(SEARCH("PASS",H78)))</formula>
    </cfRule>
    <cfRule type="containsText" dxfId="1196" priority="759" operator="containsText" text="FAIL">
      <formula>NOT(ISERROR(SEARCH("FAIL",H78)))</formula>
    </cfRule>
  </conditionalFormatting>
  <conditionalFormatting sqref="H75:H78">
    <cfRule type="cellIs" dxfId="1195" priority="763" operator="equal">
      <formula>"None"</formula>
    </cfRule>
  </conditionalFormatting>
  <conditionalFormatting sqref="H78">
    <cfRule type="cellIs" dxfId="1194" priority="757" operator="equal">
      <formula>"None"</formula>
    </cfRule>
  </conditionalFormatting>
  <conditionalFormatting sqref="I75:I79">
    <cfRule type="cellIs" dxfId="1193" priority="752" operator="equal">
      <formula>"None"</formula>
    </cfRule>
  </conditionalFormatting>
  <conditionalFormatting sqref="A75">
    <cfRule type="containsText" dxfId="1192" priority="807" operator="containsText" text="PASS">
      <formula>NOT(ISERROR(SEARCH("PASS",A75)))</formula>
    </cfRule>
    <cfRule type="containsText" dxfId="1191" priority="808" operator="containsText" text="FAIL">
      <formula>NOT(ISERROR(SEARCH("FAIL",A75)))</formula>
    </cfRule>
  </conditionalFormatting>
  <conditionalFormatting sqref="D75:D78">
    <cfRule type="containsText" dxfId="1190" priority="801" operator="containsText" text="PASS">
      <formula>NOT(ISERROR(SEARCH("PASS",D75)))</formula>
    </cfRule>
    <cfRule type="containsText" dxfId="1189" priority="802" operator="containsText" text="FAIL">
      <formula>NOT(ISERROR(SEARCH("FAIL",D75)))</formula>
    </cfRule>
  </conditionalFormatting>
  <conditionalFormatting sqref="G75">
    <cfRule type="cellIs" dxfId="1188" priority="803" operator="equal">
      <formula>"None"</formula>
    </cfRule>
  </conditionalFormatting>
  <conditionalFormatting sqref="D78">
    <cfRule type="containsText" dxfId="1187" priority="792" operator="containsText" text="PASS">
      <formula>NOT(ISERROR(SEARCH("PASS",D78)))</formula>
    </cfRule>
    <cfRule type="containsText" dxfId="1186" priority="793" operator="containsText" text="FAIL">
      <formula>NOT(ISERROR(SEARCH("FAIL",D78)))</formula>
    </cfRule>
  </conditionalFormatting>
  <conditionalFormatting sqref="D75:D78">
    <cfRule type="cellIs" dxfId="1185" priority="800" operator="equal">
      <formula>"None"</formula>
    </cfRule>
  </conditionalFormatting>
  <conditionalFormatting sqref="G76">
    <cfRule type="cellIs" dxfId="1184" priority="799" operator="equal">
      <formula>"None"</formula>
    </cfRule>
  </conditionalFormatting>
  <conditionalFormatting sqref="D77">
    <cfRule type="containsText" dxfId="1183" priority="795" operator="containsText" text="PASS">
      <formula>NOT(ISERROR(SEARCH("PASS",D77)))</formula>
    </cfRule>
    <cfRule type="containsText" dxfId="1182" priority="796" operator="containsText" text="FAIL">
      <formula>NOT(ISERROR(SEARCH("FAIL",D77)))</formula>
    </cfRule>
  </conditionalFormatting>
  <conditionalFormatting sqref="G77:G79">
    <cfRule type="cellIs" dxfId="1181" priority="797" operator="equal">
      <formula>"None"</formula>
    </cfRule>
  </conditionalFormatting>
  <conditionalFormatting sqref="A19">
    <cfRule type="containsText" dxfId="1180" priority="408" operator="containsText" text="PASS">
      <formula>NOT(ISERROR(SEARCH("PASS",A19)))</formula>
    </cfRule>
    <cfRule type="containsText" dxfId="1179" priority="409" operator="containsText" text="FAIL">
      <formula>NOT(ISERROR(SEARCH("FAIL",A19)))</formula>
    </cfRule>
  </conditionalFormatting>
  <conditionalFormatting sqref="D19">
    <cfRule type="containsText" dxfId="1178" priority="406" operator="containsText" text="PASS">
      <formula>NOT(ISERROR(SEARCH("PASS",D19)))</formula>
    </cfRule>
    <cfRule type="containsText" dxfId="1177" priority="407" operator="containsText" text="FAIL">
      <formula>NOT(ISERROR(SEARCH("FAIL",D19)))</formula>
    </cfRule>
  </conditionalFormatting>
  <conditionalFormatting sqref="A19:B19 D19">
    <cfRule type="cellIs" dxfId="1176" priority="405" operator="equal">
      <formula>"None"</formula>
    </cfRule>
  </conditionalFormatting>
  <conditionalFormatting sqref="D19:D26">
    <cfRule type="containsText" dxfId="1175" priority="402" operator="containsText" text="PASS">
      <formula>NOT(ISERROR(SEARCH("PASS",D19)))</formula>
    </cfRule>
    <cfRule type="containsText" dxfId="1174" priority="403" operator="containsText" text="FAIL">
      <formula>NOT(ISERROR(SEARCH("FAIL",D19)))</formula>
    </cfRule>
  </conditionalFormatting>
  <conditionalFormatting sqref="G19">
    <cfRule type="cellIs" dxfId="1173" priority="404" operator="equal">
      <formula>"None"</formula>
    </cfRule>
  </conditionalFormatting>
  <conditionalFormatting sqref="D22">
    <cfRule type="containsText" dxfId="1172" priority="393" operator="containsText" text="PASS">
      <formula>NOT(ISERROR(SEARCH("PASS",D22)))</formula>
    </cfRule>
    <cfRule type="containsText" dxfId="1171" priority="394" operator="containsText" text="FAIL">
      <formula>NOT(ISERROR(SEARCH("FAIL",D22)))</formula>
    </cfRule>
  </conditionalFormatting>
  <conditionalFormatting sqref="D19:D26">
    <cfRule type="cellIs" dxfId="1170" priority="401" operator="equal">
      <formula>"None"</formula>
    </cfRule>
  </conditionalFormatting>
  <conditionalFormatting sqref="G20">
    <cfRule type="cellIs" dxfId="1169" priority="400" operator="equal">
      <formula>"None"</formula>
    </cfRule>
  </conditionalFormatting>
  <conditionalFormatting sqref="G21">
    <cfRule type="cellIs" dxfId="1168" priority="399" operator="equal">
      <formula>"None"</formula>
    </cfRule>
  </conditionalFormatting>
  <conditionalFormatting sqref="D23:D26">
    <cfRule type="cellIs" dxfId="1167" priority="389" operator="equal">
      <formula>"None"</formula>
    </cfRule>
  </conditionalFormatting>
  <conditionalFormatting sqref="G23">
    <cfRule type="cellIs" dxfId="1166" priority="388" operator="equal">
      <formula>"None"</formula>
    </cfRule>
  </conditionalFormatting>
  <conditionalFormatting sqref="D21">
    <cfRule type="containsText" dxfId="1165" priority="396" operator="containsText" text="PASS">
      <formula>NOT(ISERROR(SEARCH("PASS",D21)))</formula>
    </cfRule>
    <cfRule type="containsText" dxfId="1164" priority="397" operator="containsText" text="FAIL">
      <formula>NOT(ISERROR(SEARCH("FAIL",D21)))</formula>
    </cfRule>
  </conditionalFormatting>
  <conditionalFormatting sqref="D21">
    <cfRule type="cellIs" dxfId="1163" priority="395" operator="equal">
      <formula>"None"</formula>
    </cfRule>
  </conditionalFormatting>
  <conditionalFormatting sqref="G25">
    <cfRule type="cellIs" dxfId="1162" priority="386" operator="equal">
      <formula>"None"</formula>
    </cfRule>
  </conditionalFormatting>
  <conditionalFormatting sqref="G24">
    <cfRule type="cellIs" dxfId="1161" priority="387" operator="equal">
      <formula>"None"</formula>
    </cfRule>
  </conditionalFormatting>
  <conditionalFormatting sqref="D22">
    <cfRule type="cellIs" dxfId="1160" priority="392" operator="equal">
      <formula>"None"</formula>
    </cfRule>
  </conditionalFormatting>
  <conditionalFormatting sqref="D23:D26">
    <cfRule type="containsText" dxfId="1159" priority="390" operator="containsText" text="PASS">
      <formula>NOT(ISERROR(SEARCH("PASS",D23)))</formula>
    </cfRule>
    <cfRule type="containsText" dxfId="1158" priority="391" operator="containsText" text="FAIL">
      <formula>NOT(ISERROR(SEARCH("FAIL",D23)))</formula>
    </cfRule>
  </conditionalFormatting>
  <conditionalFormatting sqref="G21:G25">
    <cfRule type="cellIs" dxfId="1157" priority="398" operator="equal">
      <formula>"None"</formula>
    </cfRule>
  </conditionalFormatting>
  <conditionalFormatting sqref="G26">
    <cfRule type="cellIs" dxfId="1156" priority="385" operator="equal">
      <formula>"None"</formula>
    </cfRule>
  </conditionalFormatting>
  <conditionalFormatting sqref="F19">
    <cfRule type="containsText" dxfId="1155" priority="383" operator="containsText" text="PASS">
      <formula>NOT(ISERROR(SEARCH("PASS",F19)))</formula>
    </cfRule>
    <cfRule type="containsText" dxfId="1154" priority="384" operator="containsText" text="FAIL">
      <formula>NOT(ISERROR(SEARCH("FAIL",F19)))</formula>
    </cfRule>
  </conditionalFormatting>
  <conditionalFormatting sqref="F19">
    <cfRule type="cellIs" dxfId="1153" priority="382" operator="equal">
      <formula>"None"</formula>
    </cfRule>
  </conditionalFormatting>
  <conditionalFormatting sqref="F19:F26">
    <cfRule type="containsText" dxfId="1152" priority="380" operator="containsText" text="PASS">
      <formula>NOT(ISERROR(SEARCH("PASS",F19)))</formula>
    </cfRule>
    <cfRule type="containsText" dxfId="1151" priority="381" operator="containsText" text="FAIL">
      <formula>NOT(ISERROR(SEARCH("FAIL",F19)))</formula>
    </cfRule>
  </conditionalFormatting>
  <conditionalFormatting sqref="F22">
    <cfRule type="containsText" dxfId="1150" priority="374" operator="containsText" text="PASS">
      <formula>NOT(ISERROR(SEARCH("PASS",F22)))</formula>
    </cfRule>
    <cfRule type="containsText" dxfId="1149" priority="375" operator="containsText" text="FAIL">
      <formula>NOT(ISERROR(SEARCH("FAIL",F22)))</formula>
    </cfRule>
  </conditionalFormatting>
  <conditionalFormatting sqref="F19:F26">
    <cfRule type="cellIs" dxfId="1148" priority="379" operator="equal">
      <formula>"None"</formula>
    </cfRule>
  </conditionalFormatting>
  <conditionalFormatting sqref="F23:F26">
    <cfRule type="cellIs" dxfId="1147" priority="370" operator="equal">
      <formula>"None"</formula>
    </cfRule>
  </conditionalFormatting>
  <conditionalFormatting sqref="F21">
    <cfRule type="containsText" dxfId="1146" priority="377" operator="containsText" text="PASS">
      <formula>NOT(ISERROR(SEARCH("PASS",F21)))</formula>
    </cfRule>
    <cfRule type="containsText" dxfId="1145" priority="378" operator="containsText" text="FAIL">
      <formula>NOT(ISERROR(SEARCH("FAIL",F21)))</formula>
    </cfRule>
  </conditionalFormatting>
  <conditionalFormatting sqref="F21">
    <cfRule type="cellIs" dxfId="1144" priority="376" operator="equal">
      <formula>"None"</formula>
    </cfRule>
  </conditionalFormatting>
  <conditionalFormatting sqref="F22">
    <cfRule type="cellIs" dxfId="1143" priority="373" operator="equal">
      <formula>"None"</formula>
    </cfRule>
  </conditionalFormatting>
  <conditionalFormatting sqref="F23:F26">
    <cfRule type="containsText" dxfId="1142" priority="371" operator="containsText" text="PASS">
      <formula>NOT(ISERROR(SEARCH("PASS",F23)))</formula>
    </cfRule>
    <cfRule type="containsText" dxfId="1141" priority="372" operator="containsText" text="FAIL">
      <formula>NOT(ISERROR(SEARCH("FAIL",F23)))</formula>
    </cfRule>
  </conditionalFormatting>
  <conditionalFormatting sqref="H19">
    <cfRule type="containsText" dxfId="1140" priority="368" operator="containsText" text="PASS">
      <formula>NOT(ISERROR(SEARCH("PASS",H19)))</formula>
    </cfRule>
    <cfRule type="containsText" dxfId="1139" priority="369" operator="containsText" text="FAIL">
      <formula>NOT(ISERROR(SEARCH("FAIL",H19)))</formula>
    </cfRule>
  </conditionalFormatting>
  <conditionalFormatting sqref="H19">
    <cfRule type="cellIs" dxfId="1138" priority="367" operator="equal">
      <formula>"None"</formula>
    </cfRule>
  </conditionalFormatting>
  <conditionalFormatting sqref="H19:H26">
    <cfRule type="containsText" dxfId="1137" priority="365" operator="containsText" text="PASS">
      <formula>NOT(ISERROR(SEARCH("PASS",H19)))</formula>
    </cfRule>
    <cfRule type="containsText" dxfId="1136" priority="366" operator="containsText" text="FAIL">
      <formula>NOT(ISERROR(SEARCH("FAIL",H19)))</formula>
    </cfRule>
  </conditionalFormatting>
  <conditionalFormatting sqref="H22">
    <cfRule type="containsText" dxfId="1135" priority="359" operator="containsText" text="PASS">
      <formula>NOT(ISERROR(SEARCH("PASS",H22)))</formula>
    </cfRule>
    <cfRule type="containsText" dxfId="1134" priority="360" operator="containsText" text="FAIL">
      <formula>NOT(ISERROR(SEARCH("FAIL",H22)))</formula>
    </cfRule>
  </conditionalFormatting>
  <conditionalFormatting sqref="H19:H26">
    <cfRule type="cellIs" dxfId="1133" priority="364" operator="equal">
      <formula>"None"</formula>
    </cfRule>
  </conditionalFormatting>
  <conditionalFormatting sqref="H23:H26">
    <cfRule type="cellIs" dxfId="1132" priority="355" operator="equal">
      <formula>"None"</formula>
    </cfRule>
  </conditionalFormatting>
  <conditionalFormatting sqref="H21">
    <cfRule type="containsText" dxfId="1131" priority="362" operator="containsText" text="PASS">
      <formula>NOT(ISERROR(SEARCH("PASS",H21)))</formula>
    </cfRule>
    <cfRule type="containsText" dxfId="1130" priority="363" operator="containsText" text="FAIL">
      <formula>NOT(ISERROR(SEARCH("FAIL",H21)))</formula>
    </cfRule>
  </conditionalFormatting>
  <conditionalFormatting sqref="H21">
    <cfRule type="cellIs" dxfId="1129" priority="361" operator="equal">
      <formula>"None"</formula>
    </cfRule>
  </conditionalFormatting>
  <conditionalFormatting sqref="H22">
    <cfRule type="cellIs" dxfId="1128" priority="358" operator="equal">
      <formula>"None"</formula>
    </cfRule>
  </conditionalFormatting>
  <conditionalFormatting sqref="H23:H26">
    <cfRule type="containsText" dxfId="1127" priority="356" operator="containsText" text="PASS">
      <formula>NOT(ISERROR(SEARCH("PASS",H23)))</formula>
    </cfRule>
    <cfRule type="containsText" dxfId="1126" priority="357" operator="containsText" text="FAIL">
      <formula>NOT(ISERROR(SEARCH("FAIL",H23)))</formula>
    </cfRule>
  </conditionalFormatting>
  <conditionalFormatting sqref="I19:I26">
    <cfRule type="cellIs" dxfId="1125" priority="354" operator="equal">
      <formula>"None"</formula>
    </cfRule>
  </conditionalFormatting>
  <conditionalFormatting sqref="I19:I26">
    <cfRule type="cellIs" dxfId="1124" priority="353" operator="equal">
      <formula>"None"</formula>
    </cfRule>
  </conditionalFormatting>
  <conditionalFormatting sqref="A27">
    <cfRule type="containsText" dxfId="1123" priority="351" operator="containsText" text="PASS">
      <formula>NOT(ISERROR(SEARCH("PASS",A27)))</formula>
    </cfRule>
    <cfRule type="containsText" dxfId="1122" priority="352" operator="containsText" text="FAIL">
      <formula>NOT(ISERROR(SEARCH("FAIL",A27)))</formula>
    </cfRule>
  </conditionalFormatting>
  <conditionalFormatting sqref="D27">
    <cfRule type="containsText" dxfId="1121" priority="349" operator="containsText" text="PASS">
      <formula>NOT(ISERROR(SEARCH("PASS",D27)))</formula>
    </cfRule>
    <cfRule type="containsText" dxfId="1120" priority="350" operator="containsText" text="FAIL">
      <formula>NOT(ISERROR(SEARCH("FAIL",D27)))</formula>
    </cfRule>
  </conditionalFormatting>
  <conditionalFormatting sqref="A27 D27">
    <cfRule type="cellIs" dxfId="1119" priority="348" operator="equal">
      <formula>"None"</formula>
    </cfRule>
  </conditionalFormatting>
  <conditionalFormatting sqref="D27:D34">
    <cfRule type="containsText" dxfId="1118" priority="345" operator="containsText" text="PASS">
      <formula>NOT(ISERROR(SEARCH("PASS",D27)))</formula>
    </cfRule>
    <cfRule type="containsText" dxfId="1117" priority="346" operator="containsText" text="FAIL">
      <formula>NOT(ISERROR(SEARCH("FAIL",D27)))</formula>
    </cfRule>
  </conditionalFormatting>
  <conditionalFormatting sqref="G27">
    <cfRule type="cellIs" dxfId="1116" priority="347" operator="equal">
      <formula>"None"</formula>
    </cfRule>
  </conditionalFormatting>
  <conditionalFormatting sqref="D30">
    <cfRule type="containsText" dxfId="1115" priority="336" operator="containsText" text="PASS">
      <formula>NOT(ISERROR(SEARCH("PASS",D30)))</formula>
    </cfRule>
    <cfRule type="containsText" dxfId="1114" priority="337" operator="containsText" text="FAIL">
      <formula>NOT(ISERROR(SEARCH("FAIL",D30)))</formula>
    </cfRule>
  </conditionalFormatting>
  <conditionalFormatting sqref="D27:D34">
    <cfRule type="cellIs" dxfId="1113" priority="344" operator="equal">
      <formula>"None"</formula>
    </cfRule>
  </conditionalFormatting>
  <conditionalFormatting sqref="G28">
    <cfRule type="cellIs" dxfId="1112" priority="343" operator="equal">
      <formula>"None"</formula>
    </cfRule>
  </conditionalFormatting>
  <conditionalFormatting sqref="G29">
    <cfRule type="cellIs" dxfId="1111" priority="342" operator="equal">
      <formula>"None"</formula>
    </cfRule>
  </conditionalFormatting>
  <conditionalFormatting sqref="D31:D34">
    <cfRule type="cellIs" dxfId="1110" priority="332" operator="equal">
      <formula>"None"</formula>
    </cfRule>
  </conditionalFormatting>
  <conditionalFormatting sqref="G31">
    <cfRule type="cellIs" dxfId="1109" priority="331" operator="equal">
      <formula>"None"</formula>
    </cfRule>
  </conditionalFormatting>
  <conditionalFormatting sqref="D29">
    <cfRule type="containsText" dxfId="1108" priority="339" operator="containsText" text="PASS">
      <formula>NOT(ISERROR(SEARCH("PASS",D29)))</formula>
    </cfRule>
    <cfRule type="containsText" dxfId="1107" priority="340" operator="containsText" text="FAIL">
      <formula>NOT(ISERROR(SEARCH("FAIL",D29)))</formula>
    </cfRule>
  </conditionalFormatting>
  <conditionalFormatting sqref="D29">
    <cfRule type="cellIs" dxfId="1106" priority="338" operator="equal">
      <formula>"None"</formula>
    </cfRule>
  </conditionalFormatting>
  <conditionalFormatting sqref="G33">
    <cfRule type="cellIs" dxfId="1105" priority="329" operator="equal">
      <formula>"None"</formula>
    </cfRule>
  </conditionalFormatting>
  <conditionalFormatting sqref="G32">
    <cfRule type="cellIs" dxfId="1104" priority="330" operator="equal">
      <formula>"None"</formula>
    </cfRule>
  </conditionalFormatting>
  <conditionalFormatting sqref="D30">
    <cfRule type="cellIs" dxfId="1103" priority="335" operator="equal">
      <formula>"None"</formula>
    </cfRule>
  </conditionalFormatting>
  <conditionalFormatting sqref="D31:D34">
    <cfRule type="containsText" dxfId="1102" priority="333" operator="containsText" text="PASS">
      <formula>NOT(ISERROR(SEARCH("PASS",D31)))</formula>
    </cfRule>
    <cfRule type="containsText" dxfId="1101" priority="334" operator="containsText" text="FAIL">
      <formula>NOT(ISERROR(SEARCH("FAIL",D31)))</formula>
    </cfRule>
  </conditionalFormatting>
  <conditionalFormatting sqref="G29:G33">
    <cfRule type="cellIs" dxfId="1100" priority="341" operator="equal">
      <formula>"None"</formula>
    </cfRule>
  </conditionalFormatting>
  <conditionalFormatting sqref="G34">
    <cfRule type="cellIs" dxfId="1099" priority="328" operator="equal">
      <formula>"None"</formula>
    </cfRule>
  </conditionalFormatting>
  <conditionalFormatting sqref="F27">
    <cfRule type="containsText" dxfId="1098" priority="326" operator="containsText" text="PASS">
      <formula>NOT(ISERROR(SEARCH("PASS",F27)))</formula>
    </cfRule>
    <cfRule type="containsText" dxfId="1097" priority="327" operator="containsText" text="FAIL">
      <formula>NOT(ISERROR(SEARCH("FAIL",F27)))</formula>
    </cfRule>
  </conditionalFormatting>
  <conditionalFormatting sqref="F27">
    <cfRule type="cellIs" dxfId="1096" priority="325" operator="equal">
      <formula>"None"</formula>
    </cfRule>
  </conditionalFormatting>
  <conditionalFormatting sqref="F27:F34">
    <cfRule type="containsText" dxfId="1095" priority="323" operator="containsText" text="PASS">
      <formula>NOT(ISERROR(SEARCH("PASS",F27)))</formula>
    </cfRule>
    <cfRule type="containsText" dxfId="1094" priority="324" operator="containsText" text="FAIL">
      <formula>NOT(ISERROR(SEARCH("FAIL",F27)))</formula>
    </cfRule>
  </conditionalFormatting>
  <conditionalFormatting sqref="F30">
    <cfRule type="containsText" dxfId="1093" priority="317" operator="containsText" text="PASS">
      <formula>NOT(ISERROR(SEARCH("PASS",F30)))</formula>
    </cfRule>
    <cfRule type="containsText" dxfId="1092" priority="318" operator="containsText" text="FAIL">
      <formula>NOT(ISERROR(SEARCH("FAIL",F30)))</formula>
    </cfRule>
  </conditionalFormatting>
  <conditionalFormatting sqref="F27:F34">
    <cfRule type="cellIs" dxfId="1091" priority="322" operator="equal">
      <formula>"None"</formula>
    </cfRule>
  </conditionalFormatting>
  <conditionalFormatting sqref="F31:F34">
    <cfRule type="cellIs" dxfId="1090" priority="313" operator="equal">
      <formula>"None"</formula>
    </cfRule>
  </conditionalFormatting>
  <conditionalFormatting sqref="F29">
    <cfRule type="containsText" dxfId="1089" priority="320" operator="containsText" text="PASS">
      <formula>NOT(ISERROR(SEARCH("PASS",F29)))</formula>
    </cfRule>
    <cfRule type="containsText" dxfId="1088" priority="321" operator="containsText" text="FAIL">
      <formula>NOT(ISERROR(SEARCH("FAIL",F29)))</formula>
    </cfRule>
  </conditionalFormatting>
  <conditionalFormatting sqref="F29">
    <cfRule type="cellIs" dxfId="1087" priority="319" operator="equal">
      <formula>"None"</formula>
    </cfRule>
  </conditionalFormatting>
  <conditionalFormatting sqref="F30">
    <cfRule type="cellIs" dxfId="1086" priority="316" operator="equal">
      <formula>"None"</formula>
    </cfRule>
  </conditionalFormatting>
  <conditionalFormatting sqref="F31:F34">
    <cfRule type="containsText" dxfId="1085" priority="314" operator="containsText" text="PASS">
      <formula>NOT(ISERROR(SEARCH("PASS",F31)))</formula>
    </cfRule>
    <cfRule type="containsText" dxfId="1084" priority="315" operator="containsText" text="FAIL">
      <formula>NOT(ISERROR(SEARCH("FAIL",F31)))</formula>
    </cfRule>
  </conditionalFormatting>
  <conditionalFormatting sqref="H27">
    <cfRule type="containsText" dxfId="1083" priority="311" operator="containsText" text="PASS">
      <formula>NOT(ISERROR(SEARCH("PASS",H27)))</formula>
    </cfRule>
    <cfRule type="containsText" dxfId="1082" priority="312" operator="containsText" text="FAIL">
      <formula>NOT(ISERROR(SEARCH("FAIL",H27)))</formula>
    </cfRule>
  </conditionalFormatting>
  <conditionalFormatting sqref="H27">
    <cfRule type="cellIs" dxfId="1081" priority="310" operator="equal">
      <formula>"None"</formula>
    </cfRule>
  </conditionalFormatting>
  <conditionalFormatting sqref="H27:H34">
    <cfRule type="containsText" dxfId="1080" priority="308" operator="containsText" text="PASS">
      <formula>NOT(ISERROR(SEARCH("PASS",H27)))</formula>
    </cfRule>
    <cfRule type="containsText" dxfId="1079" priority="309" operator="containsText" text="FAIL">
      <formula>NOT(ISERROR(SEARCH("FAIL",H27)))</formula>
    </cfRule>
  </conditionalFormatting>
  <conditionalFormatting sqref="H30">
    <cfRule type="containsText" dxfId="1078" priority="302" operator="containsText" text="PASS">
      <formula>NOT(ISERROR(SEARCH("PASS",H30)))</formula>
    </cfRule>
    <cfRule type="containsText" dxfId="1077" priority="303" operator="containsText" text="FAIL">
      <formula>NOT(ISERROR(SEARCH("FAIL",H30)))</formula>
    </cfRule>
  </conditionalFormatting>
  <conditionalFormatting sqref="H27:H34">
    <cfRule type="cellIs" dxfId="1076" priority="307" operator="equal">
      <formula>"None"</formula>
    </cfRule>
  </conditionalFormatting>
  <conditionalFormatting sqref="H31:H34">
    <cfRule type="cellIs" dxfId="1075" priority="298" operator="equal">
      <formula>"None"</formula>
    </cfRule>
  </conditionalFormatting>
  <conditionalFormatting sqref="H29">
    <cfRule type="containsText" dxfId="1074" priority="305" operator="containsText" text="PASS">
      <formula>NOT(ISERROR(SEARCH("PASS",H29)))</formula>
    </cfRule>
    <cfRule type="containsText" dxfId="1073" priority="306" operator="containsText" text="FAIL">
      <formula>NOT(ISERROR(SEARCH("FAIL",H29)))</formula>
    </cfRule>
  </conditionalFormatting>
  <conditionalFormatting sqref="H29">
    <cfRule type="cellIs" dxfId="1072" priority="304" operator="equal">
      <formula>"None"</formula>
    </cfRule>
  </conditionalFormatting>
  <conditionalFormatting sqref="H30">
    <cfRule type="cellIs" dxfId="1071" priority="301" operator="equal">
      <formula>"None"</formula>
    </cfRule>
  </conditionalFormatting>
  <conditionalFormatting sqref="H31:H34">
    <cfRule type="containsText" dxfId="1070" priority="299" operator="containsText" text="PASS">
      <formula>NOT(ISERROR(SEARCH("PASS",H31)))</formula>
    </cfRule>
    <cfRule type="containsText" dxfId="1069" priority="300" operator="containsText" text="FAIL">
      <formula>NOT(ISERROR(SEARCH("FAIL",H31)))</formula>
    </cfRule>
  </conditionalFormatting>
  <conditionalFormatting sqref="I27:I34">
    <cfRule type="cellIs" dxfId="1068" priority="297" operator="equal">
      <formula>"None"</formula>
    </cfRule>
  </conditionalFormatting>
  <conditionalFormatting sqref="I27:I34">
    <cfRule type="cellIs" dxfId="1067" priority="296" operator="equal">
      <formula>"None"</formula>
    </cfRule>
  </conditionalFormatting>
  <conditionalFormatting sqref="A35">
    <cfRule type="containsText" dxfId="1066" priority="294" operator="containsText" text="PASS">
      <formula>NOT(ISERROR(SEARCH("PASS",A35)))</formula>
    </cfRule>
    <cfRule type="containsText" dxfId="1065" priority="295" operator="containsText" text="FAIL">
      <formula>NOT(ISERROR(SEARCH("FAIL",A35)))</formula>
    </cfRule>
  </conditionalFormatting>
  <conditionalFormatting sqref="D35">
    <cfRule type="containsText" dxfId="1064" priority="292" operator="containsText" text="PASS">
      <formula>NOT(ISERROR(SEARCH("PASS",D35)))</formula>
    </cfRule>
    <cfRule type="containsText" dxfId="1063" priority="293" operator="containsText" text="FAIL">
      <formula>NOT(ISERROR(SEARCH("FAIL",D35)))</formula>
    </cfRule>
  </conditionalFormatting>
  <conditionalFormatting sqref="A35 D35">
    <cfRule type="cellIs" dxfId="1062" priority="291" operator="equal">
      <formula>"None"</formula>
    </cfRule>
  </conditionalFormatting>
  <conditionalFormatting sqref="D35:D42">
    <cfRule type="containsText" dxfId="1061" priority="288" operator="containsText" text="PASS">
      <formula>NOT(ISERROR(SEARCH("PASS",D35)))</formula>
    </cfRule>
    <cfRule type="containsText" dxfId="1060" priority="289" operator="containsText" text="FAIL">
      <formula>NOT(ISERROR(SEARCH("FAIL",D35)))</formula>
    </cfRule>
  </conditionalFormatting>
  <conditionalFormatting sqref="G35">
    <cfRule type="cellIs" dxfId="1059" priority="290" operator="equal">
      <formula>"None"</formula>
    </cfRule>
  </conditionalFormatting>
  <conditionalFormatting sqref="D38">
    <cfRule type="containsText" dxfId="1058" priority="279" operator="containsText" text="PASS">
      <formula>NOT(ISERROR(SEARCH("PASS",D38)))</formula>
    </cfRule>
    <cfRule type="containsText" dxfId="1057" priority="280" operator="containsText" text="FAIL">
      <formula>NOT(ISERROR(SEARCH("FAIL",D38)))</formula>
    </cfRule>
  </conditionalFormatting>
  <conditionalFormatting sqref="D35:D42">
    <cfRule type="cellIs" dxfId="1056" priority="287" operator="equal">
      <formula>"None"</formula>
    </cfRule>
  </conditionalFormatting>
  <conditionalFormatting sqref="G36">
    <cfRule type="cellIs" dxfId="1055" priority="286" operator="equal">
      <formula>"None"</formula>
    </cfRule>
  </conditionalFormatting>
  <conditionalFormatting sqref="G37">
    <cfRule type="cellIs" dxfId="1054" priority="285" operator="equal">
      <formula>"None"</formula>
    </cfRule>
  </conditionalFormatting>
  <conditionalFormatting sqref="D39:D42">
    <cfRule type="cellIs" dxfId="1053" priority="275" operator="equal">
      <formula>"None"</formula>
    </cfRule>
  </conditionalFormatting>
  <conditionalFormatting sqref="G39">
    <cfRule type="cellIs" dxfId="1052" priority="274" operator="equal">
      <formula>"None"</formula>
    </cfRule>
  </conditionalFormatting>
  <conditionalFormatting sqref="D37">
    <cfRule type="containsText" dxfId="1051" priority="282" operator="containsText" text="PASS">
      <formula>NOT(ISERROR(SEARCH("PASS",D37)))</formula>
    </cfRule>
    <cfRule type="containsText" dxfId="1050" priority="283" operator="containsText" text="FAIL">
      <formula>NOT(ISERROR(SEARCH("FAIL",D37)))</formula>
    </cfRule>
  </conditionalFormatting>
  <conditionalFormatting sqref="D37">
    <cfRule type="cellIs" dxfId="1049" priority="281" operator="equal">
      <formula>"None"</formula>
    </cfRule>
  </conditionalFormatting>
  <conditionalFormatting sqref="G41">
    <cfRule type="cellIs" dxfId="1048" priority="272" operator="equal">
      <formula>"None"</formula>
    </cfRule>
  </conditionalFormatting>
  <conditionalFormatting sqref="G40">
    <cfRule type="cellIs" dxfId="1047" priority="273" operator="equal">
      <formula>"None"</formula>
    </cfRule>
  </conditionalFormatting>
  <conditionalFormatting sqref="D38">
    <cfRule type="cellIs" dxfId="1046" priority="278" operator="equal">
      <formula>"None"</formula>
    </cfRule>
  </conditionalFormatting>
  <conditionalFormatting sqref="D39:D42">
    <cfRule type="containsText" dxfId="1045" priority="276" operator="containsText" text="PASS">
      <formula>NOT(ISERROR(SEARCH("PASS",D39)))</formula>
    </cfRule>
    <cfRule type="containsText" dxfId="1044" priority="277" operator="containsText" text="FAIL">
      <formula>NOT(ISERROR(SEARCH("FAIL",D39)))</formula>
    </cfRule>
  </conditionalFormatting>
  <conditionalFormatting sqref="G37:G41">
    <cfRule type="cellIs" dxfId="1043" priority="284" operator="equal">
      <formula>"None"</formula>
    </cfRule>
  </conditionalFormatting>
  <conditionalFormatting sqref="G42">
    <cfRule type="cellIs" dxfId="1042" priority="271" operator="equal">
      <formula>"None"</formula>
    </cfRule>
  </conditionalFormatting>
  <conditionalFormatting sqref="F35">
    <cfRule type="containsText" dxfId="1041" priority="269" operator="containsText" text="PASS">
      <formula>NOT(ISERROR(SEARCH("PASS",F35)))</formula>
    </cfRule>
    <cfRule type="containsText" dxfId="1040" priority="270" operator="containsText" text="FAIL">
      <formula>NOT(ISERROR(SEARCH("FAIL",F35)))</formula>
    </cfRule>
  </conditionalFormatting>
  <conditionalFormatting sqref="F35">
    <cfRule type="cellIs" dxfId="1039" priority="268" operator="equal">
      <formula>"None"</formula>
    </cfRule>
  </conditionalFormatting>
  <conditionalFormatting sqref="F35:F42">
    <cfRule type="containsText" dxfId="1038" priority="266" operator="containsText" text="PASS">
      <formula>NOT(ISERROR(SEARCH("PASS",F35)))</formula>
    </cfRule>
    <cfRule type="containsText" dxfId="1037" priority="267" operator="containsText" text="FAIL">
      <formula>NOT(ISERROR(SEARCH("FAIL",F35)))</formula>
    </cfRule>
  </conditionalFormatting>
  <conditionalFormatting sqref="F38">
    <cfRule type="containsText" dxfId="1036" priority="260" operator="containsText" text="PASS">
      <formula>NOT(ISERROR(SEARCH("PASS",F38)))</formula>
    </cfRule>
    <cfRule type="containsText" dxfId="1035" priority="261" operator="containsText" text="FAIL">
      <formula>NOT(ISERROR(SEARCH("FAIL",F38)))</formula>
    </cfRule>
  </conditionalFormatting>
  <conditionalFormatting sqref="F35:F42">
    <cfRule type="cellIs" dxfId="1034" priority="265" operator="equal">
      <formula>"None"</formula>
    </cfRule>
  </conditionalFormatting>
  <conditionalFormatting sqref="F39:F42">
    <cfRule type="cellIs" dxfId="1033" priority="256" operator="equal">
      <formula>"None"</formula>
    </cfRule>
  </conditionalFormatting>
  <conditionalFormatting sqref="F37">
    <cfRule type="containsText" dxfId="1032" priority="263" operator="containsText" text="PASS">
      <formula>NOT(ISERROR(SEARCH("PASS",F37)))</formula>
    </cfRule>
    <cfRule type="containsText" dxfId="1031" priority="264" operator="containsText" text="FAIL">
      <formula>NOT(ISERROR(SEARCH("FAIL",F37)))</formula>
    </cfRule>
  </conditionalFormatting>
  <conditionalFormatting sqref="F37">
    <cfRule type="cellIs" dxfId="1030" priority="262" operator="equal">
      <formula>"None"</formula>
    </cfRule>
  </conditionalFormatting>
  <conditionalFormatting sqref="F38">
    <cfRule type="cellIs" dxfId="1029" priority="259" operator="equal">
      <formula>"None"</formula>
    </cfRule>
  </conditionalFormatting>
  <conditionalFormatting sqref="F39:F42">
    <cfRule type="containsText" dxfId="1028" priority="257" operator="containsText" text="PASS">
      <formula>NOT(ISERROR(SEARCH("PASS",F39)))</formula>
    </cfRule>
    <cfRule type="containsText" dxfId="1027" priority="258" operator="containsText" text="FAIL">
      <formula>NOT(ISERROR(SEARCH("FAIL",F39)))</formula>
    </cfRule>
  </conditionalFormatting>
  <conditionalFormatting sqref="H35">
    <cfRule type="containsText" dxfId="1026" priority="254" operator="containsText" text="PASS">
      <formula>NOT(ISERROR(SEARCH("PASS",H35)))</formula>
    </cfRule>
    <cfRule type="containsText" dxfId="1025" priority="255" operator="containsText" text="FAIL">
      <formula>NOT(ISERROR(SEARCH("FAIL",H35)))</formula>
    </cfRule>
  </conditionalFormatting>
  <conditionalFormatting sqref="H35">
    <cfRule type="cellIs" dxfId="1024" priority="253" operator="equal">
      <formula>"None"</formula>
    </cfRule>
  </conditionalFormatting>
  <conditionalFormatting sqref="H35:H42">
    <cfRule type="containsText" dxfId="1023" priority="251" operator="containsText" text="PASS">
      <formula>NOT(ISERROR(SEARCH("PASS",H35)))</formula>
    </cfRule>
    <cfRule type="containsText" dxfId="1022" priority="252" operator="containsText" text="FAIL">
      <formula>NOT(ISERROR(SEARCH("FAIL",H35)))</formula>
    </cfRule>
  </conditionalFormatting>
  <conditionalFormatting sqref="H38">
    <cfRule type="containsText" dxfId="1021" priority="245" operator="containsText" text="PASS">
      <formula>NOT(ISERROR(SEARCH("PASS",H38)))</formula>
    </cfRule>
    <cfRule type="containsText" dxfId="1020" priority="246" operator="containsText" text="FAIL">
      <formula>NOT(ISERROR(SEARCH("FAIL",H38)))</formula>
    </cfRule>
  </conditionalFormatting>
  <conditionalFormatting sqref="H35:H42">
    <cfRule type="cellIs" dxfId="1019" priority="250" operator="equal">
      <formula>"None"</formula>
    </cfRule>
  </conditionalFormatting>
  <conditionalFormatting sqref="H39:H42">
    <cfRule type="cellIs" dxfId="1018" priority="241" operator="equal">
      <formula>"None"</formula>
    </cfRule>
  </conditionalFormatting>
  <conditionalFormatting sqref="H37">
    <cfRule type="containsText" dxfId="1017" priority="248" operator="containsText" text="PASS">
      <formula>NOT(ISERROR(SEARCH("PASS",H37)))</formula>
    </cfRule>
    <cfRule type="containsText" dxfId="1016" priority="249" operator="containsText" text="FAIL">
      <formula>NOT(ISERROR(SEARCH("FAIL",H37)))</formula>
    </cfRule>
  </conditionalFormatting>
  <conditionalFormatting sqref="H37">
    <cfRule type="cellIs" dxfId="1015" priority="247" operator="equal">
      <formula>"None"</formula>
    </cfRule>
  </conditionalFormatting>
  <conditionalFormatting sqref="H38">
    <cfRule type="cellIs" dxfId="1014" priority="244" operator="equal">
      <formula>"None"</formula>
    </cfRule>
  </conditionalFormatting>
  <conditionalFormatting sqref="H39:H42">
    <cfRule type="containsText" dxfId="1013" priority="242" operator="containsText" text="PASS">
      <formula>NOT(ISERROR(SEARCH("PASS",H39)))</formula>
    </cfRule>
    <cfRule type="containsText" dxfId="1012" priority="243" operator="containsText" text="FAIL">
      <formula>NOT(ISERROR(SEARCH("FAIL",H39)))</formula>
    </cfRule>
  </conditionalFormatting>
  <conditionalFormatting sqref="I35:I42">
    <cfRule type="cellIs" dxfId="1011" priority="240" operator="equal">
      <formula>"None"</formula>
    </cfRule>
  </conditionalFormatting>
  <conditionalFormatting sqref="I35:I42">
    <cfRule type="cellIs" dxfId="1010" priority="239" operator="equal">
      <formula>"None"</formula>
    </cfRule>
  </conditionalFormatting>
  <conditionalFormatting sqref="A43">
    <cfRule type="containsText" dxfId="1009" priority="237" operator="containsText" text="PASS">
      <formula>NOT(ISERROR(SEARCH("PASS",A43)))</formula>
    </cfRule>
    <cfRule type="containsText" dxfId="1008" priority="238" operator="containsText" text="FAIL">
      <formula>NOT(ISERROR(SEARCH("FAIL",A43)))</formula>
    </cfRule>
  </conditionalFormatting>
  <conditionalFormatting sqref="D43">
    <cfRule type="containsText" dxfId="1007" priority="235" operator="containsText" text="PASS">
      <formula>NOT(ISERROR(SEARCH("PASS",D43)))</formula>
    </cfRule>
    <cfRule type="containsText" dxfId="1006" priority="236" operator="containsText" text="FAIL">
      <formula>NOT(ISERROR(SEARCH("FAIL",D43)))</formula>
    </cfRule>
  </conditionalFormatting>
  <conditionalFormatting sqref="A43 D43">
    <cfRule type="cellIs" dxfId="1005" priority="234" operator="equal">
      <formula>"None"</formula>
    </cfRule>
  </conditionalFormatting>
  <conditionalFormatting sqref="D43:D50">
    <cfRule type="containsText" dxfId="1004" priority="231" operator="containsText" text="PASS">
      <formula>NOT(ISERROR(SEARCH("PASS",D43)))</formula>
    </cfRule>
    <cfRule type="containsText" dxfId="1003" priority="232" operator="containsText" text="FAIL">
      <formula>NOT(ISERROR(SEARCH("FAIL",D43)))</formula>
    </cfRule>
  </conditionalFormatting>
  <conditionalFormatting sqref="G43">
    <cfRule type="cellIs" dxfId="1002" priority="233" operator="equal">
      <formula>"None"</formula>
    </cfRule>
  </conditionalFormatting>
  <conditionalFormatting sqref="D46">
    <cfRule type="containsText" dxfId="1001" priority="222" operator="containsText" text="PASS">
      <formula>NOT(ISERROR(SEARCH("PASS",D46)))</formula>
    </cfRule>
    <cfRule type="containsText" dxfId="1000" priority="223" operator="containsText" text="FAIL">
      <formula>NOT(ISERROR(SEARCH("FAIL",D46)))</formula>
    </cfRule>
  </conditionalFormatting>
  <conditionalFormatting sqref="D43:D50">
    <cfRule type="cellIs" dxfId="999" priority="230" operator="equal">
      <formula>"None"</formula>
    </cfRule>
  </conditionalFormatting>
  <conditionalFormatting sqref="G44">
    <cfRule type="cellIs" dxfId="998" priority="229" operator="equal">
      <formula>"None"</formula>
    </cfRule>
  </conditionalFormatting>
  <conditionalFormatting sqref="G45">
    <cfRule type="cellIs" dxfId="997" priority="228" operator="equal">
      <formula>"None"</formula>
    </cfRule>
  </conditionalFormatting>
  <conditionalFormatting sqref="D47:D50">
    <cfRule type="cellIs" dxfId="996" priority="218" operator="equal">
      <formula>"None"</formula>
    </cfRule>
  </conditionalFormatting>
  <conditionalFormatting sqref="G47">
    <cfRule type="cellIs" dxfId="995" priority="217" operator="equal">
      <formula>"None"</formula>
    </cfRule>
  </conditionalFormatting>
  <conditionalFormatting sqref="D45">
    <cfRule type="containsText" dxfId="994" priority="225" operator="containsText" text="PASS">
      <formula>NOT(ISERROR(SEARCH("PASS",D45)))</formula>
    </cfRule>
    <cfRule type="containsText" dxfId="993" priority="226" operator="containsText" text="FAIL">
      <formula>NOT(ISERROR(SEARCH("FAIL",D45)))</formula>
    </cfRule>
  </conditionalFormatting>
  <conditionalFormatting sqref="D45">
    <cfRule type="cellIs" dxfId="992" priority="224" operator="equal">
      <formula>"None"</formula>
    </cfRule>
  </conditionalFormatting>
  <conditionalFormatting sqref="G49">
    <cfRule type="cellIs" dxfId="991" priority="215" operator="equal">
      <formula>"None"</formula>
    </cfRule>
  </conditionalFormatting>
  <conditionalFormatting sqref="G48">
    <cfRule type="cellIs" dxfId="990" priority="216" operator="equal">
      <formula>"None"</formula>
    </cfRule>
  </conditionalFormatting>
  <conditionalFormatting sqref="D46">
    <cfRule type="cellIs" dxfId="989" priority="221" operator="equal">
      <formula>"None"</formula>
    </cfRule>
  </conditionalFormatting>
  <conditionalFormatting sqref="D47:D50">
    <cfRule type="containsText" dxfId="988" priority="219" operator="containsText" text="PASS">
      <formula>NOT(ISERROR(SEARCH("PASS",D47)))</formula>
    </cfRule>
    <cfRule type="containsText" dxfId="987" priority="220" operator="containsText" text="FAIL">
      <formula>NOT(ISERROR(SEARCH("FAIL",D47)))</formula>
    </cfRule>
  </conditionalFormatting>
  <conditionalFormatting sqref="G45:G49">
    <cfRule type="cellIs" dxfId="986" priority="227" operator="equal">
      <formula>"None"</formula>
    </cfRule>
  </conditionalFormatting>
  <conditionalFormatting sqref="G50">
    <cfRule type="cellIs" dxfId="985" priority="214" operator="equal">
      <formula>"None"</formula>
    </cfRule>
  </conditionalFormatting>
  <conditionalFormatting sqref="F43">
    <cfRule type="containsText" dxfId="984" priority="212" operator="containsText" text="PASS">
      <formula>NOT(ISERROR(SEARCH("PASS",F43)))</formula>
    </cfRule>
    <cfRule type="containsText" dxfId="983" priority="213" operator="containsText" text="FAIL">
      <formula>NOT(ISERROR(SEARCH("FAIL",F43)))</formula>
    </cfRule>
  </conditionalFormatting>
  <conditionalFormatting sqref="F43">
    <cfRule type="cellIs" dxfId="982" priority="211" operator="equal">
      <formula>"None"</formula>
    </cfRule>
  </conditionalFormatting>
  <conditionalFormatting sqref="F43:F50">
    <cfRule type="containsText" dxfId="981" priority="209" operator="containsText" text="PASS">
      <formula>NOT(ISERROR(SEARCH("PASS",F43)))</formula>
    </cfRule>
    <cfRule type="containsText" dxfId="980" priority="210" operator="containsText" text="FAIL">
      <formula>NOT(ISERROR(SEARCH("FAIL",F43)))</formula>
    </cfRule>
  </conditionalFormatting>
  <conditionalFormatting sqref="F46">
    <cfRule type="containsText" dxfId="979" priority="203" operator="containsText" text="PASS">
      <formula>NOT(ISERROR(SEARCH("PASS",F46)))</formula>
    </cfRule>
    <cfRule type="containsText" dxfId="978" priority="204" operator="containsText" text="FAIL">
      <formula>NOT(ISERROR(SEARCH("FAIL",F46)))</formula>
    </cfRule>
  </conditionalFormatting>
  <conditionalFormatting sqref="F43:F50">
    <cfRule type="cellIs" dxfId="977" priority="208" operator="equal">
      <formula>"None"</formula>
    </cfRule>
  </conditionalFormatting>
  <conditionalFormatting sqref="F47:F50">
    <cfRule type="cellIs" dxfId="976" priority="199" operator="equal">
      <formula>"None"</formula>
    </cfRule>
  </conditionalFormatting>
  <conditionalFormatting sqref="F45">
    <cfRule type="containsText" dxfId="975" priority="206" operator="containsText" text="PASS">
      <formula>NOT(ISERROR(SEARCH("PASS",F45)))</formula>
    </cfRule>
    <cfRule type="containsText" dxfId="974" priority="207" operator="containsText" text="FAIL">
      <formula>NOT(ISERROR(SEARCH("FAIL",F45)))</formula>
    </cfRule>
  </conditionalFormatting>
  <conditionalFormatting sqref="F45">
    <cfRule type="cellIs" dxfId="973" priority="205" operator="equal">
      <formula>"None"</formula>
    </cfRule>
  </conditionalFormatting>
  <conditionalFormatting sqref="F46">
    <cfRule type="cellIs" dxfId="972" priority="202" operator="equal">
      <formula>"None"</formula>
    </cfRule>
  </conditionalFormatting>
  <conditionalFormatting sqref="F47:F50">
    <cfRule type="containsText" dxfId="971" priority="200" operator="containsText" text="PASS">
      <formula>NOT(ISERROR(SEARCH("PASS",F47)))</formula>
    </cfRule>
    <cfRule type="containsText" dxfId="970" priority="201" operator="containsText" text="FAIL">
      <formula>NOT(ISERROR(SEARCH("FAIL",F47)))</formula>
    </cfRule>
  </conditionalFormatting>
  <conditionalFormatting sqref="H43">
    <cfRule type="containsText" dxfId="969" priority="197" operator="containsText" text="PASS">
      <formula>NOT(ISERROR(SEARCH("PASS",H43)))</formula>
    </cfRule>
    <cfRule type="containsText" dxfId="968" priority="198" operator="containsText" text="FAIL">
      <formula>NOT(ISERROR(SEARCH("FAIL",H43)))</formula>
    </cfRule>
  </conditionalFormatting>
  <conditionalFormatting sqref="H43">
    <cfRule type="cellIs" dxfId="967" priority="196" operator="equal">
      <formula>"None"</formula>
    </cfRule>
  </conditionalFormatting>
  <conditionalFormatting sqref="H43:H50">
    <cfRule type="containsText" dxfId="966" priority="194" operator="containsText" text="PASS">
      <formula>NOT(ISERROR(SEARCH("PASS",H43)))</formula>
    </cfRule>
    <cfRule type="containsText" dxfId="965" priority="195" operator="containsText" text="FAIL">
      <formula>NOT(ISERROR(SEARCH("FAIL",H43)))</formula>
    </cfRule>
  </conditionalFormatting>
  <conditionalFormatting sqref="H46">
    <cfRule type="containsText" dxfId="964" priority="188" operator="containsText" text="PASS">
      <formula>NOT(ISERROR(SEARCH("PASS",H46)))</formula>
    </cfRule>
    <cfRule type="containsText" dxfId="963" priority="189" operator="containsText" text="FAIL">
      <formula>NOT(ISERROR(SEARCH("FAIL",H46)))</formula>
    </cfRule>
  </conditionalFormatting>
  <conditionalFormatting sqref="H43:H50">
    <cfRule type="cellIs" dxfId="962" priority="193" operator="equal">
      <formula>"None"</formula>
    </cfRule>
  </conditionalFormatting>
  <conditionalFormatting sqref="H47:H50">
    <cfRule type="cellIs" dxfId="961" priority="184" operator="equal">
      <formula>"None"</formula>
    </cfRule>
  </conditionalFormatting>
  <conditionalFormatting sqref="H45">
    <cfRule type="containsText" dxfId="960" priority="191" operator="containsText" text="PASS">
      <formula>NOT(ISERROR(SEARCH("PASS",H45)))</formula>
    </cfRule>
    <cfRule type="containsText" dxfId="959" priority="192" operator="containsText" text="FAIL">
      <formula>NOT(ISERROR(SEARCH("FAIL",H45)))</formula>
    </cfRule>
  </conditionalFormatting>
  <conditionalFormatting sqref="H45">
    <cfRule type="cellIs" dxfId="958" priority="190" operator="equal">
      <formula>"None"</formula>
    </cfRule>
  </conditionalFormatting>
  <conditionalFormatting sqref="H46">
    <cfRule type="cellIs" dxfId="957" priority="187" operator="equal">
      <formula>"None"</formula>
    </cfRule>
  </conditionalFormatting>
  <conditionalFormatting sqref="H47:H50">
    <cfRule type="containsText" dxfId="956" priority="185" operator="containsText" text="PASS">
      <formula>NOT(ISERROR(SEARCH("PASS",H47)))</formula>
    </cfRule>
    <cfRule type="containsText" dxfId="955" priority="186" operator="containsText" text="FAIL">
      <formula>NOT(ISERROR(SEARCH("FAIL",H47)))</formula>
    </cfRule>
  </conditionalFormatting>
  <conditionalFormatting sqref="I43:I50">
    <cfRule type="cellIs" dxfId="954" priority="183" operator="equal">
      <formula>"None"</formula>
    </cfRule>
  </conditionalFormatting>
  <conditionalFormatting sqref="I43:I50">
    <cfRule type="cellIs" dxfId="953" priority="182" operator="equal">
      <formula>"None"</formula>
    </cfRule>
  </conditionalFormatting>
  <conditionalFormatting sqref="A51">
    <cfRule type="containsText" dxfId="952" priority="180" operator="containsText" text="PASS">
      <formula>NOT(ISERROR(SEARCH("PASS",A51)))</formula>
    </cfRule>
    <cfRule type="containsText" dxfId="951" priority="181" operator="containsText" text="FAIL">
      <formula>NOT(ISERROR(SEARCH("FAIL",A51)))</formula>
    </cfRule>
  </conditionalFormatting>
  <conditionalFormatting sqref="D51">
    <cfRule type="containsText" dxfId="950" priority="178" operator="containsText" text="PASS">
      <formula>NOT(ISERROR(SEARCH("PASS",D51)))</formula>
    </cfRule>
    <cfRule type="containsText" dxfId="949" priority="179" operator="containsText" text="FAIL">
      <formula>NOT(ISERROR(SEARCH("FAIL",D51)))</formula>
    </cfRule>
  </conditionalFormatting>
  <conditionalFormatting sqref="A51 D51">
    <cfRule type="cellIs" dxfId="948" priority="177" operator="equal">
      <formula>"None"</formula>
    </cfRule>
  </conditionalFormatting>
  <conditionalFormatting sqref="D51:D58">
    <cfRule type="containsText" dxfId="947" priority="174" operator="containsText" text="PASS">
      <formula>NOT(ISERROR(SEARCH("PASS",D51)))</formula>
    </cfRule>
    <cfRule type="containsText" dxfId="946" priority="175" operator="containsText" text="FAIL">
      <formula>NOT(ISERROR(SEARCH("FAIL",D51)))</formula>
    </cfRule>
  </conditionalFormatting>
  <conditionalFormatting sqref="G51">
    <cfRule type="cellIs" dxfId="945" priority="176" operator="equal">
      <formula>"None"</formula>
    </cfRule>
  </conditionalFormatting>
  <conditionalFormatting sqref="D54">
    <cfRule type="containsText" dxfId="944" priority="165" operator="containsText" text="PASS">
      <formula>NOT(ISERROR(SEARCH("PASS",D54)))</formula>
    </cfRule>
    <cfRule type="containsText" dxfId="943" priority="166" operator="containsText" text="FAIL">
      <formula>NOT(ISERROR(SEARCH("FAIL",D54)))</formula>
    </cfRule>
  </conditionalFormatting>
  <conditionalFormatting sqref="D51:D58">
    <cfRule type="cellIs" dxfId="942" priority="173" operator="equal">
      <formula>"None"</formula>
    </cfRule>
  </conditionalFormatting>
  <conditionalFormatting sqref="G52">
    <cfRule type="cellIs" dxfId="941" priority="172" operator="equal">
      <formula>"None"</formula>
    </cfRule>
  </conditionalFormatting>
  <conditionalFormatting sqref="G53">
    <cfRule type="cellIs" dxfId="940" priority="171" operator="equal">
      <formula>"None"</formula>
    </cfRule>
  </conditionalFormatting>
  <conditionalFormatting sqref="D55:D58">
    <cfRule type="cellIs" dxfId="939" priority="161" operator="equal">
      <formula>"None"</formula>
    </cfRule>
  </conditionalFormatting>
  <conditionalFormatting sqref="G55">
    <cfRule type="cellIs" dxfId="938" priority="160" operator="equal">
      <formula>"None"</formula>
    </cfRule>
  </conditionalFormatting>
  <conditionalFormatting sqref="D53">
    <cfRule type="containsText" dxfId="937" priority="168" operator="containsText" text="PASS">
      <formula>NOT(ISERROR(SEARCH("PASS",D53)))</formula>
    </cfRule>
    <cfRule type="containsText" dxfId="936" priority="169" operator="containsText" text="FAIL">
      <formula>NOT(ISERROR(SEARCH("FAIL",D53)))</formula>
    </cfRule>
  </conditionalFormatting>
  <conditionalFormatting sqref="D53">
    <cfRule type="cellIs" dxfId="935" priority="167" operator="equal">
      <formula>"None"</formula>
    </cfRule>
  </conditionalFormatting>
  <conditionalFormatting sqref="G57">
    <cfRule type="cellIs" dxfId="934" priority="158" operator="equal">
      <formula>"None"</formula>
    </cfRule>
  </conditionalFormatting>
  <conditionalFormatting sqref="G56">
    <cfRule type="cellIs" dxfId="933" priority="159" operator="equal">
      <formula>"None"</formula>
    </cfRule>
  </conditionalFormatting>
  <conditionalFormatting sqref="D54">
    <cfRule type="cellIs" dxfId="932" priority="164" operator="equal">
      <formula>"None"</formula>
    </cfRule>
  </conditionalFormatting>
  <conditionalFormatting sqref="D55:D58">
    <cfRule type="containsText" dxfId="931" priority="162" operator="containsText" text="PASS">
      <formula>NOT(ISERROR(SEARCH("PASS",D55)))</formula>
    </cfRule>
    <cfRule type="containsText" dxfId="930" priority="163" operator="containsText" text="FAIL">
      <formula>NOT(ISERROR(SEARCH("FAIL",D55)))</formula>
    </cfRule>
  </conditionalFormatting>
  <conditionalFormatting sqref="G53:G57">
    <cfRule type="cellIs" dxfId="929" priority="170" operator="equal">
      <formula>"None"</formula>
    </cfRule>
  </conditionalFormatting>
  <conditionalFormatting sqref="G58">
    <cfRule type="cellIs" dxfId="928" priority="157" operator="equal">
      <formula>"None"</formula>
    </cfRule>
  </conditionalFormatting>
  <conditionalFormatting sqref="F51">
    <cfRule type="containsText" dxfId="927" priority="155" operator="containsText" text="PASS">
      <formula>NOT(ISERROR(SEARCH("PASS",F51)))</formula>
    </cfRule>
    <cfRule type="containsText" dxfId="926" priority="156" operator="containsText" text="FAIL">
      <formula>NOT(ISERROR(SEARCH("FAIL",F51)))</formula>
    </cfRule>
  </conditionalFormatting>
  <conditionalFormatting sqref="F51">
    <cfRule type="cellIs" dxfId="925" priority="154" operator="equal">
      <formula>"None"</formula>
    </cfRule>
  </conditionalFormatting>
  <conditionalFormatting sqref="F51:F58">
    <cfRule type="containsText" dxfId="924" priority="152" operator="containsText" text="PASS">
      <formula>NOT(ISERROR(SEARCH("PASS",F51)))</formula>
    </cfRule>
    <cfRule type="containsText" dxfId="923" priority="153" operator="containsText" text="FAIL">
      <formula>NOT(ISERROR(SEARCH("FAIL",F51)))</formula>
    </cfRule>
  </conditionalFormatting>
  <conditionalFormatting sqref="F54">
    <cfRule type="containsText" dxfId="922" priority="146" operator="containsText" text="PASS">
      <formula>NOT(ISERROR(SEARCH("PASS",F54)))</formula>
    </cfRule>
    <cfRule type="containsText" dxfId="921" priority="147" operator="containsText" text="FAIL">
      <formula>NOT(ISERROR(SEARCH("FAIL",F54)))</formula>
    </cfRule>
  </conditionalFormatting>
  <conditionalFormatting sqref="F51:F58">
    <cfRule type="cellIs" dxfId="920" priority="151" operator="equal">
      <formula>"None"</formula>
    </cfRule>
  </conditionalFormatting>
  <conditionalFormatting sqref="F55:F58">
    <cfRule type="cellIs" dxfId="919" priority="142" operator="equal">
      <formula>"None"</formula>
    </cfRule>
  </conditionalFormatting>
  <conditionalFormatting sqref="F53">
    <cfRule type="containsText" dxfId="918" priority="149" operator="containsText" text="PASS">
      <formula>NOT(ISERROR(SEARCH("PASS",F53)))</formula>
    </cfRule>
    <cfRule type="containsText" dxfId="917" priority="150" operator="containsText" text="FAIL">
      <formula>NOT(ISERROR(SEARCH("FAIL",F53)))</formula>
    </cfRule>
  </conditionalFormatting>
  <conditionalFormatting sqref="F53">
    <cfRule type="cellIs" dxfId="916" priority="148" operator="equal">
      <formula>"None"</formula>
    </cfRule>
  </conditionalFormatting>
  <conditionalFormatting sqref="F54">
    <cfRule type="cellIs" dxfId="915" priority="145" operator="equal">
      <formula>"None"</formula>
    </cfRule>
  </conditionalFormatting>
  <conditionalFormatting sqref="F55:F58">
    <cfRule type="containsText" dxfId="914" priority="143" operator="containsText" text="PASS">
      <formula>NOT(ISERROR(SEARCH("PASS",F55)))</formula>
    </cfRule>
    <cfRule type="containsText" dxfId="913" priority="144" operator="containsText" text="FAIL">
      <formula>NOT(ISERROR(SEARCH("FAIL",F55)))</formula>
    </cfRule>
  </conditionalFormatting>
  <conditionalFormatting sqref="H51">
    <cfRule type="containsText" dxfId="912" priority="140" operator="containsText" text="PASS">
      <formula>NOT(ISERROR(SEARCH("PASS",H51)))</formula>
    </cfRule>
    <cfRule type="containsText" dxfId="911" priority="141" operator="containsText" text="FAIL">
      <formula>NOT(ISERROR(SEARCH("FAIL",H51)))</formula>
    </cfRule>
  </conditionalFormatting>
  <conditionalFormatting sqref="H51">
    <cfRule type="cellIs" dxfId="910" priority="139" operator="equal">
      <formula>"None"</formula>
    </cfRule>
  </conditionalFormatting>
  <conditionalFormatting sqref="H51:H58">
    <cfRule type="containsText" dxfId="909" priority="137" operator="containsText" text="PASS">
      <formula>NOT(ISERROR(SEARCH("PASS",H51)))</formula>
    </cfRule>
    <cfRule type="containsText" dxfId="908" priority="138" operator="containsText" text="FAIL">
      <formula>NOT(ISERROR(SEARCH("FAIL",H51)))</formula>
    </cfRule>
  </conditionalFormatting>
  <conditionalFormatting sqref="H54">
    <cfRule type="containsText" dxfId="907" priority="131" operator="containsText" text="PASS">
      <formula>NOT(ISERROR(SEARCH("PASS",H54)))</formula>
    </cfRule>
    <cfRule type="containsText" dxfId="906" priority="132" operator="containsText" text="FAIL">
      <formula>NOT(ISERROR(SEARCH("FAIL",H54)))</formula>
    </cfRule>
  </conditionalFormatting>
  <conditionalFormatting sqref="H51:H58">
    <cfRule type="cellIs" dxfId="905" priority="136" operator="equal">
      <formula>"None"</formula>
    </cfRule>
  </conditionalFormatting>
  <conditionalFormatting sqref="H55:H58">
    <cfRule type="cellIs" dxfId="904" priority="127" operator="equal">
      <formula>"None"</formula>
    </cfRule>
  </conditionalFormatting>
  <conditionalFormatting sqref="H53">
    <cfRule type="containsText" dxfId="903" priority="134" operator="containsText" text="PASS">
      <formula>NOT(ISERROR(SEARCH("PASS",H53)))</formula>
    </cfRule>
    <cfRule type="containsText" dxfId="902" priority="135" operator="containsText" text="FAIL">
      <formula>NOT(ISERROR(SEARCH("FAIL",H53)))</formula>
    </cfRule>
  </conditionalFormatting>
  <conditionalFormatting sqref="H53">
    <cfRule type="cellIs" dxfId="901" priority="133" operator="equal">
      <formula>"None"</formula>
    </cfRule>
  </conditionalFormatting>
  <conditionalFormatting sqref="H54">
    <cfRule type="cellIs" dxfId="900" priority="130" operator="equal">
      <formula>"None"</formula>
    </cfRule>
  </conditionalFormatting>
  <conditionalFormatting sqref="H55:H58">
    <cfRule type="containsText" dxfId="899" priority="128" operator="containsText" text="PASS">
      <formula>NOT(ISERROR(SEARCH("PASS",H55)))</formula>
    </cfRule>
    <cfRule type="containsText" dxfId="898" priority="129" operator="containsText" text="FAIL">
      <formula>NOT(ISERROR(SEARCH("FAIL",H55)))</formula>
    </cfRule>
  </conditionalFormatting>
  <conditionalFormatting sqref="I51:I58">
    <cfRule type="cellIs" dxfId="897" priority="126" operator="equal">
      <formula>"None"</formula>
    </cfRule>
  </conditionalFormatting>
  <conditionalFormatting sqref="I51:I58">
    <cfRule type="cellIs" dxfId="896" priority="125" operator="equal">
      <formula>"None"</formula>
    </cfRule>
  </conditionalFormatting>
  <conditionalFormatting sqref="A59">
    <cfRule type="containsText" dxfId="895" priority="123" operator="containsText" text="PASS">
      <formula>NOT(ISERROR(SEARCH("PASS",A59)))</formula>
    </cfRule>
    <cfRule type="containsText" dxfId="894" priority="124" operator="containsText" text="FAIL">
      <formula>NOT(ISERROR(SEARCH("FAIL",A59)))</formula>
    </cfRule>
  </conditionalFormatting>
  <conditionalFormatting sqref="D59">
    <cfRule type="containsText" dxfId="893" priority="121" operator="containsText" text="PASS">
      <formula>NOT(ISERROR(SEARCH("PASS",D59)))</formula>
    </cfRule>
    <cfRule type="containsText" dxfId="892" priority="122" operator="containsText" text="FAIL">
      <formula>NOT(ISERROR(SEARCH("FAIL",D59)))</formula>
    </cfRule>
  </conditionalFormatting>
  <conditionalFormatting sqref="A59 D59">
    <cfRule type="cellIs" dxfId="891" priority="120" operator="equal">
      <formula>"None"</formula>
    </cfRule>
  </conditionalFormatting>
  <conditionalFormatting sqref="D59:D66">
    <cfRule type="containsText" dxfId="890" priority="117" operator="containsText" text="PASS">
      <formula>NOT(ISERROR(SEARCH("PASS",D59)))</formula>
    </cfRule>
    <cfRule type="containsText" dxfId="889" priority="118" operator="containsText" text="FAIL">
      <formula>NOT(ISERROR(SEARCH("FAIL",D59)))</formula>
    </cfRule>
  </conditionalFormatting>
  <conditionalFormatting sqref="G59">
    <cfRule type="cellIs" dxfId="888" priority="119" operator="equal">
      <formula>"None"</formula>
    </cfRule>
  </conditionalFormatting>
  <conditionalFormatting sqref="D62">
    <cfRule type="containsText" dxfId="887" priority="108" operator="containsText" text="PASS">
      <formula>NOT(ISERROR(SEARCH("PASS",D62)))</formula>
    </cfRule>
    <cfRule type="containsText" dxfId="886" priority="109" operator="containsText" text="FAIL">
      <formula>NOT(ISERROR(SEARCH("FAIL",D62)))</formula>
    </cfRule>
  </conditionalFormatting>
  <conditionalFormatting sqref="D59:D66">
    <cfRule type="cellIs" dxfId="885" priority="116" operator="equal">
      <formula>"None"</formula>
    </cfRule>
  </conditionalFormatting>
  <conditionalFormatting sqref="G60">
    <cfRule type="cellIs" dxfId="884" priority="115" operator="equal">
      <formula>"None"</formula>
    </cfRule>
  </conditionalFormatting>
  <conditionalFormatting sqref="G61">
    <cfRule type="cellIs" dxfId="883" priority="114" operator="equal">
      <formula>"None"</formula>
    </cfRule>
  </conditionalFormatting>
  <conditionalFormatting sqref="D63:D66">
    <cfRule type="cellIs" dxfId="882" priority="104" operator="equal">
      <formula>"None"</formula>
    </cfRule>
  </conditionalFormatting>
  <conditionalFormatting sqref="G63">
    <cfRule type="cellIs" dxfId="881" priority="103" operator="equal">
      <formula>"None"</formula>
    </cfRule>
  </conditionalFormatting>
  <conditionalFormatting sqref="D61">
    <cfRule type="containsText" dxfId="880" priority="111" operator="containsText" text="PASS">
      <formula>NOT(ISERROR(SEARCH("PASS",D61)))</formula>
    </cfRule>
    <cfRule type="containsText" dxfId="879" priority="112" operator="containsText" text="FAIL">
      <formula>NOT(ISERROR(SEARCH("FAIL",D61)))</formula>
    </cfRule>
  </conditionalFormatting>
  <conditionalFormatting sqref="D61">
    <cfRule type="cellIs" dxfId="878" priority="110" operator="equal">
      <formula>"None"</formula>
    </cfRule>
  </conditionalFormatting>
  <conditionalFormatting sqref="G65">
    <cfRule type="cellIs" dxfId="877" priority="101" operator="equal">
      <formula>"None"</formula>
    </cfRule>
  </conditionalFormatting>
  <conditionalFormatting sqref="G64">
    <cfRule type="cellIs" dxfId="876" priority="102" operator="equal">
      <formula>"None"</formula>
    </cfRule>
  </conditionalFormatting>
  <conditionalFormatting sqref="D62">
    <cfRule type="cellIs" dxfId="875" priority="107" operator="equal">
      <formula>"None"</formula>
    </cfRule>
  </conditionalFormatting>
  <conditionalFormatting sqref="D63:D66">
    <cfRule type="containsText" dxfId="874" priority="105" operator="containsText" text="PASS">
      <formula>NOT(ISERROR(SEARCH("PASS",D63)))</formula>
    </cfRule>
    <cfRule type="containsText" dxfId="873" priority="106" operator="containsText" text="FAIL">
      <formula>NOT(ISERROR(SEARCH("FAIL",D63)))</formula>
    </cfRule>
  </conditionalFormatting>
  <conditionalFormatting sqref="G61:G65">
    <cfRule type="cellIs" dxfId="872" priority="113" operator="equal">
      <formula>"None"</formula>
    </cfRule>
  </conditionalFormatting>
  <conditionalFormatting sqref="G66">
    <cfRule type="cellIs" dxfId="871" priority="100" operator="equal">
      <formula>"None"</formula>
    </cfRule>
  </conditionalFormatting>
  <conditionalFormatting sqref="F59">
    <cfRule type="containsText" dxfId="870" priority="98" operator="containsText" text="PASS">
      <formula>NOT(ISERROR(SEARCH("PASS",F59)))</formula>
    </cfRule>
    <cfRule type="containsText" dxfId="869" priority="99" operator="containsText" text="FAIL">
      <formula>NOT(ISERROR(SEARCH("FAIL",F59)))</formula>
    </cfRule>
  </conditionalFormatting>
  <conditionalFormatting sqref="F59">
    <cfRule type="cellIs" dxfId="868" priority="97" operator="equal">
      <formula>"None"</formula>
    </cfRule>
  </conditionalFormatting>
  <conditionalFormatting sqref="F59:F66">
    <cfRule type="containsText" dxfId="867" priority="95" operator="containsText" text="PASS">
      <formula>NOT(ISERROR(SEARCH("PASS",F59)))</formula>
    </cfRule>
    <cfRule type="containsText" dxfId="866" priority="96" operator="containsText" text="FAIL">
      <formula>NOT(ISERROR(SEARCH("FAIL",F59)))</formula>
    </cfRule>
  </conditionalFormatting>
  <conditionalFormatting sqref="F62">
    <cfRule type="containsText" dxfId="865" priority="89" operator="containsText" text="PASS">
      <formula>NOT(ISERROR(SEARCH("PASS",F62)))</formula>
    </cfRule>
    <cfRule type="containsText" dxfId="864" priority="90" operator="containsText" text="FAIL">
      <formula>NOT(ISERROR(SEARCH("FAIL",F62)))</formula>
    </cfRule>
  </conditionalFormatting>
  <conditionalFormatting sqref="F59:F66">
    <cfRule type="cellIs" dxfId="863" priority="94" operator="equal">
      <formula>"None"</formula>
    </cfRule>
  </conditionalFormatting>
  <conditionalFormatting sqref="F63:F66">
    <cfRule type="cellIs" dxfId="862" priority="85" operator="equal">
      <formula>"None"</formula>
    </cfRule>
  </conditionalFormatting>
  <conditionalFormatting sqref="F61">
    <cfRule type="containsText" dxfId="861" priority="92" operator="containsText" text="PASS">
      <formula>NOT(ISERROR(SEARCH("PASS",F61)))</formula>
    </cfRule>
    <cfRule type="containsText" dxfId="860" priority="93" operator="containsText" text="FAIL">
      <formula>NOT(ISERROR(SEARCH("FAIL",F61)))</formula>
    </cfRule>
  </conditionalFormatting>
  <conditionalFormatting sqref="F61">
    <cfRule type="cellIs" dxfId="859" priority="91" operator="equal">
      <formula>"None"</formula>
    </cfRule>
  </conditionalFormatting>
  <conditionalFormatting sqref="F62">
    <cfRule type="cellIs" dxfId="858" priority="88" operator="equal">
      <formula>"None"</formula>
    </cfRule>
  </conditionalFormatting>
  <conditionalFormatting sqref="F63:F66">
    <cfRule type="containsText" dxfId="857" priority="86" operator="containsText" text="PASS">
      <formula>NOT(ISERROR(SEARCH("PASS",F63)))</formula>
    </cfRule>
    <cfRule type="containsText" dxfId="856" priority="87" operator="containsText" text="FAIL">
      <formula>NOT(ISERROR(SEARCH("FAIL",F63)))</formula>
    </cfRule>
  </conditionalFormatting>
  <conditionalFormatting sqref="H59">
    <cfRule type="containsText" dxfId="855" priority="83" operator="containsText" text="PASS">
      <formula>NOT(ISERROR(SEARCH("PASS",H59)))</formula>
    </cfRule>
    <cfRule type="containsText" dxfId="854" priority="84" operator="containsText" text="FAIL">
      <formula>NOT(ISERROR(SEARCH("FAIL",H59)))</formula>
    </cfRule>
  </conditionalFormatting>
  <conditionalFormatting sqref="H59">
    <cfRule type="cellIs" dxfId="853" priority="82" operator="equal">
      <formula>"None"</formula>
    </cfRule>
  </conditionalFormatting>
  <conditionalFormatting sqref="H59:H66">
    <cfRule type="containsText" dxfId="852" priority="80" operator="containsText" text="PASS">
      <formula>NOT(ISERROR(SEARCH("PASS",H59)))</formula>
    </cfRule>
    <cfRule type="containsText" dxfId="851" priority="81" operator="containsText" text="FAIL">
      <formula>NOT(ISERROR(SEARCH("FAIL",H59)))</formula>
    </cfRule>
  </conditionalFormatting>
  <conditionalFormatting sqref="H62">
    <cfRule type="containsText" dxfId="850" priority="74" operator="containsText" text="PASS">
      <formula>NOT(ISERROR(SEARCH("PASS",H62)))</formula>
    </cfRule>
    <cfRule type="containsText" dxfId="849" priority="75" operator="containsText" text="FAIL">
      <formula>NOT(ISERROR(SEARCH("FAIL",H62)))</formula>
    </cfRule>
  </conditionalFormatting>
  <conditionalFormatting sqref="H59:H66">
    <cfRule type="cellIs" dxfId="848" priority="79" operator="equal">
      <formula>"None"</formula>
    </cfRule>
  </conditionalFormatting>
  <conditionalFormatting sqref="H63:H66">
    <cfRule type="cellIs" dxfId="847" priority="70" operator="equal">
      <formula>"None"</formula>
    </cfRule>
  </conditionalFormatting>
  <conditionalFormatting sqref="H61">
    <cfRule type="containsText" dxfId="846" priority="77" operator="containsText" text="PASS">
      <formula>NOT(ISERROR(SEARCH("PASS",H61)))</formula>
    </cfRule>
    <cfRule type="containsText" dxfId="845" priority="78" operator="containsText" text="FAIL">
      <formula>NOT(ISERROR(SEARCH("FAIL",H61)))</formula>
    </cfRule>
  </conditionalFormatting>
  <conditionalFormatting sqref="H61">
    <cfRule type="cellIs" dxfId="844" priority="76" operator="equal">
      <formula>"None"</formula>
    </cfRule>
  </conditionalFormatting>
  <conditionalFormatting sqref="H62">
    <cfRule type="cellIs" dxfId="843" priority="73" operator="equal">
      <formula>"None"</formula>
    </cfRule>
  </conditionalFormatting>
  <conditionalFormatting sqref="H63:H66">
    <cfRule type="containsText" dxfId="842" priority="71" operator="containsText" text="PASS">
      <formula>NOT(ISERROR(SEARCH("PASS",H63)))</formula>
    </cfRule>
    <cfRule type="containsText" dxfId="841" priority="72" operator="containsText" text="FAIL">
      <formula>NOT(ISERROR(SEARCH("FAIL",H63)))</formula>
    </cfRule>
  </conditionalFormatting>
  <conditionalFormatting sqref="I59:I66">
    <cfRule type="cellIs" dxfId="840" priority="69" operator="equal">
      <formula>"None"</formula>
    </cfRule>
  </conditionalFormatting>
  <conditionalFormatting sqref="I59:I66">
    <cfRule type="cellIs" dxfId="839" priority="68" operator="equal">
      <formula>"None"</formula>
    </cfRule>
  </conditionalFormatting>
  <conditionalFormatting sqref="A67">
    <cfRule type="containsText" dxfId="838" priority="66" operator="containsText" text="PASS">
      <formula>NOT(ISERROR(SEARCH("PASS",A67)))</formula>
    </cfRule>
    <cfRule type="containsText" dxfId="837" priority="67" operator="containsText" text="FAIL">
      <formula>NOT(ISERROR(SEARCH("FAIL",A67)))</formula>
    </cfRule>
  </conditionalFormatting>
  <conditionalFormatting sqref="D67">
    <cfRule type="containsText" dxfId="836" priority="64" operator="containsText" text="PASS">
      <formula>NOT(ISERROR(SEARCH("PASS",D67)))</formula>
    </cfRule>
    <cfRule type="containsText" dxfId="835" priority="65" operator="containsText" text="FAIL">
      <formula>NOT(ISERROR(SEARCH("FAIL",D67)))</formula>
    </cfRule>
  </conditionalFormatting>
  <conditionalFormatting sqref="A67 D67">
    <cfRule type="cellIs" dxfId="834" priority="63" operator="equal">
      <formula>"None"</formula>
    </cfRule>
  </conditionalFormatting>
  <conditionalFormatting sqref="D67:D74">
    <cfRule type="containsText" dxfId="833" priority="60" operator="containsText" text="PASS">
      <formula>NOT(ISERROR(SEARCH("PASS",D67)))</formula>
    </cfRule>
    <cfRule type="containsText" dxfId="832" priority="61" operator="containsText" text="FAIL">
      <formula>NOT(ISERROR(SEARCH("FAIL",D67)))</formula>
    </cfRule>
  </conditionalFormatting>
  <conditionalFormatting sqref="G67">
    <cfRule type="cellIs" dxfId="831" priority="62" operator="equal">
      <formula>"None"</formula>
    </cfRule>
  </conditionalFormatting>
  <conditionalFormatting sqref="D70">
    <cfRule type="containsText" dxfId="830" priority="51" operator="containsText" text="PASS">
      <formula>NOT(ISERROR(SEARCH("PASS",D70)))</formula>
    </cfRule>
    <cfRule type="containsText" dxfId="829" priority="52" operator="containsText" text="FAIL">
      <formula>NOT(ISERROR(SEARCH("FAIL",D70)))</formula>
    </cfRule>
  </conditionalFormatting>
  <conditionalFormatting sqref="D67:D74">
    <cfRule type="cellIs" dxfId="828" priority="59" operator="equal">
      <formula>"None"</formula>
    </cfRule>
  </conditionalFormatting>
  <conditionalFormatting sqref="G68">
    <cfRule type="cellIs" dxfId="827" priority="58" operator="equal">
      <formula>"None"</formula>
    </cfRule>
  </conditionalFormatting>
  <conditionalFormatting sqref="G69">
    <cfRule type="cellIs" dxfId="826" priority="57" operator="equal">
      <formula>"None"</formula>
    </cfRule>
  </conditionalFormatting>
  <conditionalFormatting sqref="D71:D74">
    <cfRule type="cellIs" dxfId="825" priority="47" operator="equal">
      <formula>"None"</formula>
    </cfRule>
  </conditionalFormatting>
  <conditionalFormatting sqref="G71">
    <cfRule type="cellIs" dxfId="824" priority="46" operator="equal">
      <formula>"None"</formula>
    </cfRule>
  </conditionalFormatting>
  <conditionalFormatting sqref="D69">
    <cfRule type="containsText" dxfId="823" priority="54" operator="containsText" text="PASS">
      <formula>NOT(ISERROR(SEARCH("PASS",D69)))</formula>
    </cfRule>
    <cfRule type="containsText" dxfId="822" priority="55" operator="containsText" text="FAIL">
      <formula>NOT(ISERROR(SEARCH("FAIL",D69)))</formula>
    </cfRule>
  </conditionalFormatting>
  <conditionalFormatting sqref="D69">
    <cfRule type="cellIs" dxfId="821" priority="53" operator="equal">
      <formula>"None"</formula>
    </cfRule>
  </conditionalFormatting>
  <conditionalFormatting sqref="G73">
    <cfRule type="cellIs" dxfId="820" priority="44" operator="equal">
      <formula>"None"</formula>
    </cfRule>
  </conditionalFormatting>
  <conditionalFormatting sqref="G72">
    <cfRule type="cellIs" dxfId="819" priority="45" operator="equal">
      <formula>"None"</formula>
    </cfRule>
  </conditionalFormatting>
  <conditionalFormatting sqref="D70">
    <cfRule type="cellIs" dxfId="818" priority="50" operator="equal">
      <formula>"None"</formula>
    </cfRule>
  </conditionalFormatting>
  <conditionalFormatting sqref="D71:D74">
    <cfRule type="containsText" dxfId="817" priority="48" operator="containsText" text="PASS">
      <formula>NOT(ISERROR(SEARCH("PASS",D71)))</formula>
    </cfRule>
    <cfRule type="containsText" dxfId="816" priority="49" operator="containsText" text="FAIL">
      <formula>NOT(ISERROR(SEARCH("FAIL",D71)))</formula>
    </cfRule>
  </conditionalFormatting>
  <conditionalFormatting sqref="G69:G73">
    <cfRule type="cellIs" dxfId="815" priority="56" operator="equal">
      <formula>"None"</formula>
    </cfRule>
  </conditionalFormatting>
  <conditionalFormatting sqref="G74">
    <cfRule type="cellIs" dxfId="814" priority="43" operator="equal">
      <formula>"None"</formula>
    </cfRule>
  </conditionalFormatting>
  <conditionalFormatting sqref="F67">
    <cfRule type="containsText" dxfId="813" priority="41" operator="containsText" text="PASS">
      <formula>NOT(ISERROR(SEARCH("PASS",F67)))</formula>
    </cfRule>
    <cfRule type="containsText" dxfId="812" priority="42" operator="containsText" text="FAIL">
      <formula>NOT(ISERROR(SEARCH("FAIL",F67)))</formula>
    </cfRule>
  </conditionalFormatting>
  <conditionalFormatting sqref="F67">
    <cfRule type="cellIs" dxfId="811" priority="40" operator="equal">
      <formula>"None"</formula>
    </cfRule>
  </conditionalFormatting>
  <conditionalFormatting sqref="F67:F74">
    <cfRule type="containsText" dxfId="810" priority="38" operator="containsText" text="PASS">
      <formula>NOT(ISERROR(SEARCH("PASS",F67)))</formula>
    </cfRule>
    <cfRule type="containsText" dxfId="809" priority="39" operator="containsText" text="FAIL">
      <formula>NOT(ISERROR(SEARCH("FAIL",F67)))</formula>
    </cfRule>
  </conditionalFormatting>
  <conditionalFormatting sqref="F70">
    <cfRule type="containsText" dxfId="808" priority="32" operator="containsText" text="PASS">
      <formula>NOT(ISERROR(SEARCH("PASS",F70)))</formula>
    </cfRule>
    <cfRule type="containsText" dxfId="807" priority="33" operator="containsText" text="FAIL">
      <formula>NOT(ISERROR(SEARCH("FAIL",F70)))</formula>
    </cfRule>
  </conditionalFormatting>
  <conditionalFormatting sqref="F67:F74">
    <cfRule type="cellIs" dxfId="806" priority="37" operator="equal">
      <formula>"None"</formula>
    </cfRule>
  </conditionalFormatting>
  <conditionalFormatting sqref="F71:F74">
    <cfRule type="cellIs" dxfId="805" priority="28" operator="equal">
      <formula>"None"</formula>
    </cfRule>
  </conditionalFormatting>
  <conditionalFormatting sqref="F69">
    <cfRule type="containsText" dxfId="804" priority="35" operator="containsText" text="PASS">
      <formula>NOT(ISERROR(SEARCH("PASS",F69)))</formula>
    </cfRule>
    <cfRule type="containsText" dxfId="803" priority="36" operator="containsText" text="FAIL">
      <formula>NOT(ISERROR(SEARCH("FAIL",F69)))</formula>
    </cfRule>
  </conditionalFormatting>
  <conditionalFormatting sqref="F69">
    <cfRule type="cellIs" dxfId="802" priority="34" operator="equal">
      <formula>"None"</formula>
    </cfRule>
  </conditionalFormatting>
  <conditionalFormatting sqref="F70">
    <cfRule type="cellIs" dxfId="801" priority="31" operator="equal">
      <formula>"None"</formula>
    </cfRule>
  </conditionalFormatting>
  <conditionalFormatting sqref="F71:F74">
    <cfRule type="containsText" dxfId="800" priority="29" operator="containsText" text="PASS">
      <formula>NOT(ISERROR(SEARCH("PASS",F71)))</formula>
    </cfRule>
    <cfRule type="containsText" dxfId="799" priority="30" operator="containsText" text="FAIL">
      <formula>NOT(ISERROR(SEARCH("FAIL",F71)))</formula>
    </cfRule>
  </conditionalFormatting>
  <conditionalFormatting sqref="H67">
    <cfRule type="containsText" dxfId="798" priority="26" operator="containsText" text="PASS">
      <formula>NOT(ISERROR(SEARCH("PASS",H67)))</formula>
    </cfRule>
    <cfRule type="containsText" dxfId="797" priority="27" operator="containsText" text="FAIL">
      <formula>NOT(ISERROR(SEARCH("FAIL",H67)))</formula>
    </cfRule>
  </conditionalFormatting>
  <conditionalFormatting sqref="H67">
    <cfRule type="cellIs" dxfId="796" priority="25" operator="equal">
      <formula>"None"</formula>
    </cfRule>
  </conditionalFormatting>
  <conditionalFormatting sqref="H67:H74">
    <cfRule type="containsText" dxfId="795" priority="23" operator="containsText" text="PASS">
      <formula>NOT(ISERROR(SEARCH("PASS",H67)))</formula>
    </cfRule>
    <cfRule type="containsText" dxfId="794" priority="24" operator="containsText" text="FAIL">
      <formula>NOT(ISERROR(SEARCH("FAIL",H67)))</formula>
    </cfRule>
  </conditionalFormatting>
  <conditionalFormatting sqref="H70">
    <cfRule type="containsText" dxfId="793" priority="17" operator="containsText" text="PASS">
      <formula>NOT(ISERROR(SEARCH("PASS",H70)))</formula>
    </cfRule>
    <cfRule type="containsText" dxfId="792" priority="18" operator="containsText" text="FAIL">
      <formula>NOT(ISERROR(SEARCH("FAIL",H70)))</formula>
    </cfRule>
  </conditionalFormatting>
  <conditionalFormatting sqref="H67:H74">
    <cfRule type="cellIs" dxfId="791" priority="22" operator="equal">
      <formula>"None"</formula>
    </cfRule>
  </conditionalFormatting>
  <conditionalFormatting sqref="H71:H74">
    <cfRule type="cellIs" dxfId="790" priority="13" operator="equal">
      <formula>"None"</formula>
    </cfRule>
  </conditionalFormatting>
  <conditionalFormatting sqref="H69">
    <cfRule type="containsText" dxfId="789" priority="20" operator="containsText" text="PASS">
      <formula>NOT(ISERROR(SEARCH("PASS",H69)))</formula>
    </cfRule>
    <cfRule type="containsText" dxfId="788" priority="21" operator="containsText" text="FAIL">
      <formula>NOT(ISERROR(SEARCH("FAIL",H69)))</formula>
    </cfRule>
  </conditionalFormatting>
  <conditionalFormatting sqref="H69">
    <cfRule type="cellIs" dxfId="787" priority="19" operator="equal">
      <formula>"None"</formula>
    </cfRule>
  </conditionalFormatting>
  <conditionalFormatting sqref="H70">
    <cfRule type="cellIs" dxfId="786" priority="16" operator="equal">
      <formula>"None"</formula>
    </cfRule>
  </conditionalFormatting>
  <conditionalFormatting sqref="H71:H74">
    <cfRule type="containsText" dxfId="785" priority="14" operator="containsText" text="PASS">
      <formula>NOT(ISERROR(SEARCH("PASS",H71)))</formula>
    </cfRule>
    <cfRule type="containsText" dxfId="784" priority="15" operator="containsText" text="FAIL">
      <formula>NOT(ISERROR(SEARCH("FAIL",H71)))</formula>
    </cfRule>
  </conditionalFormatting>
  <conditionalFormatting sqref="I67:I74">
    <cfRule type="cellIs" dxfId="783" priority="12" operator="equal">
      <formula>"None"</formula>
    </cfRule>
  </conditionalFormatting>
  <conditionalFormatting sqref="I67:I74">
    <cfRule type="cellIs" dxfId="782" priority="11" operator="equal">
      <formula>"None"</formula>
    </cfRule>
  </conditionalFormatting>
  <conditionalFormatting sqref="D79">
    <cfRule type="cellIs" dxfId="781" priority="5626" stopIfTrue="1" operator="equal">
      <formula>"FAIL"</formula>
    </cfRule>
  </conditionalFormatting>
  <conditionalFormatting sqref="D79">
    <cfRule type="cellIs" dxfId="780" priority="5627" stopIfTrue="1" operator="equal">
      <formula>"PASS"</formula>
    </cfRule>
  </conditionalFormatting>
  <conditionalFormatting sqref="D79">
    <cfRule type="cellIs" dxfId="779" priority="5628" stopIfTrue="1" operator="equal">
      <formula>"None"</formula>
    </cfRule>
  </conditionalFormatting>
  <conditionalFormatting sqref="F79">
    <cfRule type="cellIs" dxfId="778" priority="5629" stopIfTrue="1" operator="equal">
      <formula>"FAIL"</formula>
    </cfRule>
  </conditionalFormatting>
  <conditionalFormatting sqref="F79">
    <cfRule type="cellIs" dxfId="777" priority="5630" stopIfTrue="1" operator="equal">
      <formula>"PASS"</formula>
    </cfRule>
  </conditionalFormatting>
  <conditionalFormatting sqref="F79">
    <cfRule type="cellIs" dxfId="776" priority="5631" stopIfTrue="1" operator="equal">
      <formula>"None"</formula>
    </cfRule>
  </conditionalFormatting>
  <conditionalFormatting sqref="H79">
    <cfRule type="cellIs" dxfId="775" priority="5632" stopIfTrue="1" operator="equal">
      <formula>"FAIL"</formula>
    </cfRule>
  </conditionalFormatting>
  <conditionalFormatting sqref="H79">
    <cfRule type="cellIs" dxfId="774" priority="5633" stopIfTrue="1" operator="equal">
      <formula>"PASS"</formula>
    </cfRule>
  </conditionalFormatting>
  <conditionalFormatting sqref="H79">
    <cfRule type="cellIs" dxfId="773" priority="5634" stopIfTrue="1" operator="equal">
      <formula>"None"</formula>
    </cfRule>
  </conditionalFormatting>
  <conditionalFormatting sqref="J74:K78 J80:K83 K79">
    <cfRule type="cellIs" dxfId="772" priority="10" operator="equal">
      <formula>"None"</formula>
    </cfRule>
  </conditionalFormatting>
  <conditionalFormatting sqref="B27">
    <cfRule type="cellIs" dxfId="771" priority="9" operator="equal">
      <formula>"None"</formula>
    </cfRule>
  </conditionalFormatting>
  <conditionalFormatting sqref="B35">
    <cfRule type="cellIs" dxfId="770" priority="8" operator="equal">
      <formula>"None"</formula>
    </cfRule>
  </conditionalFormatting>
  <conditionalFormatting sqref="B43">
    <cfRule type="cellIs" dxfId="769" priority="7" operator="equal">
      <formula>"None"</formula>
    </cfRule>
  </conditionalFormatting>
  <conditionalFormatting sqref="B51">
    <cfRule type="cellIs" dxfId="768" priority="6" operator="equal">
      <formula>"None"</formula>
    </cfRule>
  </conditionalFormatting>
  <conditionalFormatting sqref="B59">
    <cfRule type="cellIs" dxfId="767" priority="5" operator="equal">
      <formula>"None"</formula>
    </cfRule>
  </conditionalFormatting>
  <conditionalFormatting sqref="B67">
    <cfRule type="cellIs" dxfId="766" priority="4" operator="equal">
      <formula>"None"</formula>
    </cfRule>
  </conditionalFormatting>
  <conditionalFormatting sqref="J79">
    <cfRule type="cellIs" dxfId="765" priority="1" stopIfTrue="1" operator="equal">
      <formula>"FAIL"</formula>
    </cfRule>
  </conditionalFormatting>
  <conditionalFormatting sqref="J79">
    <cfRule type="cellIs" dxfId="764" priority="2" stopIfTrue="1" operator="equal">
      <formula>"PASS"</formula>
    </cfRule>
  </conditionalFormatting>
  <conditionalFormatting sqref="J79">
    <cfRule type="cellIs" dxfId="763" priority="3" stopIfTrue="1" operator="equal">
      <formula>"None"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3"/>
  <dimension ref="A1:H59"/>
  <sheetViews>
    <sheetView topLeftCell="A37" zoomScale="85" zoomScaleNormal="85" workbookViewId="0">
      <selection activeCell="E30" sqref="E30"/>
    </sheetView>
  </sheetViews>
  <sheetFormatPr defaultRowHeight="15"/>
  <cols>
    <col min="1" max="1" width="7.42578125" bestFit="1" customWidth="1"/>
    <col min="2" max="2" width="17.85546875" bestFit="1" customWidth="1"/>
    <col min="3" max="3" width="17.140625" bestFit="1" customWidth="1"/>
    <col min="4" max="4" width="9.28515625" bestFit="1" customWidth="1"/>
    <col min="5" max="5" width="16.5703125" bestFit="1" customWidth="1"/>
    <col min="6" max="6" width="9.28515625" bestFit="1" customWidth="1"/>
    <col min="7" max="7" width="16.5703125" bestFit="1" customWidth="1"/>
    <col min="8" max="8" width="10.5703125" customWidth="1"/>
    <col min="19" max="19" width="12.85546875" customWidth="1"/>
  </cols>
  <sheetData>
    <row r="1" spans="1:7">
      <c r="A1" s="40"/>
      <c r="B1" s="40"/>
      <c r="C1" s="40"/>
      <c r="D1" s="40"/>
      <c r="E1" s="40"/>
      <c r="F1" s="40"/>
      <c r="G1" s="40"/>
    </row>
    <row r="2" spans="1:7">
      <c r="A2" s="40"/>
      <c r="B2" s="40"/>
      <c r="C2" s="40"/>
      <c r="D2" s="40"/>
      <c r="E2" s="40"/>
      <c r="F2" s="40"/>
      <c r="G2" s="40"/>
    </row>
    <row r="3" spans="1:7">
      <c r="A3" s="40"/>
      <c r="B3" s="40"/>
      <c r="C3" s="40"/>
      <c r="D3" s="40"/>
      <c r="E3" s="40"/>
      <c r="F3" s="40"/>
      <c r="G3" s="40"/>
    </row>
    <row r="4" spans="1:7">
      <c r="A4" s="40"/>
      <c r="B4" s="40"/>
      <c r="C4" s="40"/>
      <c r="D4" s="40"/>
      <c r="E4" s="40"/>
      <c r="F4" s="40"/>
      <c r="G4" s="40"/>
    </row>
    <row r="5" spans="1:7">
      <c r="A5" s="40"/>
      <c r="B5" s="40"/>
      <c r="C5" s="40"/>
      <c r="D5" s="40"/>
      <c r="E5" s="40"/>
      <c r="F5" s="40"/>
      <c r="G5" s="40"/>
    </row>
    <row r="6" spans="1:7">
      <c r="A6" s="40"/>
      <c r="B6" s="40"/>
      <c r="C6" s="40"/>
      <c r="D6" s="40"/>
      <c r="E6" s="40"/>
      <c r="F6" s="40"/>
      <c r="G6" s="40"/>
    </row>
    <row r="7" spans="1:7">
      <c r="A7" s="40"/>
      <c r="B7" s="40"/>
      <c r="C7" s="71" t="s">
        <v>4313</v>
      </c>
      <c r="D7" s="72"/>
      <c r="E7" s="72"/>
      <c r="F7" s="72"/>
      <c r="G7" s="40"/>
    </row>
    <row r="8" spans="1:7" ht="15.75" thickBot="1">
      <c r="A8" s="40"/>
      <c r="B8" s="40"/>
      <c r="C8" s="40"/>
      <c r="D8" s="40"/>
      <c r="E8" s="40"/>
      <c r="F8" s="40"/>
      <c r="G8" s="40"/>
    </row>
    <row r="9" spans="1:7">
      <c r="A9" s="45"/>
      <c r="B9" s="46"/>
      <c r="C9" s="47" t="s">
        <v>2268</v>
      </c>
      <c r="D9" s="48"/>
      <c r="E9" s="47" t="s">
        <v>2286</v>
      </c>
      <c r="F9" s="48"/>
      <c r="G9" s="49"/>
    </row>
    <row r="10" spans="1:7" ht="15.75" thickBot="1">
      <c r="A10" s="2" t="s">
        <v>0</v>
      </c>
      <c r="B10" s="3" t="s">
        <v>1</v>
      </c>
      <c r="C10" s="3" t="s">
        <v>2</v>
      </c>
      <c r="D10" s="4" t="s">
        <v>3</v>
      </c>
      <c r="E10" s="3" t="s">
        <v>2</v>
      </c>
      <c r="F10" s="4" t="s">
        <v>3</v>
      </c>
      <c r="G10" s="9" t="s">
        <v>4</v>
      </c>
    </row>
    <row r="11" spans="1:7" ht="15.75" thickBot="1">
      <c r="A11" s="73" t="s">
        <v>5</v>
      </c>
      <c r="B11" s="1" t="s">
        <v>2432</v>
      </c>
      <c r="C11" s="50" t="s">
        <v>2433</v>
      </c>
      <c r="D11" s="51">
        <f>VLOOKUP(C11,data!$A:$B,2,0)</f>
        <v>686.82</v>
      </c>
      <c r="E11" s="50" t="s">
        <v>2434</v>
      </c>
      <c r="F11" s="51">
        <f>VLOOKUP(E11,data!$A:$B,2,0)</f>
        <v>7422.76</v>
      </c>
      <c r="G11" s="54">
        <f>SUM(F11,D11)</f>
        <v>8109.58</v>
      </c>
    </row>
    <row r="12" spans="1:7" ht="15.75" thickBot="1">
      <c r="A12" s="74"/>
      <c r="B12" s="59" t="s">
        <v>4289</v>
      </c>
      <c r="C12" s="60" t="s">
        <v>4290</v>
      </c>
      <c r="D12" s="61">
        <f>VLOOKUP(C12,data!$A:$B,2,0)</f>
        <v>470.15</v>
      </c>
      <c r="E12" s="62" t="s">
        <v>3184</v>
      </c>
      <c r="F12" s="61">
        <f>VLOOKUP(E12,data!$A:$B,2,0)</f>
        <v>7639.09</v>
      </c>
      <c r="G12" s="54">
        <f t="shared" ref="G12:G13" si="0">SUM(F12,D12)</f>
        <v>8109.24</v>
      </c>
    </row>
    <row r="13" spans="1:7">
      <c r="A13" s="74"/>
      <c r="B13" s="59" t="s">
        <v>4291</v>
      </c>
      <c r="C13" s="60" t="s">
        <v>4292</v>
      </c>
      <c r="D13" s="61">
        <f>VLOOKUP(C13,data!$A:$B,2,0)</f>
        <v>446.25</v>
      </c>
      <c r="E13" s="62" t="s">
        <v>3187</v>
      </c>
      <c r="F13" s="61">
        <f>VLOOKUP(E13,data!$A:$B,2,0)</f>
        <v>7663.28</v>
      </c>
      <c r="G13" s="54">
        <f t="shared" si="0"/>
        <v>8109.53</v>
      </c>
    </row>
    <row r="14" spans="1:7">
      <c r="A14" s="74"/>
      <c r="B14" s="52" t="s">
        <v>2437</v>
      </c>
      <c r="C14" s="52" t="s">
        <v>2438</v>
      </c>
      <c r="D14" s="53">
        <f>VLOOKUP(C14,data!$A:$B,2,0)</f>
        <v>428.62</v>
      </c>
      <c r="E14" s="52" t="s">
        <v>2439</v>
      </c>
      <c r="F14" s="53">
        <f>VLOOKUP(E14,data!$A:$B,2,0)</f>
        <v>7680.63</v>
      </c>
      <c r="G14" s="55">
        <f t="shared" ref="G14:G15" si="1">SUM(F14,D14)</f>
        <v>8109.25</v>
      </c>
    </row>
    <row r="15" spans="1:7" ht="15.75" thickBot="1">
      <c r="A15" s="75"/>
      <c r="B15" s="56" t="s">
        <v>2440</v>
      </c>
      <c r="C15" s="56" t="s">
        <v>2441</v>
      </c>
      <c r="D15" s="57">
        <f>VLOOKUP(C15,data!$A:$B,2,0)</f>
        <v>428.28</v>
      </c>
      <c r="E15" s="56" t="s">
        <v>2442</v>
      </c>
      <c r="F15" s="57">
        <f>VLOOKUP(E15,data!$A:$B,2,0)</f>
        <v>7680.93</v>
      </c>
      <c r="G15" s="58">
        <f t="shared" si="1"/>
        <v>8109.21</v>
      </c>
    </row>
    <row r="16" spans="1:7" ht="15.75" thickBot="1">
      <c r="A16" s="73" t="s">
        <v>12</v>
      </c>
      <c r="B16" s="1" t="s">
        <v>2432</v>
      </c>
      <c r="C16" s="50" t="s">
        <v>2443</v>
      </c>
      <c r="D16" s="51">
        <f>VLOOKUP(C16,data!$A:$B,2,0)</f>
        <v>686.82</v>
      </c>
      <c r="E16" s="50" t="s">
        <v>2444</v>
      </c>
      <c r="F16" s="51">
        <f>VLOOKUP(E16,data!$A:$B,2,0)</f>
        <v>7422.64</v>
      </c>
      <c r="G16" s="54">
        <f>SUM(F16,D16)</f>
        <v>8109.46</v>
      </c>
    </row>
    <row r="17" spans="1:7" ht="15.75" thickBot="1">
      <c r="A17" s="74"/>
      <c r="B17" s="52" t="s">
        <v>2435</v>
      </c>
      <c r="C17" s="60" t="s">
        <v>4293</v>
      </c>
      <c r="D17" s="61">
        <f>VLOOKUP(C17,data!$A:$B,2,0)</f>
        <v>470.15</v>
      </c>
      <c r="E17" s="62" t="s">
        <v>3340</v>
      </c>
      <c r="F17" s="61">
        <f>VLOOKUP(E17,data!$A:$B,2,0)</f>
        <v>7639.33</v>
      </c>
      <c r="G17" s="54">
        <f t="shared" ref="G17:G18" si="2">SUM(F17,D17)</f>
        <v>8109.48</v>
      </c>
    </row>
    <row r="18" spans="1:7">
      <c r="A18" s="74"/>
      <c r="B18" s="52" t="s">
        <v>2436</v>
      </c>
      <c r="C18" s="60" t="s">
        <v>4294</v>
      </c>
      <c r="D18" s="61">
        <f>VLOOKUP(C18,data!$A:$B,2,0)</f>
        <v>446.25</v>
      </c>
      <c r="E18" s="62" t="s">
        <v>3342</v>
      </c>
      <c r="F18" s="61">
        <f>VLOOKUP(E18,data!$A:$B,2,0)</f>
        <v>7663.27</v>
      </c>
      <c r="G18" s="54">
        <f t="shared" si="2"/>
        <v>8109.52</v>
      </c>
    </row>
    <row r="19" spans="1:7">
      <c r="A19" s="74"/>
      <c r="B19" s="52" t="s">
        <v>2437</v>
      </c>
      <c r="C19" s="52" t="s">
        <v>2445</v>
      </c>
      <c r="D19" s="53">
        <f>VLOOKUP(C19,data!$A:$B,2,0)</f>
        <v>428.62</v>
      </c>
      <c r="E19" s="52" t="s">
        <v>2446</v>
      </c>
      <c r="F19" s="53">
        <f>VLOOKUP(E19,data!$A:$B,2,0)</f>
        <v>7680.65</v>
      </c>
      <c r="G19" s="55">
        <f t="shared" ref="G19:G20" si="3">SUM(F19,D19)</f>
        <v>8109.2699999999995</v>
      </c>
    </row>
    <row r="20" spans="1:7" ht="15.75" thickBot="1">
      <c r="A20" s="75"/>
      <c r="B20" s="56" t="s">
        <v>2440</v>
      </c>
      <c r="C20" s="56" t="s">
        <v>2447</v>
      </c>
      <c r="D20" s="57">
        <f>VLOOKUP(C20,data!$A:$B,2,0)</f>
        <v>428.28</v>
      </c>
      <c r="E20" s="56" t="s">
        <v>2448</v>
      </c>
      <c r="F20" s="57">
        <f>VLOOKUP(E20,data!$A:$B,2,0)</f>
        <v>7681.21</v>
      </c>
      <c r="G20" s="58">
        <f t="shared" si="3"/>
        <v>8109.49</v>
      </c>
    </row>
    <row r="21" spans="1:7" ht="15.75" thickBot="1">
      <c r="A21" s="73" t="s">
        <v>13</v>
      </c>
      <c r="B21" s="1" t="s">
        <v>2432</v>
      </c>
      <c r="C21" s="50" t="s">
        <v>2449</v>
      </c>
      <c r="D21" s="51">
        <f>VLOOKUP(C21,data!$A:$B,2,0)</f>
        <v>686.82</v>
      </c>
      <c r="E21" s="50" t="s">
        <v>2450</v>
      </c>
      <c r="F21" s="51">
        <f>VLOOKUP(E21,data!$A:$B,2,0)</f>
        <v>7422.59</v>
      </c>
      <c r="G21" s="54">
        <f>SUM(F21,D21)</f>
        <v>8109.41</v>
      </c>
    </row>
    <row r="22" spans="1:7" ht="15.75" thickBot="1">
      <c r="A22" s="74"/>
      <c r="B22" s="52" t="s">
        <v>2435</v>
      </c>
      <c r="C22" s="60" t="s">
        <v>4295</v>
      </c>
      <c r="D22" s="61">
        <f>VLOOKUP(C22,data!$A:$B,2,0)</f>
        <v>470.15</v>
      </c>
      <c r="E22" s="62" t="s">
        <v>3492</v>
      </c>
      <c r="F22" s="61">
        <f>VLOOKUP(E22,data!$A:$B,2,0)</f>
        <v>7639.29</v>
      </c>
      <c r="G22" s="54">
        <f t="shared" ref="G22:G23" si="4">SUM(F22,D22)</f>
        <v>8109.44</v>
      </c>
    </row>
    <row r="23" spans="1:7">
      <c r="A23" s="74"/>
      <c r="B23" s="52" t="s">
        <v>2436</v>
      </c>
      <c r="C23" s="60" t="s">
        <v>4296</v>
      </c>
      <c r="D23" s="61">
        <f>VLOOKUP(C23,data!$A:$B,2,0)</f>
        <v>446.25</v>
      </c>
      <c r="E23" s="62" t="s">
        <v>3494</v>
      </c>
      <c r="F23" s="61">
        <f>VLOOKUP(E23,data!$A:$B,2,0)</f>
        <v>7663.24</v>
      </c>
      <c r="G23" s="54">
        <f t="shared" si="4"/>
        <v>8109.49</v>
      </c>
    </row>
    <row r="24" spans="1:7">
      <c r="A24" s="74"/>
      <c r="B24" s="52" t="s">
        <v>2437</v>
      </c>
      <c r="C24" s="52" t="s">
        <v>2451</v>
      </c>
      <c r="D24" s="53">
        <f>VLOOKUP(C24,data!$A:$B,2,0)</f>
        <v>428.62</v>
      </c>
      <c r="E24" s="52" t="s">
        <v>2452</v>
      </c>
      <c r="F24" s="53">
        <f>VLOOKUP(E24,data!$A:$B,2,0)</f>
        <v>7680.99</v>
      </c>
      <c r="G24" s="55">
        <f t="shared" ref="G24:G25" si="5">SUM(F24,D24)</f>
        <v>8109.61</v>
      </c>
    </row>
    <row r="25" spans="1:7" ht="15.75" thickBot="1">
      <c r="A25" s="75"/>
      <c r="B25" s="56" t="s">
        <v>2440</v>
      </c>
      <c r="C25" s="56" t="s">
        <v>2453</v>
      </c>
      <c r="D25" s="57">
        <f>VLOOKUP(C25,data!$A:$B,2,0)</f>
        <v>428.28</v>
      </c>
      <c r="E25" s="56" t="s">
        <v>2454</v>
      </c>
      <c r="F25" s="57">
        <f>VLOOKUP(E25,data!$A:$B,2,0)</f>
        <v>7681.35</v>
      </c>
      <c r="G25" s="58">
        <f t="shared" si="5"/>
        <v>8109.63</v>
      </c>
    </row>
    <row r="26" spans="1:7" ht="15.75" thickBot="1">
      <c r="A26" s="73" t="s">
        <v>14</v>
      </c>
      <c r="B26" s="1" t="s">
        <v>2432</v>
      </c>
      <c r="C26" s="50" t="s">
        <v>2455</v>
      </c>
      <c r="D26" s="51">
        <f>VLOOKUP(C26,data!$A:$B,2,0)</f>
        <v>686.82</v>
      </c>
      <c r="E26" s="50" t="s">
        <v>2456</v>
      </c>
      <c r="F26" s="51">
        <f>VLOOKUP(E26,data!$A:$B,2,0)</f>
        <v>7422.66</v>
      </c>
      <c r="G26" s="54">
        <f>SUM(F26,D26)</f>
        <v>8109.48</v>
      </c>
    </row>
    <row r="27" spans="1:7" ht="15.75" thickBot="1">
      <c r="A27" s="74"/>
      <c r="B27" s="52" t="s">
        <v>2435</v>
      </c>
      <c r="C27" s="60" t="s">
        <v>4297</v>
      </c>
      <c r="D27" s="61">
        <f>VLOOKUP(C27,data!$A:$B,2,0)</f>
        <v>470.15</v>
      </c>
      <c r="E27" s="62" t="s">
        <v>3644</v>
      </c>
      <c r="F27" s="61">
        <f>VLOOKUP(E27,data!$A:$B,2,0)</f>
        <v>7639.1</v>
      </c>
      <c r="G27" s="54">
        <f t="shared" ref="G27:G28" si="6">SUM(F27,D27)</f>
        <v>8109.25</v>
      </c>
    </row>
    <row r="28" spans="1:7">
      <c r="A28" s="74"/>
      <c r="B28" s="52" t="s">
        <v>2436</v>
      </c>
      <c r="C28" s="60" t="s">
        <v>4298</v>
      </c>
      <c r="D28" s="61">
        <f>VLOOKUP(C28,data!$A:$B,2,0)</f>
        <v>446.25</v>
      </c>
      <c r="E28" s="62" t="s">
        <v>3646</v>
      </c>
      <c r="F28" s="61">
        <f>VLOOKUP(E28,data!$A:$B,2,0)</f>
        <v>7663.34</v>
      </c>
      <c r="G28" s="54">
        <f t="shared" si="6"/>
        <v>8109.59</v>
      </c>
    </row>
    <row r="29" spans="1:7">
      <c r="A29" s="74"/>
      <c r="B29" s="52" t="s">
        <v>2437</v>
      </c>
      <c r="C29" s="52" t="s">
        <v>2457</v>
      </c>
      <c r="D29" s="53">
        <f>VLOOKUP(C29,data!$A:$B,2,0)</f>
        <v>428.62</v>
      </c>
      <c r="E29" s="52" t="s">
        <v>2458</v>
      </c>
      <c r="F29" s="53">
        <f>VLOOKUP(E29,data!$A:$B,2,0)</f>
        <v>7680.85</v>
      </c>
      <c r="G29" s="55">
        <f t="shared" ref="G29:G30" si="7">SUM(F29,D29)</f>
        <v>8109.47</v>
      </c>
    </row>
    <row r="30" spans="1:7" ht="15.75" thickBot="1">
      <c r="A30" s="75"/>
      <c r="B30" s="56" t="s">
        <v>2440</v>
      </c>
      <c r="C30" s="56" t="s">
        <v>2459</v>
      </c>
      <c r="D30" s="57">
        <f>VLOOKUP(C30,data!$A:$B,2,0)</f>
        <v>428.28</v>
      </c>
      <c r="E30" s="56" t="s">
        <v>2460</v>
      </c>
      <c r="F30" s="57">
        <f>VLOOKUP(E30,data!$A:$B,2,0)</f>
        <v>7680.99</v>
      </c>
      <c r="G30" s="58">
        <f t="shared" si="7"/>
        <v>8109.2699999999995</v>
      </c>
    </row>
    <row r="31" spans="1:7" ht="15.75" thickBot="1">
      <c r="A31" s="73" t="s">
        <v>15</v>
      </c>
      <c r="B31" s="1" t="s">
        <v>2432</v>
      </c>
      <c r="C31" s="50" t="s">
        <v>2461</v>
      </c>
      <c r="D31" s="51">
        <f>VLOOKUP(C31,data!$A:$B,2,0)</f>
        <v>686.82</v>
      </c>
      <c r="E31" s="50" t="s">
        <v>2462</v>
      </c>
      <c r="F31" s="51">
        <f>VLOOKUP(E31,data!$A:$B,2,0)</f>
        <v>7422.75</v>
      </c>
      <c r="G31" s="54">
        <f>SUM(F31,D31)</f>
        <v>8109.57</v>
      </c>
    </row>
    <row r="32" spans="1:7" ht="15.75" thickBot="1">
      <c r="A32" s="74"/>
      <c r="B32" s="52" t="s">
        <v>2435</v>
      </c>
      <c r="C32" s="60" t="s">
        <v>4299</v>
      </c>
      <c r="D32" s="61">
        <f>VLOOKUP(C32,data!$A:$B,2,0)</f>
        <v>470.15</v>
      </c>
      <c r="E32" s="62" t="s">
        <v>3796</v>
      </c>
      <c r="F32" s="61">
        <f>VLOOKUP(E32,data!$A:$B,2,0)</f>
        <v>7639.45</v>
      </c>
      <c r="G32" s="54">
        <f t="shared" ref="G32:G33" si="8">SUM(F32,D32)</f>
        <v>8109.5999999999995</v>
      </c>
    </row>
    <row r="33" spans="1:7">
      <c r="A33" s="74"/>
      <c r="B33" s="52" t="s">
        <v>2436</v>
      </c>
      <c r="C33" s="60" t="s">
        <v>4300</v>
      </c>
      <c r="D33" s="61">
        <f>VLOOKUP(C33,data!$A:$B,2,0)</f>
        <v>446.25</v>
      </c>
      <c r="E33" s="62" t="s">
        <v>3798</v>
      </c>
      <c r="F33" s="61">
        <f>VLOOKUP(E33,data!$A:$B,2,0)</f>
        <v>7662.96</v>
      </c>
      <c r="G33" s="54">
        <f t="shared" si="8"/>
        <v>8109.21</v>
      </c>
    </row>
    <row r="34" spans="1:7">
      <c r="A34" s="74"/>
      <c r="B34" s="52" t="s">
        <v>2437</v>
      </c>
      <c r="C34" s="52" t="s">
        <v>2463</v>
      </c>
      <c r="D34" s="53">
        <f>VLOOKUP(C34,data!$A:$B,2,0)</f>
        <v>428.62</v>
      </c>
      <c r="E34" s="52" t="s">
        <v>2464</v>
      </c>
      <c r="F34" s="53">
        <f>VLOOKUP(E34,data!$A:$B,2,0)</f>
        <v>7680.98</v>
      </c>
      <c r="G34" s="55">
        <f t="shared" ref="G34:G35" si="9">SUM(F34,D34)</f>
        <v>8109.5999999999995</v>
      </c>
    </row>
    <row r="35" spans="1:7" ht="15.75" thickBot="1">
      <c r="A35" s="75"/>
      <c r="B35" s="56" t="s">
        <v>2440</v>
      </c>
      <c r="C35" s="56" t="s">
        <v>2465</v>
      </c>
      <c r="D35" s="57">
        <f>VLOOKUP(C35,data!$A:$B,2,0)</f>
        <v>428.28</v>
      </c>
      <c r="E35" s="56" t="s">
        <v>2466</v>
      </c>
      <c r="F35" s="57">
        <f>VLOOKUP(E35,data!$A:$B,2,0)</f>
        <v>7681.06</v>
      </c>
      <c r="G35" s="58">
        <f t="shared" si="9"/>
        <v>8109.34</v>
      </c>
    </row>
    <row r="36" spans="1:7" ht="15.75" thickBot="1">
      <c r="A36" s="73" t="s">
        <v>16</v>
      </c>
      <c r="B36" s="1" t="s">
        <v>2432</v>
      </c>
      <c r="C36" s="50" t="s">
        <v>2467</v>
      </c>
      <c r="D36" s="51">
        <f>VLOOKUP(C36,data!$A:$B,2,0)</f>
        <v>686.82</v>
      </c>
      <c r="E36" s="50" t="s">
        <v>2468</v>
      </c>
      <c r="F36" s="51">
        <f>VLOOKUP(E36,data!$A:$B,2,0)</f>
        <v>7422.71</v>
      </c>
      <c r="G36" s="54">
        <f>SUM(F36,D36)</f>
        <v>8109.53</v>
      </c>
    </row>
    <row r="37" spans="1:7" ht="15.75" thickBot="1">
      <c r="A37" s="74"/>
      <c r="B37" s="52" t="s">
        <v>2435</v>
      </c>
      <c r="C37" s="60" t="s">
        <v>4301</v>
      </c>
      <c r="D37" s="61">
        <f>VLOOKUP(C37,data!$A:$B,2,0)</f>
        <v>470.15</v>
      </c>
      <c r="E37" s="62" t="s">
        <v>3948</v>
      </c>
      <c r="F37" s="61">
        <f>VLOOKUP(E37,data!$A:$B,2,0)</f>
        <v>7639.27</v>
      </c>
      <c r="G37" s="54">
        <f t="shared" ref="G37:G38" si="10">SUM(F37,D37)</f>
        <v>8109.42</v>
      </c>
    </row>
    <row r="38" spans="1:7">
      <c r="A38" s="74"/>
      <c r="B38" s="52" t="s">
        <v>2436</v>
      </c>
      <c r="C38" s="60" t="s">
        <v>4302</v>
      </c>
      <c r="D38" s="61">
        <f>VLOOKUP(C38,data!$A:$B,2,0)</f>
        <v>446.25</v>
      </c>
      <c r="E38" s="62" t="s">
        <v>3950</v>
      </c>
      <c r="F38" s="61">
        <f>VLOOKUP(E38,data!$A:$B,2,0)</f>
        <v>7663.39</v>
      </c>
      <c r="G38" s="54">
        <f t="shared" si="10"/>
        <v>8109.64</v>
      </c>
    </row>
    <row r="39" spans="1:7">
      <c r="A39" s="74"/>
      <c r="B39" s="52" t="s">
        <v>2437</v>
      </c>
      <c r="C39" s="52" t="s">
        <v>2469</v>
      </c>
      <c r="D39" s="53">
        <f>VLOOKUP(C39,data!$A:$B,2,0)</f>
        <v>428.62</v>
      </c>
      <c r="E39" s="52" t="s">
        <v>2470</v>
      </c>
      <c r="F39" s="53">
        <f>VLOOKUP(E39,data!$A:$B,2,0)</f>
        <v>7680.97</v>
      </c>
      <c r="G39" s="55">
        <f t="shared" ref="G39:G40" si="11">SUM(F39,D39)</f>
        <v>8109.59</v>
      </c>
    </row>
    <row r="40" spans="1:7" ht="15.75" thickBot="1">
      <c r="A40" s="75"/>
      <c r="B40" s="56" t="s">
        <v>2440</v>
      </c>
      <c r="C40" s="56" t="s">
        <v>2471</v>
      </c>
      <c r="D40" s="57">
        <f>VLOOKUP(C40,data!$A:$B,2,0)</f>
        <v>428.28</v>
      </c>
      <c r="E40" s="56" t="s">
        <v>2472</v>
      </c>
      <c r="F40" s="57">
        <f>VLOOKUP(E40,data!$A:$B,2,0)</f>
        <v>7680.89</v>
      </c>
      <c r="G40" s="58">
        <f t="shared" si="11"/>
        <v>8109.17</v>
      </c>
    </row>
    <row r="41" spans="1:7" ht="15.75" thickBot="1">
      <c r="A41" s="73" t="s">
        <v>17</v>
      </c>
      <c r="B41" s="1" t="s">
        <v>2432</v>
      </c>
      <c r="C41" s="50" t="s">
        <v>2473</v>
      </c>
      <c r="D41" s="51">
        <f>VLOOKUP(C41,data!$A:$B,2,0)</f>
        <v>686.82</v>
      </c>
      <c r="E41" s="50" t="s">
        <v>2474</v>
      </c>
      <c r="F41" s="51">
        <f>VLOOKUP(E41,data!$A:$B,2,0)</f>
        <v>7422.59</v>
      </c>
      <c r="G41" s="54">
        <f>SUM(F41,D41)</f>
        <v>8109.41</v>
      </c>
    </row>
    <row r="42" spans="1:7" ht="15.75" thickBot="1">
      <c r="A42" s="74"/>
      <c r="B42" s="52" t="s">
        <v>2435</v>
      </c>
      <c r="C42" s="60" t="s">
        <v>4303</v>
      </c>
      <c r="D42" s="61">
        <f>VLOOKUP(C42,data!$A:$B,2,0)</f>
        <v>470.15</v>
      </c>
      <c r="E42" s="62" t="s">
        <v>4100</v>
      </c>
      <c r="F42" s="61">
        <f>VLOOKUP(E42,data!$A:$B,2,0)</f>
        <v>7639.29</v>
      </c>
      <c r="G42" s="54">
        <f t="shared" ref="G42:G43" si="12">SUM(F42,D42)</f>
        <v>8109.44</v>
      </c>
    </row>
    <row r="43" spans="1:7">
      <c r="A43" s="74"/>
      <c r="B43" s="52" t="s">
        <v>2436</v>
      </c>
      <c r="C43" s="60" t="s">
        <v>4304</v>
      </c>
      <c r="D43" s="61">
        <f>VLOOKUP(C43,data!$A:$B,2,0)</f>
        <v>446.25</v>
      </c>
      <c r="E43" s="62" t="s">
        <v>4102</v>
      </c>
      <c r="F43" s="61">
        <f>VLOOKUP(E43,data!$A:$B,2,0)</f>
        <v>7663.21</v>
      </c>
      <c r="G43" s="54">
        <f t="shared" si="12"/>
        <v>8109.46</v>
      </c>
    </row>
    <row r="44" spans="1:7">
      <c r="A44" s="74"/>
      <c r="B44" s="52" t="s">
        <v>2437</v>
      </c>
      <c r="C44" s="52" t="s">
        <v>2475</v>
      </c>
      <c r="D44" s="53">
        <f>VLOOKUP(C44,data!$A:$B,2,0)</f>
        <v>428.62</v>
      </c>
      <c r="E44" s="52" t="s">
        <v>2476</v>
      </c>
      <c r="F44" s="53">
        <f>VLOOKUP(E44,data!$A:$B,2,0)</f>
        <v>7680.63</v>
      </c>
      <c r="G44" s="55">
        <f t="shared" ref="G44:G45" si="13">SUM(F44,D44)</f>
        <v>8109.25</v>
      </c>
    </row>
    <row r="45" spans="1:7" ht="15.75" thickBot="1">
      <c r="A45" s="75"/>
      <c r="B45" s="56" t="s">
        <v>2440</v>
      </c>
      <c r="C45" s="56" t="s">
        <v>2477</v>
      </c>
      <c r="D45" s="57">
        <f>VLOOKUP(C45,data!$A:$B,2,0)</f>
        <v>428.28</v>
      </c>
      <c r="E45" s="56" t="s">
        <v>2478</v>
      </c>
      <c r="F45" s="57">
        <f>VLOOKUP(E45,data!$A:$B,2,0)</f>
        <v>7681.39</v>
      </c>
      <c r="G45" s="58">
        <f t="shared" si="13"/>
        <v>8109.67</v>
      </c>
    </row>
    <row r="46" spans="1:7" ht="15.75" thickBot="1">
      <c r="A46" s="73" t="s">
        <v>18</v>
      </c>
      <c r="B46" s="1" t="s">
        <v>2432</v>
      </c>
      <c r="C46" s="50" t="s">
        <v>2479</v>
      </c>
      <c r="D46" s="51">
        <f>VLOOKUP(C46,data!$A:$B,2,0)</f>
        <v>686.82</v>
      </c>
      <c r="E46" s="50" t="s">
        <v>2480</v>
      </c>
      <c r="F46" s="51">
        <f>VLOOKUP(E46,data!$A:$B,2,0)</f>
        <v>7422.57</v>
      </c>
      <c r="G46" s="54">
        <f>SUM(F46,D46)</f>
        <v>8109.3899999999994</v>
      </c>
    </row>
    <row r="47" spans="1:7" ht="15.75" thickBot="1">
      <c r="A47" s="74"/>
      <c r="B47" s="52" t="s">
        <v>2435</v>
      </c>
      <c r="C47" s="60" t="s">
        <v>4305</v>
      </c>
      <c r="D47" s="61">
        <f>VLOOKUP(C47,data!$A:$B,2,0)</f>
        <v>470.15</v>
      </c>
      <c r="E47" s="62" t="s">
        <v>4252</v>
      </c>
      <c r="F47" s="61">
        <f>VLOOKUP(E47,data!$A:$B,2,0)</f>
        <v>7639.19</v>
      </c>
      <c r="G47" s="54">
        <f t="shared" ref="G47:G48" si="14">SUM(F47,D47)</f>
        <v>8109.3399999999992</v>
      </c>
    </row>
    <row r="48" spans="1:7">
      <c r="A48" s="74"/>
      <c r="B48" s="52" t="s">
        <v>2436</v>
      </c>
      <c r="C48" s="60" t="s">
        <v>4306</v>
      </c>
      <c r="D48" s="61">
        <f>VLOOKUP(C48,data!$A:$B,2,0)</f>
        <v>446.25</v>
      </c>
      <c r="E48" s="62" t="s">
        <v>4254</v>
      </c>
      <c r="F48" s="61">
        <f>VLOOKUP(E48,data!$A:$B,2,0)</f>
        <v>7663.25</v>
      </c>
      <c r="G48" s="54">
        <f t="shared" si="14"/>
        <v>8109.5</v>
      </c>
    </row>
    <row r="49" spans="1:8">
      <c r="A49" s="74"/>
      <c r="B49" s="52" t="s">
        <v>2437</v>
      </c>
      <c r="C49" s="52" t="s">
        <v>2481</v>
      </c>
      <c r="D49" s="53">
        <f>VLOOKUP(C49,data!$A:$B,2,0)</f>
        <v>428.62</v>
      </c>
      <c r="E49" s="52" t="s">
        <v>2482</v>
      </c>
      <c r="F49" s="53">
        <f>VLOOKUP(E49,data!$A:$B,2,0)</f>
        <v>7680.61</v>
      </c>
      <c r="G49" s="55">
        <f t="shared" ref="G49:G50" si="15">SUM(F49,D49)</f>
        <v>8109.23</v>
      </c>
    </row>
    <row r="50" spans="1:8" ht="15.75" thickBot="1">
      <c r="A50" s="75"/>
      <c r="B50" s="56" t="s">
        <v>2440</v>
      </c>
      <c r="C50" s="56" t="s">
        <v>2483</v>
      </c>
      <c r="D50" s="57">
        <f>VLOOKUP(C50,data!$A:$B,2,0)</f>
        <v>428.28</v>
      </c>
      <c r="E50" s="56" t="s">
        <v>2484</v>
      </c>
      <c r="F50" s="57">
        <f>VLOOKUP(E50,data!$A:$B,2,0)</f>
        <v>7681.05</v>
      </c>
      <c r="G50" s="58">
        <f t="shared" si="15"/>
        <v>8109.33</v>
      </c>
    </row>
    <row r="51" spans="1:8">
      <c r="A51" s="43"/>
      <c r="B51" s="40"/>
      <c r="C51" s="44" t="s">
        <v>19</v>
      </c>
      <c r="D51" s="41">
        <f>MAX($D$11:$D$50)</f>
        <v>686.82</v>
      </c>
      <c r="E51" s="44" t="s">
        <v>19</v>
      </c>
      <c r="F51" s="41">
        <f>MAX($F$11:$F$50)</f>
        <v>7681.39</v>
      </c>
      <c r="G51" s="42" t="s">
        <v>19</v>
      </c>
      <c r="H51" s="42">
        <f>MAX($G$11:$G$50)</f>
        <v>8109.67</v>
      </c>
    </row>
    <row r="52" spans="1:8">
      <c r="A52" s="43"/>
      <c r="B52" s="40"/>
      <c r="C52" s="44" t="s">
        <v>20</v>
      </c>
      <c r="D52" s="41">
        <f>MIN($D$11:$D$50)</f>
        <v>428.28</v>
      </c>
      <c r="E52" s="44" t="s">
        <v>20</v>
      </c>
      <c r="F52" s="41">
        <f>MIN($F$11:$F$50)</f>
        <v>7422.57</v>
      </c>
      <c r="G52" s="42" t="s">
        <v>20</v>
      </c>
      <c r="H52" s="42">
        <f>MIN($G$11:$G$50)</f>
        <v>8109.17</v>
      </c>
    </row>
    <row r="53" spans="1:8">
      <c r="A53" s="43"/>
      <c r="B53" s="40"/>
      <c r="C53" s="44" t="s">
        <v>21</v>
      </c>
      <c r="D53" s="41">
        <f>D51-D52</f>
        <v>258.54000000000008</v>
      </c>
      <c r="E53" s="44" t="s">
        <v>21</v>
      </c>
      <c r="F53" s="41">
        <f>F51-F52</f>
        <v>258.82000000000062</v>
      </c>
      <c r="G53" s="42" t="s">
        <v>21</v>
      </c>
      <c r="H53" s="42">
        <f>H51-H52</f>
        <v>0.5</v>
      </c>
    </row>
    <row r="54" spans="1:8">
      <c r="A54" s="42"/>
      <c r="B54" s="5"/>
      <c r="C54" s="44" t="s">
        <v>22</v>
      </c>
      <c r="D54" s="41"/>
      <c r="E54" s="44" t="s">
        <v>22</v>
      </c>
      <c r="F54" s="41"/>
      <c r="G54" s="42" t="s">
        <v>22</v>
      </c>
      <c r="H54" s="42">
        <v>1</v>
      </c>
    </row>
    <row r="55" spans="1:8">
      <c r="A55" s="42"/>
      <c r="B55" s="40"/>
      <c r="C55" s="44"/>
      <c r="D55" s="41" t="str">
        <f>IF(D54="","None",IF(D53&lt;=D54,"PASS","FAIL"))</f>
        <v>None</v>
      </c>
      <c r="E55" s="44"/>
      <c r="F55" s="41" t="str">
        <f>IF(F54="","None",IF(F53&lt;=F54,"PASS","FAIL"))</f>
        <v>None</v>
      </c>
      <c r="G55" s="42"/>
      <c r="H55" s="41" t="str">
        <f>IF(H54="","None",IF(H53&lt;=H54,"PASS","FAIL"))</f>
        <v>PASS</v>
      </c>
    </row>
    <row r="56" spans="1:8">
      <c r="H56" s="42"/>
    </row>
    <row r="57" spans="1:8">
      <c r="H57" s="42"/>
    </row>
    <row r="58" spans="1:8">
      <c r="C58" s="64" t="s">
        <v>4315</v>
      </c>
      <c r="H58" s="42"/>
    </row>
    <row r="59" spans="1:8">
      <c r="H59" s="42"/>
    </row>
  </sheetData>
  <mergeCells count="9">
    <mergeCell ref="C7:F7"/>
    <mergeCell ref="A36:A40"/>
    <mergeCell ref="A41:A45"/>
    <mergeCell ref="A46:A50"/>
    <mergeCell ref="A11:A15"/>
    <mergeCell ref="A16:A20"/>
    <mergeCell ref="A21:A25"/>
    <mergeCell ref="A26:A30"/>
    <mergeCell ref="A31:A35"/>
  </mergeCells>
  <phoneticPr fontId="7" type="noConversion"/>
  <conditionalFormatting sqref="F9 F15 F11:F13">
    <cfRule type="containsText" dxfId="762" priority="816" operator="containsText" text="PASS">
      <formula>NOT(ISERROR(SEARCH("PASS",F9)))</formula>
    </cfRule>
    <cfRule type="containsText" dxfId="761" priority="817" operator="containsText" text="FAIL">
      <formula>NOT(ISERROR(SEARCH("FAIL",F9)))</formula>
    </cfRule>
  </conditionalFormatting>
  <conditionalFormatting sqref="F10">
    <cfRule type="containsText" dxfId="760" priority="814" operator="containsText" text="PASS">
      <formula>NOT(ISERROR(SEARCH("PASS",F10)))</formula>
    </cfRule>
    <cfRule type="containsText" dxfId="759" priority="815" operator="containsText" text="FAIL">
      <formula>NOT(ISERROR(SEARCH("FAIL",F10)))</formula>
    </cfRule>
  </conditionalFormatting>
  <conditionalFormatting sqref="F15 F9:F13">
    <cfRule type="cellIs" dxfId="758" priority="813" operator="equal">
      <formula>"None"</formula>
    </cfRule>
  </conditionalFormatting>
  <conditionalFormatting sqref="F51">
    <cfRule type="containsText" dxfId="757" priority="811" operator="containsText" text="PASS">
      <formula>NOT(ISERROR(SEARCH("PASS",F51)))</formula>
    </cfRule>
    <cfRule type="containsText" dxfId="756" priority="812" operator="containsText" text="FAIL">
      <formula>NOT(ISERROR(SEARCH("FAIL",F51)))</formula>
    </cfRule>
  </conditionalFormatting>
  <conditionalFormatting sqref="F14 F53">
    <cfRule type="containsText" dxfId="755" priority="805" operator="containsText" text="PASS">
      <formula>NOT(ISERROR(SEARCH("PASS",F14)))</formula>
    </cfRule>
    <cfRule type="containsText" dxfId="754" priority="806" operator="containsText" text="FAIL">
      <formula>NOT(ISERROR(SEARCH("FAIL",F14)))</formula>
    </cfRule>
  </conditionalFormatting>
  <conditionalFormatting sqref="F51">
    <cfRule type="cellIs" dxfId="753" priority="810" operator="equal">
      <formula>"None"</formula>
    </cfRule>
  </conditionalFormatting>
  <conditionalFormatting sqref="F52">
    <cfRule type="containsText" dxfId="752" priority="808" operator="containsText" text="PASS">
      <formula>NOT(ISERROR(SEARCH("PASS",F52)))</formula>
    </cfRule>
    <cfRule type="containsText" dxfId="751" priority="809" operator="containsText" text="FAIL">
      <formula>NOT(ISERROR(SEARCH("FAIL",F52)))</formula>
    </cfRule>
  </conditionalFormatting>
  <conditionalFormatting sqref="F52">
    <cfRule type="cellIs" dxfId="750" priority="807" operator="equal">
      <formula>"None"</formula>
    </cfRule>
  </conditionalFormatting>
  <conditionalFormatting sqref="F14 F53">
    <cfRule type="cellIs" dxfId="749" priority="804" operator="equal">
      <formula>"None"</formula>
    </cfRule>
  </conditionalFormatting>
  <conditionalFormatting sqref="D13">
    <cfRule type="containsText" dxfId="748" priority="541" operator="containsText" text="PASS">
      <formula>NOT(ISERROR(SEARCH("PASS",D13)))</formula>
    </cfRule>
    <cfRule type="containsText" dxfId="747" priority="542" operator="containsText" text="FAIL">
      <formula>NOT(ISERROR(SEARCH("FAIL",D13)))</formula>
    </cfRule>
  </conditionalFormatting>
  <conditionalFormatting sqref="D13">
    <cfRule type="cellIs" dxfId="746" priority="540" operator="equal">
      <formula>"None"</formula>
    </cfRule>
  </conditionalFormatting>
  <conditionalFormatting sqref="E9:E10">
    <cfRule type="containsText" dxfId="745" priority="547" operator="containsText" text="PASS">
      <formula>NOT(ISERROR(SEARCH("PASS",E9)))</formula>
    </cfRule>
    <cfRule type="containsText" dxfId="744" priority="548" operator="containsText" text="FAIL">
      <formula>NOT(ISERROR(SEARCH("FAIL",E9)))</formula>
    </cfRule>
  </conditionalFormatting>
  <conditionalFormatting sqref="A11:B11 A9:E10 D11:D13">
    <cfRule type="cellIs" dxfId="743" priority="546" operator="equal">
      <formula>"None"</formula>
    </cfRule>
  </conditionalFormatting>
  <conditionalFormatting sqref="D51:D53 D11:D15">
    <cfRule type="containsText" dxfId="742" priority="544" operator="containsText" text="PASS">
      <formula>NOT(ISERROR(SEARCH("PASS",D11)))</formula>
    </cfRule>
    <cfRule type="containsText" dxfId="741" priority="545" operator="containsText" text="FAIL">
      <formula>NOT(ISERROR(SEARCH("FAIL",D11)))</formula>
    </cfRule>
  </conditionalFormatting>
  <conditionalFormatting sqref="D51:D53 D11:D15">
    <cfRule type="cellIs" dxfId="740" priority="543" operator="equal">
      <formula>"None"</formula>
    </cfRule>
  </conditionalFormatting>
  <conditionalFormatting sqref="D14">
    <cfRule type="containsText" dxfId="739" priority="538" operator="containsText" text="PASS">
      <formula>NOT(ISERROR(SEARCH("PASS",D14)))</formula>
    </cfRule>
    <cfRule type="containsText" dxfId="738" priority="539" operator="containsText" text="FAIL">
      <formula>NOT(ISERROR(SEARCH("FAIL",D14)))</formula>
    </cfRule>
  </conditionalFormatting>
  <conditionalFormatting sqref="D14">
    <cfRule type="cellIs" dxfId="737" priority="537" operator="equal">
      <formula>"None"</formula>
    </cfRule>
  </conditionalFormatting>
  <conditionalFormatting sqref="C9:D9 C10 D11:D13">
    <cfRule type="containsText" dxfId="736" priority="551" operator="containsText" text="PASS">
      <formula>NOT(ISERROR(SEARCH("PASS",C9)))</formula>
    </cfRule>
    <cfRule type="containsText" dxfId="735" priority="552" operator="containsText" text="FAIL">
      <formula>NOT(ISERROR(SEARCH("FAIL",C9)))</formula>
    </cfRule>
  </conditionalFormatting>
  <conditionalFormatting sqref="A9 A10:B10 A11">
    <cfRule type="containsText" dxfId="734" priority="553" operator="containsText" text="PASS">
      <formula>NOT(ISERROR(SEARCH("PASS",A9)))</formula>
    </cfRule>
    <cfRule type="containsText" dxfId="733" priority="554" operator="containsText" text="FAIL">
      <formula>NOT(ISERROR(SEARCH("FAIL",A9)))</formula>
    </cfRule>
  </conditionalFormatting>
  <conditionalFormatting sqref="D10">
    <cfRule type="containsText" dxfId="732" priority="549" operator="containsText" text="PASS">
      <formula>NOT(ISERROR(SEARCH("PASS",D10)))</formula>
    </cfRule>
    <cfRule type="containsText" dxfId="731" priority="550" operator="containsText" text="FAIL">
      <formula>NOT(ISERROR(SEARCH("FAIL",D10)))</formula>
    </cfRule>
  </conditionalFormatting>
  <conditionalFormatting sqref="D15 D51:D53">
    <cfRule type="cellIs" dxfId="730" priority="534" operator="equal">
      <formula>"None"</formula>
    </cfRule>
  </conditionalFormatting>
  <conditionalFormatting sqref="D15 D51:D53">
    <cfRule type="containsText" dxfId="729" priority="535" operator="containsText" text="PASS">
      <formula>NOT(ISERROR(SEARCH("PASS",D15)))</formula>
    </cfRule>
    <cfRule type="containsText" dxfId="728" priority="536" operator="containsText" text="FAIL">
      <formula>NOT(ISERROR(SEARCH("FAIL",D15)))</formula>
    </cfRule>
  </conditionalFormatting>
  <conditionalFormatting sqref="E10">
    <cfRule type="containsText" dxfId="727" priority="532" operator="containsText" text="PASS">
      <formula>NOT(ISERROR(SEARCH("PASS",E10)))</formula>
    </cfRule>
    <cfRule type="containsText" dxfId="726" priority="533" operator="containsText" text="FAIL">
      <formula>NOT(ISERROR(SEARCH("FAIL",E10)))</formula>
    </cfRule>
  </conditionalFormatting>
  <conditionalFormatting sqref="G9">
    <cfRule type="containsText" dxfId="725" priority="530" operator="containsText" text="PASS">
      <formula>NOT(ISERROR(SEARCH("PASS",G9)))</formula>
    </cfRule>
    <cfRule type="containsText" dxfId="724" priority="531" operator="containsText" text="FAIL">
      <formula>NOT(ISERROR(SEARCH("FAIL",G9)))</formula>
    </cfRule>
  </conditionalFormatting>
  <conditionalFormatting sqref="G9">
    <cfRule type="cellIs" dxfId="723" priority="529" operator="equal">
      <formula>"None"</formula>
    </cfRule>
  </conditionalFormatting>
  <conditionalFormatting sqref="G10">
    <cfRule type="containsText" dxfId="722" priority="527" operator="containsText" text="PASS">
      <formula>NOT(ISERROR(SEARCH("PASS",G10)))</formula>
    </cfRule>
    <cfRule type="containsText" dxfId="721" priority="528" operator="containsText" text="FAIL">
      <formula>NOT(ISERROR(SEARCH("FAIL",G10)))</formula>
    </cfRule>
  </conditionalFormatting>
  <conditionalFormatting sqref="G10">
    <cfRule type="cellIs" dxfId="720" priority="526" operator="equal">
      <formula>"None"</formula>
    </cfRule>
  </conditionalFormatting>
  <conditionalFormatting sqref="G51:G53 G11:G15">
    <cfRule type="cellIs" dxfId="719" priority="525" operator="equal">
      <formula>"None"</formula>
    </cfRule>
  </conditionalFormatting>
  <conditionalFormatting sqref="G51:G53 G11:G15">
    <cfRule type="cellIs" dxfId="718" priority="524" operator="equal">
      <formula>"None"</formula>
    </cfRule>
  </conditionalFormatting>
  <conditionalFormatting sqref="F54">
    <cfRule type="containsText" dxfId="717" priority="522" operator="containsText" text="PASS">
      <formula>NOT(ISERROR(SEARCH("PASS",F54)))</formula>
    </cfRule>
    <cfRule type="containsText" dxfId="716" priority="523" operator="containsText" text="FAIL">
      <formula>NOT(ISERROR(SEARCH("FAIL",F54)))</formula>
    </cfRule>
  </conditionalFormatting>
  <conditionalFormatting sqref="F54">
    <cfRule type="cellIs" dxfId="715" priority="521" operator="equal">
      <formula>"None"</formula>
    </cfRule>
  </conditionalFormatting>
  <conditionalFormatting sqref="A54">
    <cfRule type="containsText" dxfId="714" priority="510" operator="containsText" text="PASS">
      <formula>NOT(ISERROR(SEARCH("PASS",A54)))</formula>
    </cfRule>
    <cfRule type="containsText" dxfId="713" priority="511" operator="containsText" text="FAIL">
      <formula>NOT(ISERROR(SEARCH("FAIL",A54)))</formula>
    </cfRule>
  </conditionalFormatting>
  <conditionalFormatting sqref="D54">
    <cfRule type="containsText" dxfId="712" priority="508" operator="containsText" text="PASS">
      <formula>NOT(ISERROR(SEARCH("PASS",D54)))</formula>
    </cfRule>
    <cfRule type="containsText" dxfId="711" priority="509" operator="containsText" text="FAIL">
      <formula>NOT(ISERROR(SEARCH("FAIL",D54)))</formula>
    </cfRule>
  </conditionalFormatting>
  <conditionalFormatting sqref="A54:B54 D54">
    <cfRule type="cellIs" dxfId="710" priority="507" operator="equal">
      <formula>"None"</formula>
    </cfRule>
  </conditionalFormatting>
  <conditionalFormatting sqref="D54">
    <cfRule type="containsText" dxfId="709" priority="505" operator="containsText" text="PASS">
      <formula>NOT(ISERROR(SEARCH("PASS",D54)))</formula>
    </cfRule>
    <cfRule type="containsText" dxfId="708" priority="506" operator="containsText" text="FAIL">
      <formula>NOT(ISERROR(SEARCH("FAIL",D54)))</formula>
    </cfRule>
  </conditionalFormatting>
  <conditionalFormatting sqref="D54">
    <cfRule type="cellIs" dxfId="707" priority="504" operator="equal">
      <formula>"None"</formula>
    </cfRule>
  </conditionalFormatting>
  <conditionalFormatting sqref="G54:G55">
    <cfRule type="cellIs" dxfId="706" priority="494" operator="equal">
      <formula>"None"</formula>
    </cfRule>
  </conditionalFormatting>
  <conditionalFormatting sqref="G54:G55">
    <cfRule type="cellIs" dxfId="705" priority="493" operator="equal">
      <formula>"None"</formula>
    </cfRule>
  </conditionalFormatting>
  <conditionalFormatting sqref="F20 F16">
    <cfRule type="containsText" dxfId="704" priority="305" operator="containsText" text="PASS">
      <formula>NOT(ISERROR(SEARCH("PASS",F16)))</formula>
    </cfRule>
    <cfRule type="containsText" dxfId="703" priority="306" operator="containsText" text="FAIL">
      <formula>NOT(ISERROR(SEARCH("FAIL",F16)))</formula>
    </cfRule>
  </conditionalFormatting>
  <conditionalFormatting sqref="F20 F16">
    <cfRule type="cellIs" dxfId="702" priority="304" operator="equal">
      <formula>"None"</formula>
    </cfRule>
  </conditionalFormatting>
  <conditionalFormatting sqref="F19">
    <cfRule type="containsText" dxfId="701" priority="296" operator="containsText" text="PASS">
      <formula>NOT(ISERROR(SEARCH("PASS",F19)))</formula>
    </cfRule>
    <cfRule type="containsText" dxfId="700" priority="297" operator="containsText" text="FAIL">
      <formula>NOT(ISERROR(SEARCH("FAIL",F19)))</formula>
    </cfRule>
  </conditionalFormatting>
  <conditionalFormatting sqref="F19">
    <cfRule type="cellIs" dxfId="699" priority="295" operator="equal">
      <formula>"None"</formula>
    </cfRule>
  </conditionalFormatting>
  <conditionalFormatting sqref="A16:B16 D16">
    <cfRule type="cellIs" dxfId="698" priority="290" operator="equal">
      <formula>"None"</formula>
    </cfRule>
  </conditionalFormatting>
  <conditionalFormatting sqref="D16 D19:D20">
    <cfRule type="containsText" dxfId="697" priority="288" operator="containsText" text="PASS">
      <formula>NOT(ISERROR(SEARCH("PASS",D16)))</formula>
    </cfRule>
    <cfRule type="containsText" dxfId="696" priority="289" operator="containsText" text="FAIL">
      <formula>NOT(ISERROR(SEARCH("FAIL",D16)))</formula>
    </cfRule>
  </conditionalFormatting>
  <conditionalFormatting sqref="D16 D19:D20">
    <cfRule type="cellIs" dxfId="695" priority="287" operator="equal">
      <formula>"None"</formula>
    </cfRule>
  </conditionalFormatting>
  <conditionalFormatting sqref="D19">
    <cfRule type="containsText" dxfId="694" priority="282" operator="containsText" text="PASS">
      <formula>NOT(ISERROR(SEARCH("PASS",D19)))</formula>
    </cfRule>
    <cfRule type="containsText" dxfId="693" priority="283" operator="containsText" text="FAIL">
      <formula>NOT(ISERROR(SEARCH("FAIL",D19)))</formula>
    </cfRule>
  </conditionalFormatting>
  <conditionalFormatting sqref="D19">
    <cfRule type="cellIs" dxfId="692" priority="281" operator="equal">
      <formula>"None"</formula>
    </cfRule>
  </conditionalFormatting>
  <conditionalFormatting sqref="D16">
    <cfRule type="containsText" dxfId="691" priority="291" operator="containsText" text="PASS">
      <formula>NOT(ISERROR(SEARCH("PASS",D16)))</formula>
    </cfRule>
    <cfRule type="containsText" dxfId="690" priority="292" operator="containsText" text="FAIL">
      <formula>NOT(ISERROR(SEARCH("FAIL",D16)))</formula>
    </cfRule>
  </conditionalFormatting>
  <conditionalFormatting sqref="A16">
    <cfRule type="containsText" dxfId="689" priority="293" operator="containsText" text="PASS">
      <formula>NOT(ISERROR(SEARCH("PASS",A16)))</formula>
    </cfRule>
    <cfRule type="containsText" dxfId="688" priority="294" operator="containsText" text="FAIL">
      <formula>NOT(ISERROR(SEARCH("FAIL",A16)))</formula>
    </cfRule>
  </conditionalFormatting>
  <conditionalFormatting sqref="D20">
    <cfRule type="cellIs" dxfId="687" priority="278" operator="equal">
      <formula>"None"</formula>
    </cfRule>
  </conditionalFormatting>
  <conditionalFormatting sqref="D20">
    <cfRule type="containsText" dxfId="686" priority="279" operator="containsText" text="PASS">
      <formula>NOT(ISERROR(SEARCH("PASS",D20)))</formula>
    </cfRule>
    <cfRule type="containsText" dxfId="685" priority="280" operator="containsText" text="FAIL">
      <formula>NOT(ISERROR(SEARCH("FAIL",D20)))</formula>
    </cfRule>
  </conditionalFormatting>
  <conditionalFormatting sqref="G16:G20">
    <cfRule type="cellIs" dxfId="684" priority="277" operator="equal">
      <formula>"None"</formula>
    </cfRule>
  </conditionalFormatting>
  <conditionalFormatting sqref="G16:G20">
    <cfRule type="cellIs" dxfId="683" priority="276" operator="equal">
      <formula>"None"</formula>
    </cfRule>
  </conditionalFormatting>
  <conditionalFormatting sqref="F25 F21">
    <cfRule type="containsText" dxfId="682" priority="274" operator="containsText" text="PASS">
      <formula>NOT(ISERROR(SEARCH("PASS",F21)))</formula>
    </cfRule>
    <cfRule type="containsText" dxfId="681" priority="275" operator="containsText" text="FAIL">
      <formula>NOT(ISERROR(SEARCH("FAIL",F21)))</formula>
    </cfRule>
  </conditionalFormatting>
  <conditionalFormatting sqref="F25 F21">
    <cfRule type="cellIs" dxfId="680" priority="273" operator="equal">
      <formula>"None"</formula>
    </cfRule>
  </conditionalFormatting>
  <conditionalFormatting sqref="F24">
    <cfRule type="containsText" dxfId="679" priority="265" operator="containsText" text="PASS">
      <formula>NOT(ISERROR(SEARCH("PASS",F24)))</formula>
    </cfRule>
    <cfRule type="containsText" dxfId="678" priority="266" operator="containsText" text="FAIL">
      <formula>NOT(ISERROR(SEARCH("FAIL",F24)))</formula>
    </cfRule>
  </conditionalFormatting>
  <conditionalFormatting sqref="F24">
    <cfRule type="cellIs" dxfId="677" priority="264" operator="equal">
      <formula>"None"</formula>
    </cfRule>
  </conditionalFormatting>
  <conditionalFormatting sqref="A21:B21 D21">
    <cfRule type="cellIs" dxfId="676" priority="259" operator="equal">
      <formula>"None"</formula>
    </cfRule>
  </conditionalFormatting>
  <conditionalFormatting sqref="D21 D24:D25">
    <cfRule type="containsText" dxfId="675" priority="257" operator="containsText" text="PASS">
      <formula>NOT(ISERROR(SEARCH("PASS",D21)))</formula>
    </cfRule>
    <cfRule type="containsText" dxfId="674" priority="258" operator="containsText" text="FAIL">
      <formula>NOT(ISERROR(SEARCH("FAIL",D21)))</formula>
    </cfRule>
  </conditionalFormatting>
  <conditionalFormatting sqref="D21 D24:D25">
    <cfRule type="cellIs" dxfId="673" priority="256" operator="equal">
      <formula>"None"</formula>
    </cfRule>
  </conditionalFormatting>
  <conditionalFormatting sqref="D24">
    <cfRule type="containsText" dxfId="672" priority="251" operator="containsText" text="PASS">
      <formula>NOT(ISERROR(SEARCH("PASS",D24)))</formula>
    </cfRule>
    <cfRule type="containsText" dxfId="671" priority="252" operator="containsText" text="FAIL">
      <formula>NOT(ISERROR(SEARCH("FAIL",D24)))</formula>
    </cfRule>
  </conditionalFormatting>
  <conditionalFormatting sqref="D24">
    <cfRule type="cellIs" dxfId="670" priority="250" operator="equal">
      <formula>"None"</formula>
    </cfRule>
  </conditionalFormatting>
  <conditionalFormatting sqref="D21">
    <cfRule type="containsText" dxfId="669" priority="260" operator="containsText" text="PASS">
      <formula>NOT(ISERROR(SEARCH("PASS",D21)))</formula>
    </cfRule>
    <cfRule type="containsText" dxfId="668" priority="261" operator="containsText" text="FAIL">
      <formula>NOT(ISERROR(SEARCH("FAIL",D21)))</formula>
    </cfRule>
  </conditionalFormatting>
  <conditionalFormatting sqref="A21">
    <cfRule type="containsText" dxfId="667" priority="262" operator="containsText" text="PASS">
      <formula>NOT(ISERROR(SEARCH("PASS",A21)))</formula>
    </cfRule>
    <cfRule type="containsText" dxfId="666" priority="263" operator="containsText" text="FAIL">
      <formula>NOT(ISERROR(SEARCH("FAIL",A21)))</formula>
    </cfRule>
  </conditionalFormatting>
  <conditionalFormatting sqref="D25">
    <cfRule type="cellIs" dxfId="665" priority="247" operator="equal">
      <formula>"None"</formula>
    </cfRule>
  </conditionalFormatting>
  <conditionalFormatting sqref="D25">
    <cfRule type="containsText" dxfId="664" priority="248" operator="containsText" text="PASS">
      <formula>NOT(ISERROR(SEARCH("PASS",D25)))</formula>
    </cfRule>
    <cfRule type="containsText" dxfId="663" priority="249" operator="containsText" text="FAIL">
      <formula>NOT(ISERROR(SEARCH("FAIL",D25)))</formula>
    </cfRule>
  </conditionalFormatting>
  <conditionalFormatting sqref="G21:G25">
    <cfRule type="cellIs" dxfId="662" priority="246" operator="equal">
      <formula>"None"</formula>
    </cfRule>
  </conditionalFormatting>
  <conditionalFormatting sqref="G21:G25">
    <cfRule type="cellIs" dxfId="661" priority="245" operator="equal">
      <formula>"None"</formula>
    </cfRule>
  </conditionalFormatting>
  <conditionalFormatting sqref="F30 F26">
    <cfRule type="containsText" dxfId="660" priority="243" operator="containsText" text="PASS">
      <formula>NOT(ISERROR(SEARCH("PASS",F26)))</formula>
    </cfRule>
    <cfRule type="containsText" dxfId="659" priority="244" operator="containsText" text="FAIL">
      <formula>NOT(ISERROR(SEARCH("FAIL",F26)))</formula>
    </cfRule>
  </conditionalFormatting>
  <conditionalFormatting sqref="F30 F26">
    <cfRule type="cellIs" dxfId="658" priority="242" operator="equal">
      <formula>"None"</formula>
    </cfRule>
  </conditionalFormatting>
  <conditionalFormatting sqref="F29">
    <cfRule type="containsText" dxfId="657" priority="234" operator="containsText" text="PASS">
      <formula>NOT(ISERROR(SEARCH("PASS",F29)))</formula>
    </cfRule>
    <cfRule type="containsText" dxfId="656" priority="235" operator="containsText" text="FAIL">
      <formula>NOT(ISERROR(SEARCH("FAIL",F29)))</formula>
    </cfRule>
  </conditionalFormatting>
  <conditionalFormatting sqref="F29">
    <cfRule type="cellIs" dxfId="655" priority="233" operator="equal">
      <formula>"None"</formula>
    </cfRule>
  </conditionalFormatting>
  <conditionalFormatting sqref="A26:B26 D26">
    <cfRule type="cellIs" dxfId="654" priority="228" operator="equal">
      <formula>"None"</formula>
    </cfRule>
  </conditionalFormatting>
  <conditionalFormatting sqref="D26 D29:D30">
    <cfRule type="containsText" dxfId="653" priority="226" operator="containsText" text="PASS">
      <formula>NOT(ISERROR(SEARCH("PASS",D26)))</formula>
    </cfRule>
    <cfRule type="containsText" dxfId="652" priority="227" operator="containsText" text="FAIL">
      <formula>NOT(ISERROR(SEARCH("FAIL",D26)))</formula>
    </cfRule>
  </conditionalFormatting>
  <conditionalFormatting sqref="D26 D29:D30">
    <cfRule type="cellIs" dxfId="651" priority="225" operator="equal">
      <formula>"None"</formula>
    </cfRule>
  </conditionalFormatting>
  <conditionalFormatting sqref="D29">
    <cfRule type="containsText" dxfId="650" priority="220" operator="containsText" text="PASS">
      <formula>NOT(ISERROR(SEARCH("PASS",D29)))</formula>
    </cfRule>
    <cfRule type="containsText" dxfId="649" priority="221" operator="containsText" text="FAIL">
      <formula>NOT(ISERROR(SEARCH("FAIL",D29)))</formula>
    </cfRule>
  </conditionalFormatting>
  <conditionalFormatting sqref="D29">
    <cfRule type="cellIs" dxfId="648" priority="219" operator="equal">
      <formula>"None"</formula>
    </cfRule>
  </conditionalFormatting>
  <conditionalFormatting sqref="D26">
    <cfRule type="containsText" dxfId="647" priority="229" operator="containsText" text="PASS">
      <formula>NOT(ISERROR(SEARCH("PASS",D26)))</formula>
    </cfRule>
    <cfRule type="containsText" dxfId="646" priority="230" operator="containsText" text="FAIL">
      <formula>NOT(ISERROR(SEARCH("FAIL",D26)))</formula>
    </cfRule>
  </conditionalFormatting>
  <conditionalFormatting sqref="A26">
    <cfRule type="containsText" dxfId="645" priority="231" operator="containsText" text="PASS">
      <formula>NOT(ISERROR(SEARCH("PASS",A26)))</formula>
    </cfRule>
    <cfRule type="containsText" dxfId="644" priority="232" operator="containsText" text="FAIL">
      <formula>NOT(ISERROR(SEARCH("FAIL",A26)))</formula>
    </cfRule>
  </conditionalFormatting>
  <conditionalFormatting sqref="D30">
    <cfRule type="cellIs" dxfId="643" priority="216" operator="equal">
      <formula>"None"</formula>
    </cfRule>
  </conditionalFormatting>
  <conditionalFormatting sqref="D30">
    <cfRule type="containsText" dxfId="642" priority="217" operator="containsText" text="PASS">
      <formula>NOT(ISERROR(SEARCH("PASS",D30)))</formula>
    </cfRule>
    <cfRule type="containsText" dxfId="641" priority="218" operator="containsText" text="FAIL">
      <formula>NOT(ISERROR(SEARCH("FAIL",D30)))</formula>
    </cfRule>
  </conditionalFormatting>
  <conditionalFormatting sqref="G26:G30">
    <cfRule type="cellIs" dxfId="640" priority="215" operator="equal">
      <formula>"None"</formula>
    </cfRule>
  </conditionalFormatting>
  <conditionalFormatting sqref="G26:G30">
    <cfRule type="cellIs" dxfId="639" priority="214" operator="equal">
      <formula>"None"</formula>
    </cfRule>
  </conditionalFormatting>
  <conditionalFormatting sqref="F35 F31">
    <cfRule type="containsText" dxfId="638" priority="212" operator="containsText" text="PASS">
      <formula>NOT(ISERROR(SEARCH("PASS",F31)))</formula>
    </cfRule>
    <cfRule type="containsText" dxfId="637" priority="213" operator="containsText" text="FAIL">
      <formula>NOT(ISERROR(SEARCH("FAIL",F31)))</formula>
    </cfRule>
  </conditionalFormatting>
  <conditionalFormatting sqref="F35 F31">
    <cfRule type="cellIs" dxfId="636" priority="211" operator="equal">
      <formula>"None"</formula>
    </cfRule>
  </conditionalFormatting>
  <conditionalFormatting sqref="F34">
    <cfRule type="containsText" dxfId="635" priority="203" operator="containsText" text="PASS">
      <formula>NOT(ISERROR(SEARCH("PASS",F34)))</formula>
    </cfRule>
    <cfRule type="containsText" dxfId="634" priority="204" operator="containsText" text="FAIL">
      <formula>NOT(ISERROR(SEARCH("FAIL",F34)))</formula>
    </cfRule>
  </conditionalFormatting>
  <conditionalFormatting sqref="F34">
    <cfRule type="cellIs" dxfId="633" priority="202" operator="equal">
      <formula>"None"</formula>
    </cfRule>
  </conditionalFormatting>
  <conditionalFormatting sqref="A31:B31 D31">
    <cfRule type="cellIs" dxfId="632" priority="197" operator="equal">
      <formula>"None"</formula>
    </cfRule>
  </conditionalFormatting>
  <conditionalFormatting sqref="D31 D34:D35">
    <cfRule type="containsText" dxfId="631" priority="195" operator="containsText" text="PASS">
      <formula>NOT(ISERROR(SEARCH("PASS",D31)))</formula>
    </cfRule>
    <cfRule type="containsText" dxfId="630" priority="196" operator="containsText" text="FAIL">
      <formula>NOT(ISERROR(SEARCH("FAIL",D31)))</formula>
    </cfRule>
  </conditionalFormatting>
  <conditionalFormatting sqref="D31 D34:D35">
    <cfRule type="cellIs" dxfId="629" priority="194" operator="equal">
      <formula>"None"</formula>
    </cfRule>
  </conditionalFormatting>
  <conditionalFormatting sqref="D34">
    <cfRule type="containsText" dxfId="628" priority="189" operator="containsText" text="PASS">
      <formula>NOT(ISERROR(SEARCH("PASS",D34)))</formula>
    </cfRule>
    <cfRule type="containsText" dxfId="627" priority="190" operator="containsText" text="FAIL">
      <formula>NOT(ISERROR(SEARCH("FAIL",D34)))</formula>
    </cfRule>
  </conditionalFormatting>
  <conditionalFormatting sqref="D34">
    <cfRule type="cellIs" dxfId="626" priority="188" operator="equal">
      <formula>"None"</formula>
    </cfRule>
  </conditionalFormatting>
  <conditionalFormatting sqref="D31">
    <cfRule type="containsText" dxfId="625" priority="198" operator="containsText" text="PASS">
      <formula>NOT(ISERROR(SEARCH("PASS",D31)))</formula>
    </cfRule>
    <cfRule type="containsText" dxfId="624" priority="199" operator="containsText" text="FAIL">
      <formula>NOT(ISERROR(SEARCH("FAIL",D31)))</formula>
    </cfRule>
  </conditionalFormatting>
  <conditionalFormatting sqref="A31">
    <cfRule type="containsText" dxfId="623" priority="200" operator="containsText" text="PASS">
      <formula>NOT(ISERROR(SEARCH("PASS",A31)))</formula>
    </cfRule>
    <cfRule type="containsText" dxfId="622" priority="201" operator="containsText" text="FAIL">
      <formula>NOT(ISERROR(SEARCH("FAIL",A31)))</formula>
    </cfRule>
  </conditionalFormatting>
  <conditionalFormatting sqref="D35">
    <cfRule type="cellIs" dxfId="621" priority="185" operator="equal">
      <formula>"None"</formula>
    </cfRule>
  </conditionalFormatting>
  <conditionalFormatting sqref="D35">
    <cfRule type="containsText" dxfId="620" priority="186" operator="containsText" text="PASS">
      <formula>NOT(ISERROR(SEARCH("PASS",D35)))</formula>
    </cfRule>
    <cfRule type="containsText" dxfId="619" priority="187" operator="containsText" text="FAIL">
      <formula>NOT(ISERROR(SEARCH("FAIL",D35)))</formula>
    </cfRule>
  </conditionalFormatting>
  <conditionalFormatting sqref="G31:G35">
    <cfRule type="cellIs" dxfId="618" priority="184" operator="equal">
      <formula>"None"</formula>
    </cfRule>
  </conditionalFormatting>
  <conditionalFormatting sqref="G31:G35">
    <cfRule type="cellIs" dxfId="617" priority="183" operator="equal">
      <formula>"None"</formula>
    </cfRule>
  </conditionalFormatting>
  <conditionalFormatting sqref="F40 F36">
    <cfRule type="containsText" dxfId="616" priority="181" operator="containsText" text="PASS">
      <formula>NOT(ISERROR(SEARCH("PASS",F36)))</formula>
    </cfRule>
    <cfRule type="containsText" dxfId="615" priority="182" operator="containsText" text="FAIL">
      <formula>NOT(ISERROR(SEARCH("FAIL",F36)))</formula>
    </cfRule>
  </conditionalFormatting>
  <conditionalFormatting sqref="F40 F36">
    <cfRule type="cellIs" dxfId="614" priority="180" operator="equal">
      <formula>"None"</formula>
    </cfRule>
  </conditionalFormatting>
  <conditionalFormatting sqref="F39">
    <cfRule type="containsText" dxfId="613" priority="172" operator="containsText" text="PASS">
      <formula>NOT(ISERROR(SEARCH("PASS",F39)))</formula>
    </cfRule>
    <cfRule type="containsText" dxfId="612" priority="173" operator="containsText" text="FAIL">
      <formula>NOT(ISERROR(SEARCH("FAIL",F39)))</formula>
    </cfRule>
  </conditionalFormatting>
  <conditionalFormatting sqref="F39">
    <cfRule type="cellIs" dxfId="611" priority="171" operator="equal">
      <formula>"None"</formula>
    </cfRule>
  </conditionalFormatting>
  <conditionalFormatting sqref="A36:B36 D36">
    <cfRule type="cellIs" dxfId="610" priority="166" operator="equal">
      <formula>"None"</formula>
    </cfRule>
  </conditionalFormatting>
  <conditionalFormatting sqref="D36 D39:D40">
    <cfRule type="containsText" dxfId="609" priority="164" operator="containsText" text="PASS">
      <formula>NOT(ISERROR(SEARCH("PASS",D36)))</formula>
    </cfRule>
    <cfRule type="containsText" dxfId="608" priority="165" operator="containsText" text="FAIL">
      <formula>NOT(ISERROR(SEARCH("FAIL",D36)))</formula>
    </cfRule>
  </conditionalFormatting>
  <conditionalFormatting sqref="D36 D39:D40">
    <cfRule type="cellIs" dxfId="607" priority="163" operator="equal">
      <formula>"None"</formula>
    </cfRule>
  </conditionalFormatting>
  <conditionalFormatting sqref="D39">
    <cfRule type="containsText" dxfId="606" priority="158" operator="containsText" text="PASS">
      <formula>NOT(ISERROR(SEARCH("PASS",D39)))</formula>
    </cfRule>
    <cfRule type="containsText" dxfId="605" priority="159" operator="containsText" text="FAIL">
      <formula>NOT(ISERROR(SEARCH("FAIL",D39)))</formula>
    </cfRule>
  </conditionalFormatting>
  <conditionalFormatting sqref="D39">
    <cfRule type="cellIs" dxfId="604" priority="157" operator="equal">
      <formula>"None"</formula>
    </cfRule>
  </conditionalFormatting>
  <conditionalFormatting sqref="D36">
    <cfRule type="containsText" dxfId="603" priority="167" operator="containsText" text="PASS">
      <formula>NOT(ISERROR(SEARCH("PASS",D36)))</formula>
    </cfRule>
    <cfRule type="containsText" dxfId="602" priority="168" operator="containsText" text="FAIL">
      <formula>NOT(ISERROR(SEARCH("FAIL",D36)))</formula>
    </cfRule>
  </conditionalFormatting>
  <conditionalFormatting sqref="A36">
    <cfRule type="containsText" dxfId="601" priority="169" operator="containsText" text="PASS">
      <formula>NOT(ISERROR(SEARCH("PASS",A36)))</formula>
    </cfRule>
    <cfRule type="containsText" dxfId="600" priority="170" operator="containsText" text="FAIL">
      <formula>NOT(ISERROR(SEARCH("FAIL",A36)))</formula>
    </cfRule>
  </conditionalFormatting>
  <conditionalFormatting sqref="D40">
    <cfRule type="cellIs" dxfId="599" priority="154" operator="equal">
      <formula>"None"</formula>
    </cfRule>
  </conditionalFormatting>
  <conditionalFormatting sqref="D40">
    <cfRule type="containsText" dxfId="598" priority="155" operator="containsText" text="PASS">
      <formula>NOT(ISERROR(SEARCH("PASS",D40)))</formula>
    </cfRule>
    <cfRule type="containsText" dxfId="597" priority="156" operator="containsText" text="FAIL">
      <formula>NOT(ISERROR(SEARCH("FAIL",D40)))</formula>
    </cfRule>
  </conditionalFormatting>
  <conditionalFormatting sqref="G36:G40">
    <cfRule type="cellIs" dxfId="596" priority="153" operator="equal">
      <formula>"None"</formula>
    </cfRule>
  </conditionalFormatting>
  <conditionalFormatting sqref="G36:G40">
    <cfRule type="cellIs" dxfId="595" priority="152" operator="equal">
      <formula>"None"</formula>
    </cfRule>
  </conditionalFormatting>
  <conditionalFormatting sqref="F45 F41">
    <cfRule type="containsText" dxfId="594" priority="150" operator="containsText" text="PASS">
      <formula>NOT(ISERROR(SEARCH("PASS",F41)))</formula>
    </cfRule>
    <cfRule type="containsText" dxfId="593" priority="151" operator="containsText" text="FAIL">
      <formula>NOT(ISERROR(SEARCH("FAIL",F41)))</formula>
    </cfRule>
  </conditionalFormatting>
  <conditionalFormatting sqref="F45 F41">
    <cfRule type="cellIs" dxfId="592" priority="149" operator="equal">
      <formula>"None"</formula>
    </cfRule>
  </conditionalFormatting>
  <conditionalFormatting sqref="F44">
    <cfRule type="containsText" dxfId="591" priority="141" operator="containsText" text="PASS">
      <formula>NOT(ISERROR(SEARCH("PASS",F44)))</formula>
    </cfRule>
    <cfRule type="containsText" dxfId="590" priority="142" operator="containsText" text="FAIL">
      <formula>NOT(ISERROR(SEARCH("FAIL",F44)))</formula>
    </cfRule>
  </conditionalFormatting>
  <conditionalFormatting sqref="F44">
    <cfRule type="cellIs" dxfId="589" priority="140" operator="equal">
      <formula>"None"</formula>
    </cfRule>
  </conditionalFormatting>
  <conditionalFormatting sqref="A41:B41 D41">
    <cfRule type="cellIs" dxfId="588" priority="135" operator="equal">
      <formula>"None"</formula>
    </cfRule>
  </conditionalFormatting>
  <conditionalFormatting sqref="D41 D44:D45">
    <cfRule type="containsText" dxfId="587" priority="133" operator="containsText" text="PASS">
      <formula>NOT(ISERROR(SEARCH("PASS",D41)))</formula>
    </cfRule>
    <cfRule type="containsText" dxfId="586" priority="134" operator="containsText" text="FAIL">
      <formula>NOT(ISERROR(SEARCH("FAIL",D41)))</formula>
    </cfRule>
  </conditionalFormatting>
  <conditionalFormatting sqref="D41 D44:D45">
    <cfRule type="cellIs" dxfId="585" priority="132" operator="equal">
      <formula>"None"</formula>
    </cfRule>
  </conditionalFormatting>
  <conditionalFormatting sqref="D44">
    <cfRule type="containsText" dxfId="584" priority="127" operator="containsText" text="PASS">
      <formula>NOT(ISERROR(SEARCH("PASS",D44)))</formula>
    </cfRule>
    <cfRule type="containsText" dxfId="583" priority="128" operator="containsText" text="FAIL">
      <formula>NOT(ISERROR(SEARCH("FAIL",D44)))</formula>
    </cfRule>
  </conditionalFormatting>
  <conditionalFormatting sqref="D44">
    <cfRule type="cellIs" dxfId="582" priority="126" operator="equal">
      <formula>"None"</formula>
    </cfRule>
  </conditionalFormatting>
  <conditionalFormatting sqref="D41">
    <cfRule type="containsText" dxfId="581" priority="136" operator="containsText" text="PASS">
      <formula>NOT(ISERROR(SEARCH("PASS",D41)))</formula>
    </cfRule>
    <cfRule type="containsText" dxfId="580" priority="137" operator="containsText" text="FAIL">
      <formula>NOT(ISERROR(SEARCH("FAIL",D41)))</formula>
    </cfRule>
  </conditionalFormatting>
  <conditionalFormatting sqref="A41">
    <cfRule type="containsText" dxfId="579" priority="138" operator="containsText" text="PASS">
      <formula>NOT(ISERROR(SEARCH("PASS",A41)))</formula>
    </cfRule>
    <cfRule type="containsText" dxfId="578" priority="139" operator="containsText" text="FAIL">
      <formula>NOT(ISERROR(SEARCH("FAIL",A41)))</formula>
    </cfRule>
  </conditionalFormatting>
  <conditionalFormatting sqref="D45">
    <cfRule type="cellIs" dxfId="577" priority="123" operator="equal">
      <formula>"None"</formula>
    </cfRule>
  </conditionalFormatting>
  <conditionalFormatting sqref="D45">
    <cfRule type="containsText" dxfId="576" priority="124" operator="containsText" text="PASS">
      <formula>NOT(ISERROR(SEARCH("PASS",D45)))</formula>
    </cfRule>
    <cfRule type="containsText" dxfId="575" priority="125" operator="containsText" text="FAIL">
      <formula>NOT(ISERROR(SEARCH("FAIL",D45)))</formula>
    </cfRule>
  </conditionalFormatting>
  <conditionalFormatting sqref="G41:G45">
    <cfRule type="cellIs" dxfId="574" priority="122" operator="equal">
      <formula>"None"</formula>
    </cfRule>
  </conditionalFormatting>
  <conditionalFormatting sqref="G41:G45">
    <cfRule type="cellIs" dxfId="573" priority="121" operator="equal">
      <formula>"None"</formula>
    </cfRule>
  </conditionalFormatting>
  <conditionalFormatting sqref="F50 F46">
    <cfRule type="containsText" dxfId="572" priority="119" operator="containsText" text="PASS">
      <formula>NOT(ISERROR(SEARCH("PASS",F46)))</formula>
    </cfRule>
    <cfRule type="containsText" dxfId="571" priority="120" operator="containsText" text="FAIL">
      <formula>NOT(ISERROR(SEARCH("FAIL",F46)))</formula>
    </cfRule>
  </conditionalFormatting>
  <conditionalFormatting sqref="F50 F46">
    <cfRule type="cellIs" dxfId="570" priority="118" operator="equal">
      <formula>"None"</formula>
    </cfRule>
  </conditionalFormatting>
  <conditionalFormatting sqref="F49">
    <cfRule type="containsText" dxfId="569" priority="110" operator="containsText" text="PASS">
      <formula>NOT(ISERROR(SEARCH("PASS",F49)))</formula>
    </cfRule>
    <cfRule type="containsText" dxfId="568" priority="111" operator="containsText" text="FAIL">
      <formula>NOT(ISERROR(SEARCH("FAIL",F49)))</formula>
    </cfRule>
  </conditionalFormatting>
  <conditionalFormatting sqref="F49">
    <cfRule type="cellIs" dxfId="567" priority="109" operator="equal">
      <formula>"None"</formula>
    </cfRule>
  </conditionalFormatting>
  <conditionalFormatting sqref="A46:B46 D46">
    <cfRule type="cellIs" dxfId="566" priority="104" operator="equal">
      <formula>"None"</formula>
    </cfRule>
  </conditionalFormatting>
  <conditionalFormatting sqref="D46 D49:D50">
    <cfRule type="containsText" dxfId="565" priority="102" operator="containsText" text="PASS">
      <formula>NOT(ISERROR(SEARCH("PASS",D46)))</formula>
    </cfRule>
    <cfRule type="containsText" dxfId="564" priority="103" operator="containsText" text="FAIL">
      <formula>NOT(ISERROR(SEARCH("FAIL",D46)))</formula>
    </cfRule>
  </conditionalFormatting>
  <conditionalFormatting sqref="D46 D49:D50">
    <cfRule type="cellIs" dxfId="563" priority="101" operator="equal">
      <formula>"None"</formula>
    </cfRule>
  </conditionalFormatting>
  <conditionalFormatting sqref="D49">
    <cfRule type="containsText" dxfId="562" priority="96" operator="containsText" text="PASS">
      <formula>NOT(ISERROR(SEARCH("PASS",D49)))</formula>
    </cfRule>
    <cfRule type="containsText" dxfId="561" priority="97" operator="containsText" text="FAIL">
      <formula>NOT(ISERROR(SEARCH("FAIL",D49)))</formula>
    </cfRule>
  </conditionalFormatting>
  <conditionalFormatting sqref="D49">
    <cfRule type="cellIs" dxfId="560" priority="95" operator="equal">
      <formula>"None"</formula>
    </cfRule>
  </conditionalFormatting>
  <conditionalFormatting sqref="D46">
    <cfRule type="containsText" dxfId="559" priority="105" operator="containsText" text="PASS">
      <formula>NOT(ISERROR(SEARCH("PASS",D46)))</formula>
    </cfRule>
    <cfRule type="containsText" dxfId="558" priority="106" operator="containsText" text="FAIL">
      <formula>NOT(ISERROR(SEARCH("FAIL",D46)))</formula>
    </cfRule>
  </conditionalFormatting>
  <conditionalFormatting sqref="A46">
    <cfRule type="containsText" dxfId="557" priority="107" operator="containsText" text="PASS">
      <formula>NOT(ISERROR(SEARCH("PASS",A46)))</formula>
    </cfRule>
    <cfRule type="containsText" dxfId="556" priority="108" operator="containsText" text="FAIL">
      <formula>NOT(ISERROR(SEARCH("FAIL",A46)))</formula>
    </cfRule>
  </conditionalFormatting>
  <conditionalFormatting sqref="D50">
    <cfRule type="cellIs" dxfId="555" priority="92" operator="equal">
      <formula>"None"</formula>
    </cfRule>
  </conditionalFormatting>
  <conditionalFormatting sqref="D50">
    <cfRule type="containsText" dxfId="554" priority="93" operator="containsText" text="PASS">
      <formula>NOT(ISERROR(SEARCH("PASS",D50)))</formula>
    </cfRule>
    <cfRule type="containsText" dxfId="553" priority="94" operator="containsText" text="FAIL">
      <formula>NOT(ISERROR(SEARCH("FAIL",D50)))</formula>
    </cfRule>
  </conditionalFormatting>
  <conditionalFormatting sqref="G46:G50">
    <cfRule type="cellIs" dxfId="552" priority="91" operator="equal">
      <formula>"None"</formula>
    </cfRule>
  </conditionalFormatting>
  <conditionalFormatting sqref="G46:G50">
    <cfRule type="cellIs" dxfId="551" priority="90" operator="equal">
      <formula>"None"</formula>
    </cfRule>
  </conditionalFormatting>
  <conditionalFormatting sqref="D55">
    <cfRule type="cellIs" dxfId="550" priority="851" stopIfTrue="1" operator="equal">
      <formula>"FAIL"</formula>
    </cfRule>
  </conditionalFormatting>
  <conditionalFormatting sqref="D55">
    <cfRule type="cellIs" dxfId="549" priority="852" stopIfTrue="1" operator="equal">
      <formula>"PASS"</formula>
    </cfRule>
  </conditionalFormatting>
  <conditionalFormatting sqref="D55">
    <cfRule type="cellIs" dxfId="548" priority="853" stopIfTrue="1" operator="equal">
      <formula>"None"</formula>
    </cfRule>
  </conditionalFormatting>
  <conditionalFormatting sqref="F55">
    <cfRule type="cellIs" dxfId="547" priority="854" stopIfTrue="1" operator="equal">
      <formula>"FAIL"</formula>
    </cfRule>
  </conditionalFormatting>
  <conditionalFormatting sqref="F55">
    <cfRule type="cellIs" dxfId="546" priority="855" stopIfTrue="1" operator="equal">
      <formula>"PASS"</formula>
    </cfRule>
  </conditionalFormatting>
  <conditionalFormatting sqref="F55">
    <cfRule type="cellIs" dxfId="545" priority="856" stopIfTrue="1" operator="equal">
      <formula>"None"</formula>
    </cfRule>
  </conditionalFormatting>
  <conditionalFormatting sqref="H51:H54 H56:H59">
    <cfRule type="cellIs" dxfId="544" priority="89" operator="equal">
      <formula>"None"</formula>
    </cfRule>
  </conditionalFormatting>
  <conditionalFormatting sqref="H51:H54 H56:H59">
    <cfRule type="cellIs" dxfId="543" priority="88" operator="equal">
      <formula>"None"</formula>
    </cfRule>
  </conditionalFormatting>
  <conditionalFormatting sqref="F17:F18">
    <cfRule type="containsText" dxfId="542" priority="86" operator="containsText" text="PASS">
      <formula>NOT(ISERROR(SEARCH("PASS",F17)))</formula>
    </cfRule>
    <cfRule type="containsText" dxfId="541" priority="87" operator="containsText" text="FAIL">
      <formula>NOT(ISERROR(SEARCH("FAIL",F17)))</formula>
    </cfRule>
  </conditionalFormatting>
  <conditionalFormatting sqref="F17:F18">
    <cfRule type="cellIs" dxfId="540" priority="85" operator="equal">
      <formula>"None"</formula>
    </cfRule>
  </conditionalFormatting>
  <conditionalFormatting sqref="D18">
    <cfRule type="containsText" dxfId="539" priority="77" operator="containsText" text="PASS">
      <formula>NOT(ISERROR(SEARCH("PASS",D18)))</formula>
    </cfRule>
    <cfRule type="containsText" dxfId="538" priority="78" operator="containsText" text="FAIL">
      <formula>NOT(ISERROR(SEARCH("FAIL",D18)))</formula>
    </cfRule>
  </conditionalFormatting>
  <conditionalFormatting sqref="D18">
    <cfRule type="cellIs" dxfId="537" priority="76" operator="equal">
      <formula>"None"</formula>
    </cfRule>
  </conditionalFormatting>
  <conditionalFormatting sqref="D17:D18">
    <cfRule type="cellIs" dxfId="536" priority="82" operator="equal">
      <formula>"None"</formula>
    </cfRule>
  </conditionalFormatting>
  <conditionalFormatting sqref="D17:D18">
    <cfRule type="containsText" dxfId="535" priority="80" operator="containsText" text="PASS">
      <formula>NOT(ISERROR(SEARCH("PASS",D17)))</formula>
    </cfRule>
    <cfRule type="containsText" dxfId="534" priority="81" operator="containsText" text="FAIL">
      <formula>NOT(ISERROR(SEARCH("FAIL",D17)))</formula>
    </cfRule>
  </conditionalFormatting>
  <conditionalFormatting sqref="D17:D18">
    <cfRule type="cellIs" dxfId="533" priority="79" operator="equal">
      <formula>"None"</formula>
    </cfRule>
  </conditionalFormatting>
  <conditionalFormatting sqref="D17:D18">
    <cfRule type="containsText" dxfId="532" priority="83" operator="containsText" text="PASS">
      <formula>NOT(ISERROR(SEARCH("PASS",D17)))</formula>
    </cfRule>
    <cfRule type="containsText" dxfId="531" priority="84" operator="containsText" text="FAIL">
      <formula>NOT(ISERROR(SEARCH("FAIL",D17)))</formula>
    </cfRule>
  </conditionalFormatting>
  <conditionalFormatting sqref="F22:F23">
    <cfRule type="containsText" dxfId="530" priority="74" operator="containsText" text="PASS">
      <formula>NOT(ISERROR(SEARCH("PASS",F22)))</formula>
    </cfRule>
    <cfRule type="containsText" dxfId="529" priority="75" operator="containsText" text="FAIL">
      <formula>NOT(ISERROR(SEARCH("FAIL",F22)))</formula>
    </cfRule>
  </conditionalFormatting>
  <conditionalFormatting sqref="F22:F23">
    <cfRule type="cellIs" dxfId="528" priority="73" operator="equal">
      <formula>"None"</formula>
    </cfRule>
  </conditionalFormatting>
  <conditionalFormatting sqref="D23">
    <cfRule type="containsText" dxfId="527" priority="65" operator="containsText" text="PASS">
      <formula>NOT(ISERROR(SEARCH("PASS",D23)))</formula>
    </cfRule>
    <cfRule type="containsText" dxfId="526" priority="66" operator="containsText" text="FAIL">
      <formula>NOT(ISERROR(SEARCH("FAIL",D23)))</formula>
    </cfRule>
  </conditionalFormatting>
  <conditionalFormatting sqref="D23">
    <cfRule type="cellIs" dxfId="525" priority="64" operator="equal">
      <formula>"None"</formula>
    </cfRule>
  </conditionalFormatting>
  <conditionalFormatting sqref="D22:D23">
    <cfRule type="cellIs" dxfId="524" priority="70" operator="equal">
      <formula>"None"</formula>
    </cfRule>
  </conditionalFormatting>
  <conditionalFormatting sqref="D22:D23">
    <cfRule type="containsText" dxfId="523" priority="68" operator="containsText" text="PASS">
      <formula>NOT(ISERROR(SEARCH("PASS",D22)))</formula>
    </cfRule>
    <cfRule type="containsText" dxfId="522" priority="69" operator="containsText" text="FAIL">
      <formula>NOT(ISERROR(SEARCH("FAIL",D22)))</formula>
    </cfRule>
  </conditionalFormatting>
  <conditionalFormatting sqref="D22:D23">
    <cfRule type="cellIs" dxfId="521" priority="67" operator="equal">
      <formula>"None"</formula>
    </cfRule>
  </conditionalFormatting>
  <conditionalFormatting sqref="D22:D23">
    <cfRule type="containsText" dxfId="520" priority="71" operator="containsText" text="PASS">
      <formula>NOT(ISERROR(SEARCH("PASS",D22)))</formula>
    </cfRule>
    <cfRule type="containsText" dxfId="519" priority="72" operator="containsText" text="FAIL">
      <formula>NOT(ISERROR(SEARCH("FAIL",D22)))</formula>
    </cfRule>
  </conditionalFormatting>
  <conditionalFormatting sqref="F27:F28">
    <cfRule type="containsText" dxfId="518" priority="62" operator="containsText" text="PASS">
      <formula>NOT(ISERROR(SEARCH("PASS",F27)))</formula>
    </cfRule>
    <cfRule type="containsText" dxfId="517" priority="63" operator="containsText" text="FAIL">
      <formula>NOT(ISERROR(SEARCH("FAIL",F27)))</formula>
    </cfRule>
  </conditionalFormatting>
  <conditionalFormatting sqref="F27:F28">
    <cfRule type="cellIs" dxfId="516" priority="61" operator="equal">
      <formula>"None"</formula>
    </cfRule>
  </conditionalFormatting>
  <conditionalFormatting sqref="D28">
    <cfRule type="containsText" dxfId="515" priority="53" operator="containsText" text="PASS">
      <formula>NOT(ISERROR(SEARCH("PASS",D28)))</formula>
    </cfRule>
    <cfRule type="containsText" dxfId="514" priority="54" operator="containsText" text="FAIL">
      <formula>NOT(ISERROR(SEARCH("FAIL",D28)))</formula>
    </cfRule>
  </conditionalFormatting>
  <conditionalFormatting sqref="D28">
    <cfRule type="cellIs" dxfId="513" priority="52" operator="equal">
      <formula>"None"</formula>
    </cfRule>
  </conditionalFormatting>
  <conditionalFormatting sqref="D27:D28">
    <cfRule type="cellIs" dxfId="512" priority="58" operator="equal">
      <formula>"None"</formula>
    </cfRule>
  </conditionalFormatting>
  <conditionalFormatting sqref="D27:D28">
    <cfRule type="containsText" dxfId="511" priority="56" operator="containsText" text="PASS">
      <formula>NOT(ISERROR(SEARCH("PASS",D27)))</formula>
    </cfRule>
    <cfRule type="containsText" dxfId="510" priority="57" operator="containsText" text="FAIL">
      <formula>NOT(ISERROR(SEARCH("FAIL",D27)))</formula>
    </cfRule>
  </conditionalFormatting>
  <conditionalFormatting sqref="D27:D28">
    <cfRule type="cellIs" dxfId="509" priority="55" operator="equal">
      <formula>"None"</formula>
    </cfRule>
  </conditionalFormatting>
  <conditionalFormatting sqref="D27:D28">
    <cfRule type="containsText" dxfId="508" priority="59" operator="containsText" text="PASS">
      <formula>NOT(ISERROR(SEARCH("PASS",D27)))</formula>
    </cfRule>
    <cfRule type="containsText" dxfId="507" priority="60" operator="containsText" text="FAIL">
      <formula>NOT(ISERROR(SEARCH("FAIL",D27)))</formula>
    </cfRule>
  </conditionalFormatting>
  <conditionalFormatting sqref="F32:F33">
    <cfRule type="containsText" dxfId="506" priority="50" operator="containsText" text="PASS">
      <formula>NOT(ISERROR(SEARCH("PASS",F32)))</formula>
    </cfRule>
    <cfRule type="containsText" dxfId="505" priority="51" operator="containsText" text="FAIL">
      <formula>NOT(ISERROR(SEARCH("FAIL",F32)))</formula>
    </cfRule>
  </conditionalFormatting>
  <conditionalFormatting sqref="F32:F33">
    <cfRule type="cellIs" dxfId="504" priority="49" operator="equal">
      <formula>"None"</formula>
    </cfRule>
  </conditionalFormatting>
  <conditionalFormatting sqref="D33">
    <cfRule type="containsText" dxfId="503" priority="41" operator="containsText" text="PASS">
      <formula>NOT(ISERROR(SEARCH("PASS",D33)))</formula>
    </cfRule>
    <cfRule type="containsText" dxfId="502" priority="42" operator="containsText" text="FAIL">
      <formula>NOT(ISERROR(SEARCH("FAIL",D33)))</formula>
    </cfRule>
  </conditionalFormatting>
  <conditionalFormatting sqref="D33">
    <cfRule type="cellIs" dxfId="501" priority="40" operator="equal">
      <formula>"None"</formula>
    </cfRule>
  </conditionalFormatting>
  <conditionalFormatting sqref="D32:D33">
    <cfRule type="cellIs" dxfId="500" priority="46" operator="equal">
      <formula>"None"</formula>
    </cfRule>
  </conditionalFormatting>
  <conditionalFormatting sqref="D32:D33">
    <cfRule type="containsText" dxfId="499" priority="44" operator="containsText" text="PASS">
      <formula>NOT(ISERROR(SEARCH("PASS",D32)))</formula>
    </cfRule>
    <cfRule type="containsText" dxfId="498" priority="45" operator="containsText" text="FAIL">
      <formula>NOT(ISERROR(SEARCH("FAIL",D32)))</formula>
    </cfRule>
  </conditionalFormatting>
  <conditionalFormatting sqref="D32:D33">
    <cfRule type="cellIs" dxfId="497" priority="43" operator="equal">
      <formula>"None"</formula>
    </cfRule>
  </conditionalFormatting>
  <conditionalFormatting sqref="D32:D33">
    <cfRule type="containsText" dxfId="496" priority="47" operator="containsText" text="PASS">
      <formula>NOT(ISERROR(SEARCH("PASS",D32)))</formula>
    </cfRule>
    <cfRule type="containsText" dxfId="495" priority="48" operator="containsText" text="FAIL">
      <formula>NOT(ISERROR(SEARCH("FAIL",D32)))</formula>
    </cfRule>
  </conditionalFormatting>
  <conditionalFormatting sqref="F37:F38">
    <cfRule type="containsText" dxfId="494" priority="38" operator="containsText" text="PASS">
      <formula>NOT(ISERROR(SEARCH("PASS",F37)))</formula>
    </cfRule>
    <cfRule type="containsText" dxfId="493" priority="39" operator="containsText" text="FAIL">
      <formula>NOT(ISERROR(SEARCH("FAIL",F37)))</formula>
    </cfRule>
  </conditionalFormatting>
  <conditionalFormatting sqref="F37:F38">
    <cfRule type="cellIs" dxfId="492" priority="37" operator="equal">
      <formula>"None"</formula>
    </cfRule>
  </conditionalFormatting>
  <conditionalFormatting sqref="D38">
    <cfRule type="containsText" dxfId="491" priority="29" operator="containsText" text="PASS">
      <formula>NOT(ISERROR(SEARCH("PASS",D38)))</formula>
    </cfRule>
    <cfRule type="containsText" dxfId="490" priority="30" operator="containsText" text="FAIL">
      <formula>NOT(ISERROR(SEARCH("FAIL",D38)))</formula>
    </cfRule>
  </conditionalFormatting>
  <conditionalFormatting sqref="D38">
    <cfRule type="cellIs" dxfId="489" priority="28" operator="equal">
      <formula>"None"</formula>
    </cfRule>
  </conditionalFormatting>
  <conditionalFormatting sqref="D37:D38">
    <cfRule type="cellIs" dxfId="488" priority="34" operator="equal">
      <formula>"None"</formula>
    </cfRule>
  </conditionalFormatting>
  <conditionalFormatting sqref="D37:D38">
    <cfRule type="containsText" dxfId="487" priority="32" operator="containsText" text="PASS">
      <formula>NOT(ISERROR(SEARCH("PASS",D37)))</formula>
    </cfRule>
    <cfRule type="containsText" dxfId="486" priority="33" operator="containsText" text="FAIL">
      <formula>NOT(ISERROR(SEARCH("FAIL",D37)))</formula>
    </cfRule>
  </conditionalFormatting>
  <conditionalFormatting sqref="D37:D38">
    <cfRule type="cellIs" dxfId="485" priority="31" operator="equal">
      <formula>"None"</formula>
    </cfRule>
  </conditionalFormatting>
  <conditionalFormatting sqref="D37:D38">
    <cfRule type="containsText" dxfId="484" priority="35" operator="containsText" text="PASS">
      <formula>NOT(ISERROR(SEARCH("PASS",D37)))</formula>
    </cfRule>
    <cfRule type="containsText" dxfId="483" priority="36" operator="containsText" text="FAIL">
      <formula>NOT(ISERROR(SEARCH("FAIL",D37)))</formula>
    </cfRule>
  </conditionalFormatting>
  <conditionalFormatting sqref="F42:F43">
    <cfRule type="containsText" dxfId="482" priority="26" operator="containsText" text="PASS">
      <formula>NOT(ISERROR(SEARCH("PASS",F42)))</formula>
    </cfRule>
    <cfRule type="containsText" dxfId="481" priority="27" operator="containsText" text="FAIL">
      <formula>NOT(ISERROR(SEARCH("FAIL",F42)))</formula>
    </cfRule>
  </conditionalFormatting>
  <conditionalFormatting sqref="F42:F43">
    <cfRule type="cellIs" dxfId="480" priority="25" operator="equal">
      <formula>"None"</formula>
    </cfRule>
  </conditionalFormatting>
  <conditionalFormatting sqref="D43">
    <cfRule type="containsText" dxfId="479" priority="17" operator="containsText" text="PASS">
      <formula>NOT(ISERROR(SEARCH("PASS",D43)))</formula>
    </cfRule>
    <cfRule type="containsText" dxfId="478" priority="18" operator="containsText" text="FAIL">
      <formula>NOT(ISERROR(SEARCH("FAIL",D43)))</formula>
    </cfRule>
  </conditionalFormatting>
  <conditionalFormatting sqref="D43">
    <cfRule type="cellIs" dxfId="477" priority="16" operator="equal">
      <formula>"None"</formula>
    </cfRule>
  </conditionalFormatting>
  <conditionalFormatting sqref="D42:D43">
    <cfRule type="cellIs" dxfId="476" priority="22" operator="equal">
      <formula>"None"</formula>
    </cfRule>
  </conditionalFormatting>
  <conditionalFormatting sqref="D42:D43">
    <cfRule type="containsText" dxfId="475" priority="20" operator="containsText" text="PASS">
      <formula>NOT(ISERROR(SEARCH("PASS",D42)))</formula>
    </cfRule>
    <cfRule type="containsText" dxfId="474" priority="21" operator="containsText" text="FAIL">
      <formula>NOT(ISERROR(SEARCH("FAIL",D42)))</formula>
    </cfRule>
  </conditionalFormatting>
  <conditionalFormatting sqref="D42:D43">
    <cfRule type="cellIs" dxfId="473" priority="19" operator="equal">
      <formula>"None"</formula>
    </cfRule>
  </conditionalFormatting>
  <conditionalFormatting sqref="D42:D43">
    <cfRule type="containsText" dxfId="472" priority="23" operator="containsText" text="PASS">
      <formula>NOT(ISERROR(SEARCH("PASS",D42)))</formula>
    </cfRule>
    <cfRule type="containsText" dxfId="471" priority="24" operator="containsText" text="FAIL">
      <formula>NOT(ISERROR(SEARCH("FAIL",D42)))</formula>
    </cfRule>
  </conditionalFormatting>
  <conditionalFormatting sqref="F47:F48">
    <cfRule type="containsText" dxfId="470" priority="14" operator="containsText" text="PASS">
      <formula>NOT(ISERROR(SEARCH("PASS",F47)))</formula>
    </cfRule>
    <cfRule type="containsText" dxfId="469" priority="15" operator="containsText" text="FAIL">
      <formula>NOT(ISERROR(SEARCH("FAIL",F47)))</formula>
    </cfRule>
  </conditionalFormatting>
  <conditionalFormatting sqref="F47:F48">
    <cfRule type="cellIs" dxfId="468" priority="13" operator="equal">
      <formula>"None"</formula>
    </cfRule>
  </conditionalFormatting>
  <conditionalFormatting sqref="D48">
    <cfRule type="containsText" dxfId="467" priority="5" operator="containsText" text="PASS">
      <formula>NOT(ISERROR(SEARCH("PASS",D48)))</formula>
    </cfRule>
    <cfRule type="containsText" dxfId="466" priority="6" operator="containsText" text="FAIL">
      <formula>NOT(ISERROR(SEARCH("FAIL",D48)))</formula>
    </cfRule>
  </conditionalFormatting>
  <conditionalFormatting sqref="D48">
    <cfRule type="cellIs" dxfId="465" priority="4" operator="equal">
      <formula>"None"</formula>
    </cfRule>
  </conditionalFormatting>
  <conditionalFormatting sqref="D47:D48">
    <cfRule type="cellIs" dxfId="464" priority="10" operator="equal">
      <formula>"None"</formula>
    </cfRule>
  </conditionalFormatting>
  <conditionalFormatting sqref="D47:D48">
    <cfRule type="containsText" dxfId="463" priority="8" operator="containsText" text="PASS">
      <formula>NOT(ISERROR(SEARCH("PASS",D47)))</formula>
    </cfRule>
    <cfRule type="containsText" dxfId="462" priority="9" operator="containsText" text="FAIL">
      <formula>NOT(ISERROR(SEARCH("FAIL",D47)))</formula>
    </cfRule>
  </conditionalFormatting>
  <conditionalFormatting sqref="D47:D48">
    <cfRule type="cellIs" dxfId="461" priority="7" operator="equal">
      <formula>"None"</formula>
    </cfRule>
  </conditionalFormatting>
  <conditionalFormatting sqref="D47:D48">
    <cfRule type="containsText" dxfId="460" priority="11" operator="containsText" text="PASS">
      <formula>NOT(ISERROR(SEARCH("PASS",D47)))</formula>
    </cfRule>
    <cfRule type="containsText" dxfId="459" priority="12" operator="containsText" text="FAIL">
      <formula>NOT(ISERROR(SEARCH("FAIL",D47)))</formula>
    </cfRule>
  </conditionalFormatting>
  <conditionalFormatting sqref="H55">
    <cfRule type="cellIs" dxfId="458" priority="1" stopIfTrue="1" operator="equal">
      <formula>"FAIL"</formula>
    </cfRule>
  </conditionalFormatting>
  <conditionalFormatting sqref="H55">
    <cfRule type="cellIs" dxfId="457" priority="2" stopIfTrue="1" operator="equal">
      <formula>"PASS"</formula>
    </cfRule>
  </conditionalFormatting>
  <conditionalFormatting sqref="H55">
    <cfRule type="cellIs" dxfId="456" priority="3" stopIfTrue="1" operator="equal">
      <formula>"None"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1">
    <tabColor theme="5" tint="0.79998168889431442"/>
  </sheetPr>
  <dimension ref="A1:AI39"/>
  <sheetViews>
    <sheetView topLeftCell="A7" zoomScale="55" zoomScaleNormal="55" workbookViewId="0">
      <selection activeCell="C62" sqref="C62"/>
    </sheetView>
  </sheetViews>
  <sheetFormatPr defaultRowHeight="15"/>
  <cols>
    <col min="1" max="1" width="8.42578125" bestFit="1" customWidth="1"/>
    <col min="2" max="2" width="17.28515625" bestFit="1" customWidth="1"/>
    <col min="3" max="3" width="13.7109375" bestFit="1" customWidth="1"/>
    <col min="4" max="4" width="9.42578125" bestFit="1" customWidth="1"/>
    <col min="5" max="5" width="24" bestFit="1" customWidth="1"/>
    <col min="6" max="6" width="10" bestFit="1" customWidth="1"/>
    <col min="7" max="7" width="9.42578125" bestFit="1" customWidth="1"/>
    <col min="8" max="8" width="23" bestFit="1" customWidth="1"/>
    <col min="9" max="9" width="10" bestFit="1" customWidth="1"/>
    <col min="10" max="10" width="9.42578125" bestFit="1" customWidth="1"/>
    <col min="11" max="11" width="23" bestFit="1" customWidth="1"/>
    <col min="12" max="12" width="10" bestFit="1" customWidth="1"/>
    <col min="13" max="13" width="9.42578125" bestFit="1" customWidth="1"/>
    <col min="14" max="14" width="24" bestFit="1" customWidth="1"/>
    <col min="15" max="15" width="10" bestFit="1" customWidth="1"/>
    <col min="16" max="16" width="9.42578125" bestFit="1" customWidth="1"/>
    <col min="17" max="17" width="17.28515625" bestFit="1" customWidth="1"/>
    <col min="18" max="18" width="10" bestFit="1" customWidth="1"/>
    <col min="19" max="19" width="17.28515625" bestFit="1" customWidth="1"/>
    <col min="20" max="20" width="13.7109375" bestFit="1" customWidth="1"/>
    <col min="21" max="21" width="9.42578125" bestFit="1" customWidth="1"/>
    <col min="22" max="22" width="24" bestFit="1" customWidth="1"/>
    <col min="23" max="23" width="10" bestFit="1" customWidth="1"/>
    <col min="24" max="24" width="9.42578125" bestFit="1" customWidth="1"/>
    <col min="25" max="25" width="23" bestFit="1" customWidth="1"/>
    <col min="26" max="26" width="10" bestFit="1" customWidth="1"/>
    <col min="27" max="27" width="9.42578125" bestFit="1" customWidth="1"/>
    <col min="28" max="28" width="23" bestFit="1" customWidth="1"/>
    <col min="29" max="29" width="10" bestFit="1" customWidth="1"/>
    <col min="30" max="30" width="9.42578125" bestFit="1" customWidth="1"/>
    <col min="31" max="31" width="24" bestFit="1" customWidth="1"/>
    <col min="32" max="32" width="10" bestFit="1" customWidth="1"/>
    <col min="33" max="33" width="9.42578125" bestFit="1" customWidth="1"/>
    <col min="34" max="34" width="17.28515625" bestFit="1" customWidth="1"/>
    <col min="35" max="35" width="10" bestFit="1" customWidth="1"/>
  </cols>
  <sheetData>
    <row r="1" spans="1:3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</row>
    <row r="2" spans="1:3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</row>
    <row r="3" spans="1:3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</row>
    <row r="4" spans="1:3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</row>
    <row r="5" spans="1:35">
      <c r="A5" s="14"/>
      <c r="B5" s="14"/>
      <c r="C5" s="14"/>
      <c r="D5" s="14"/>
      <c r="E5" s="14"/>
      <c r="F5" s="14"/>
      <c r="G5" s="14"/>
      <c r="H5" s="14"/>
      <c r="I5" s="14"/>
      <c r="J5" s="14"/>
      <c r="K5" s="14" t="s">
        <v>605</v>
      </c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</row>
    <row r="6" spans="1:3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</row>
    <row r="7" spans="1:35" ht="15.75" thickBo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</row>
    <row r="8" spans="1:35">
      <c r="A8" s="20"/>
      <c r="B8" s="21" t="s">
        <v>602</v>
      </c>
      <c r="C8" s="21"/>
      <c r="D8" s="21"/>
      <c r="E8" s="76" t="s">
        <v>2490</v>
      </c>
      <c r="F8" s="77"/>
      <c r="G8" s="77"/>
      <c r="H8" s="77"/>
      <c r="I8" s="77"/>
      <c r="J8" s="77"/>
      <c r="K8" s="77"/>
      <c r="L8" s="77"/>
      <c r="M8" s="77"/>
      <c r="N8" s="77"/>
      <c r="O8" s="77"/>
      <c r="P8" s="77"/>
      <c r="Q8" s="77"/>
      <c r="R8" s="78"/>
    </row>
    <row r="9" spans="1:35" ht="15.75" thickBot="1">
      <c r="A9" s="2" t="s">
        <v>0</v>
      </c>
      <c r="B9" s="3" t="s">
        <v>2</v>
      </c>
      <c r="C9" s="4" t="s">
        <v>3</v>
      </c>
      <c r="D9" s="3" t="s">
        <v>603</v>
      </c>
      <c r="E9" s="3" t="s">
        <v>2</v>
      </c>
      <c r="F9" s="4" t="s">
        <v>3</v>
      </c>
      <c r="G9" s="3" t="s">
        <v>603</v>
      </c>
      <c r="H9" s="3" t="s">
        <v>2</v>
      </c>
      <c r="I9" s="4" t="s">
        <v>3</v>
      </c>
      <c r="J9" s="3" t="s">
        <v>603</v>
      </c>
      <c r="K9" s="3" t="s">
        <v>2</v>
      </c>
      <c r="L9" s="4" t="s">
        <v>3</v>
      </c>
      <c r="M9" s="3" t="s">
        <v>603</v>
      </c>
      <c r="N9" s="3" t="s">
        <v>2</v>
      </c>
      <c r="O9" s="4" t="s">
        <v>3</v>
      </c>
      <c r="P9" s="3" t="s">
        <v>603</v>
      </c>
      <c r="Q9" s="3" t="s">
        <v>2</v>
      </c>
      <c r="R9" s="4" t="s">
        <v>3</v>
      </c>
    </row>
    <row r="10" spans="1:35" ht="15.75" thickBot="1">
      <c r="A10" s="35" t="s">
        <v>5</v>
      </c>
      <c r="B10" s="36" t="s">
        <v>566</v>
      </c>
      <c r="C10" s="37">
        <f>VLOOKUP(B10,data!$A:$B,2,0)</f>
        <v>24209.73</v>
      </c>
      <c r="D10" s="38"/>
      <c r="E10" s="36" t="s">
        <v>2485</v>
      </c>
      <c r="F10" s="37">
        <f>VLOOKUP(E10,data!$A:$B,2,0)</f>
        <v>806.02</v>
      </c>
      <c r="G10" s="38"/>
      <c r="H10" s="38" t="s">
        <v>2486</v>
      </c>
      <c r="I10" s="37">
        <f>VLOOKUP(H10,data!$A:$B,2,0)</f>
        <v>169.07</v>
      </c>
      <c r="J10" s="38"/>
      <c r="K10" s="36" t="s">
        <v>2487</v>
      </c>
      <c r="L10" s="37">
        <f>VLOOKUP(K10,data!$A:$B,2,0)</f>
        <v>97</v>
      </c>
      <c r="M10" s="38"/>
      <c r="N10" s="36" t="s">
        <v>2488</v>
      </c>
      <c r="O10" s="37">
        <f>VLOOKUP(N10,data!$A:$B,2,0)</f>
        <v>972.3</v>
      </c>
      <c r="P10" s="38"/>
      <c r="Q10" s="36" t="s">
        <v>2489</v>
      </c>
      <c r="R10" s="37">
        <f>VLOOKUP(Q10,data!$A:$B,2,0)</f>
        <v>6938.93</v>
      </c>
    </row>
    <row r="11" spans="1:35" ht="15.75" thickBot="1">
      <c r="A11" s="35" t="s">
        <v>12</v>
      </c>
      <c r="B11" s="36" t="s">
        <v>567</v>
      </c>
      <c r="C11" s="37">
        <f>VLOOKUP(B11,data!$A:$B,2,0)</f>
        <v>24209.64</v>
      </c>
      <c r="D11" s="38"/>
      <c r="E11" s="36" t="s">
        <v>2497</v>
      </c>
      <c r="F11" s="37">
        <f>VLOOKUP(E11,data!$A:$B,2,0)</f>
        <v>806.02</v>
      </c>
      <c r="G11" s="38"/>
      <c r="H11" s="38" t="s">
        <v>2498</v>
      </c>
      <c r="I11" s="37">
        <f>VLOOKUP(H11,data!$A:$B,2,0)</f>
        <v>169.07</v>
      </c>
      <c r="J11" s="38"/>
      <c r="K11" s="36" t="s">
        <v>2499</v>
      </c>
      <c r="L11" s="37">
        <f>VLOOKUP(K11,data!$A:$B,2,0)</f>
        <v>97</v>
      </c>
      <c r="M11" s="38"/>
      <c r="N11" s="36" t="s">
        <v>2500</v>
      </c>
      <c r="O11" s="37">
        <f>VLOOKUP(N11,data!$A:$B,2,0)</f>
        <v>972.3</v>
      </c>
      <c r="P11" s="38"/>
      <c r="Q11" s="36" t="s">
        <v>2501</v>
      </c>
      <c r="R11" s="37">
        <f>VLOOKUP(Q11,data!$A:$B,2,0)</f>
        <v>6938.97</v>
      </c>
    </row>
    <row r="12" spans="1:35" ht="15.75" thickBot="1">
      <c r="A12" s="35" t="s">
        <v>13</v>
      </c>
      <c r="B12" s="36" t="s">
        <v>568</v>
      </c>
      <c r="C12" s="37">
        <f>VLOOKUP(B12,data!$A:$B,2,0)</f>
        <v>24209.52</v>
      </c>
      <c r="D12" s="38"/>
      <c r="E12" s="36" t="s">
        <v>2507</v>
      </c>
      <c r="F12" s="37">
        <f>VLOOKUP(E12,data!$A:$B,2,0)</f>
        <v>806.02</v>
      </c>
      <c r="G12" s="38"/>
      <c r="H12" s="38" t="s">
        <v>2508</v>
      </c>
      <c r="I12" s="37">
        <f>VLOOKUP(H12,data!$A:$B,2,0)</f>
        <v>169.07</v>
      </c>
      <c r="J12" s="38"/>
      <c r="K12" s="36" t="s">
        <v>2509</v>
      </c>
      <c r="L12" s="37">
        <f>VLOOKUP(K12,data!$A:$B,2,0)</f>
        <v>97</v>
      </c>
      <c r="M12" s="38"/>
      <c r="N12" s="36" t="s">
        <v>2510</v>
      </c>
      <c r="O12" s="37">
        <f>VLOOKUP(N12,data!$A:$B,2,0)</f>
        <v>972.3</v>
      </c>
      <c r="P12" s="38"/>
      <c r="Q12" s="36" t="s">
        <v>2511</v>
      </c>
      <c r="R12" s="37">
        <f>VLOOKUP(Q12,data!$A:$B,2,0)</f>
        <v>6938.8</v>
      </c>
    </row>
    <row r="13" spans="1:35" ht="15.75" thickBot="1">
      <c r="A13" s="35" t="s">
        <v>14</v>
      </c>
      <c r="B13" s="36" t="s">
        <v>569</v>
      </c>
      <c r="C13" s="37">
        <f>VLOOKUP(B13,data!$A:$B,2,0)</f>
        <v>24209.68</v>
      </c>
      <c r="D13" s="38"/>
      <c r="E13" s="36" t="s">
        <v>2517</v>
      </c>
      <c r="F13" s="37">
        <f>VLOOKUP(E13,data!$A:$B,2,0)</f>
        <v>806.02</v>
      </c>
      <c r="G13" s="38"/>
      <c r="H13" s="38" t="s">
        <v>2518</v>
      </c>
      <c r="I13" s="37">
        <f>VLOOKUP(H13,data!$A:$B,2,0)</f>
        <v>169.07</v>
      </c>
      <c r="J13" s="38"/>
      <c r="K13" s="36" t="s">
        <v>2519</v>
      </c>
      <c r="L13" s="37">
        <f>VLOOKUP(K13,data!$A:$B,2,0)</f>
        <v>97</v>
      </c>
      <c r="M13" s="38"/>
      <c r="N13" s="36" t="s">
        <v>2520</v>
      </c>
      <c r="O13" s="37">
        <f>VLOOKUP(N13,data!$A:$B,2,0)</f>
        <v>972.3</v>
      </c>
      <c r="P13" s="38"/>
      <c r="Q13" s="36" t="s">
        <v>2521</v>
      </c>
      <c r="R13" s="37">
        <f>VLOOKUP(Q13,data!$A:$B,2,0)</f>
        <v>6938.82</v>
      </c>
    </row>
    <row r="14" spans="1:35" ht="15.75" thickBot="1">
      <c r="A14" s="35" t="s">
        <v>15</v>
      </c>
      <c r="B14" s="36" t="s">
        <v>573</v>
      </c>
      <c r="C14" s="37">
        <f>VLOOKUP(B14,data!$A:$B,2,0)</f>
        <v>24209.78</v>
      </c>
      <c r="D14" s="38"/>
      <c r="E14" s="36" t="s">
        <v>2527</v>
      </c>
      <c r="F14" s="37">
        <f>VLOOKUP(E14,data!$A:$B,2,0)</f>
        <v>806.02</v>
      </c>
      <c r="G14" s="38"/>
      <c r="H14" s="38" t="s">
        <v>2528</v>
      </c>
      <c r="I14" s="37">
        <f>VLOOKUP(H14,data!$A:$B,2,0)</f>
        <v>169.07</v>
      </c>
      <c r="J14" s="38"/>
      <c r="K14" s="36" t="s">
        <v>2529</v>
      </c>
      <c r="L14" s="37">
        <f>VLOOKUP(K14,data!$A:$B,2,0)</f>
        <v>97</v>
      </c>
      <c r="M14" s="38"/>
      <c r="N14" s="36" t="s">
        <v>2530</v>
      </c>
      <c r="O14" s="37">
        <f>VLOOKUP(N14,data!$A:$B,2,0)</f>
        <v>972.3</v>
      </c>
      <c r="P14" s="38"/>
      <c r="Q14" s="36" t="s">
        <v>2531</v>
      </c>
      <c r="R14" s="37">
        <f>VLOOKUP(Q14,data!$A:$B,2,0)</f>
        <v>6938.99</v>
      </c>
    </row>
    <row r="15" spans="1:35" ht="15.75" thickBot="1">
      <c r="A15" s="35" t="s">
        <v>16</v>
      </c>
      <c r="B15" s="36" t="s">
        <v>572</v>
      </c>
      <c r="C15" s="37">
        <f>VLOOKUP(B15,data!$A:$B,2,0)</f>
        <v>24209.599999999999</v>
      </c>
      <c r="D15" s="38"/>
      <c r="E15" s="36" t="s">
        <v>2537</v>
      </c>
      <c r="F15" s="37">
        <f>VLOOKUP(E15,data!$A:$B,2,0)</f>
        <v>806.02</v>
      </c>
      <c r="G15" s="38"/>
      <c r="H15" s="38" t="s">
        <v>2538</v>
      </c>
      <c r="I15" s="37">
        <f>VLOOKUP(H15,data!$A:$B,2,0)</f>
        <v>169.07</v>
      </c>
      <c r="J15" s="38"/>
      <c r="K15" s="36" t="s">
        <v>2539</v>
      </c>
      <c r="L15" s="37">
        <f>VLOOKUP(K15,data!$A:$B,2,0)</f>
        <v>97</v>
      </c>
      <c r="M15" s="38"/>
      <c r="N15" s="36" t="s">
        <v>2540</v>
      </c>
      <c r="O15" s="37">
        <f>VLOOKUP(N15,data!$A:$B,2,0)</f>
        <v>972.3</v>
      </c>
      <c r="P15" s="38"/>
      <c r="Q15" s="36" t="s">
        <v>2541</v>
      </c>
      <c r="R15" s="37">
        <f>VLOOKUP(Q15,data!$A:$B,2,0)</f>
        <v>6938.84</v>
      </c>
    </row>
    <row r="16" spans="1:35" ht="15.75" thickBot="1">
      <c r="A16" s="35" t="s">
        <v>17</v>
      </c>
      <c r="B16" s="36" t="s">
        <v>571</v>
      </c>
      <c r="C16" s="37">
        <f>VLOOKUP(B16,data!$A:$B,2,0)</f>
        <v>24209.74</v>
      </c>
      <c r="D16" s="38"/>
      <c r="E16" s="36" t="s">
        <v>2547</v>
      </c>
      <c r="F16" s="37">
        <f>VLOOKUP(E16,data!$A:$B,2,0)</f>
        <v>806.02</v>
      </c>
      <c r="G16" s="38"/>
      <c r="H16" s="38" t="s">
        <v>2548</v>
      </c>
      <c r="I16" s="37">
        <f>VLOOKUP(H16,data!$A:$B,2,0)</f>
        <v>169.07</v>
      </c>
      <c r="J16" s="38"/>
      <c r="K16" s="36" t="s">
        <v>2549</v>
      </c>
      <c r="L16" s="37">
        <f>VLOOKUP(K16,data!$A:$B,2,0)</f>
        <v>97</v>
      </c>
      <c r="M16" s="38"/>
      <c r="N16" s="36" t="s">
        <v>2550</v>
      </c>
      <c r="O16" s="37">
        <f>VLOOKUP(N16,data!$A:$B,2,0)</f>
        <v>972.3</v>
      </c>
      <c r="P16" s="38"/>
      <c r="Q16" s="36" t="s">
        <v>2551</v>
      </c>
      <c r="R16" s="37">
        <f>VLOOKUP(Q16,data!$A:$B,2,0)</f>
        <v>6938.9</v>
      </c>
    </row>
    <row r="17" spans="1:18" ht="15.75" thickBot="1">
      <c r="A17" s="35" t="s">
        <v>18</v>
      </c>
      <c r="B17" s="36" t="s">
        <v>570</v>
      </c>
      <c r="C17" s="37">
        <f>VLOOKUP(B17,data!$A:$B,2,0)</f>
        <v>24209.52</v>
      </c>
      <c r="D17" s="38"/>
      <c r="E17" s="36" t="s">
        <v>2557</v>
      </c>
      <c r="F17" s="37">
        <f>VLOOKUP(E17,data!$A:$B,2,0)</f>
        <v>806.02</v>
      </c>
      <c r="G17" s="38"/>
      <c r="H17" s="38" t="s">
        <v>2558</v>
      </c>
      <c r="I17" s="37">
        <f>VLOOKUP(H17,data!$A:$B,2,0)</f>
        <v>169.07</v>
      </c>
      <c r="J17" s="38"/>
      <c r="K17" s="36" t="s">
        <v>2559</v>
      </c>
      <c r="L17" s="37">
        <f>VLOOKUP(K17,data!$A:$B,2,0)</f>
        <v>97</v>
      </c>
      <c r="M17" s="38"/>
      <c r="N17" s="36" t="s">
        <v>2560</v>
      </c>
      <c r="O17" s="37">
        <f>VLOOKUP(N17,data!$A:$B,2,0)</f>
        <v>972.3</v>
      </c>
      <c r="P17" s="38"/>
      <c r="Q17" s="36" t="s">
        <v>2561</v>
      </c>
      <c r="R17" s="37">
        <f>VLOOKUP(Q17,data!$A:$B,2,0)</f>
        <v>6938.75</v>
      </c>
    </row>
    <row r="18" spans="1:18">
      <c r="A18" s="14"/>
      <c r="B18" s="19" t="s">
        <v>19</v>
      </c>
      <c r="C18" s="19">
        <f>MAX($C$10:$C$17)</f>
        <v>24209.78</v>
      </c>
      <c r="D18" s="14"/>
      <c r="E18" s="19" t="s">
        <v>19</v>
      </c>
      <c r="F18" s="19">
        <f>MAX($F$10:$F$17)</f>
        <v>806.02</v>
      </c>
      <c r="G18" s="14"/>
      <c r="H18" s="19" t="s">
        <v>19</v>
      </c>
      <c r="I18" s="19">
        <f>MAX($I$10:$I$17)</f>
        <v>169.07</v>
      </c>
      <c r="J18" s="14"/>
      <c r="K18" s="19" t="s">
        <v>19</v>
      </c>
      <c r="L18" s="19">
        <f>MAX($L$10:$L$17)</f>
        <v>97</v>
      </c>
      <c r="M18" s="14"/>
      <c r="N18" s="19" t="s">
        <v>19</v>
      </c>
      <c r="O18" s="19">
        <f>MAX($O$10:$O$17)</f>
        <v>972.3</v>
      </c>
      <c r="P18" s="14"/>
      <c r="Q18" s="19" t="s">
        <v>19</v>
      </c>
      <c r="R18" s="19">
        <f>MAX($R$10:$R$17)</f>
        <v>6938.99</v>
      </c>
    </row>
    <row r="19" spans="1:18">
      <c r="A19" s="14"/>
      <c r="B19" s="19" t="s">
        <v>20</v>
      </c>
      <c r="C19" s="19">
        <f>MIN($C$10:$C$17)</f>
        <v>24209.52</v>
      </c>
      <c r="D19" s="14"/>
      <c r="E19" s="19" t="s">
        <v>20</v>
      </c>
      <c r="F19" s="19">
        <f>MIN($F$10:$F$17)</f>
        <v>806.02</v>
      </c>
      <c r="G19" s="14"/>
      <c r="H19" s="19" t="s">
        <v>20</v>
      </c>
      <c r="I19" s="19">
        <f>MIN($I$10:$I$17)</f>
        <v>169.07</v>
      </c>
      <c r="J19" s="14"/>
      <c r="K19" s="19" t="s">
        <v>20</v>
      </c>
      <c r="L19" s="19">
        <f>MIN($L$10:$L$17)</f>
        <v>97</v>
      </c>
      <c r="M19" s="14"/>
      <c r="N19" s="19" t="s">
        <v>20</v>
      </c>
      <c r="O19" s="19">
        <f>MIN($O$10:$O$17)</f>
        <v>972.3</v>
      </c>
      <c r="P19" s="14"/>
      <c r="Q19" s="19" t="s">
        <v>20</v>
      </c>
      <c r="R19" s="19">
        <f>MIN($R$10:$R$17)</f>
        <v>6938.75</v>
      </c>
    </row>
    <row r="20" spans="1:18">
      <c r="A20" s="14"/>
      <c r="B20" s="19" t="s">
        <v>21</v>
      </c>
      <c r="C20" s="19">
        <f>C18-C19</f>
        <v>0.25999999999839929</v>
      </c>
      <c r="D20" s="14"/>
      <c r="E20" s="19" t="s">
        <v>21</v>
      </c>
      <c r="F20" s="19">
        <f>F18-F19</f>
        <v>0</v>
      </c>
      <c r="G20" s="14"/>
      <c r="H20" s="19" t="s">
        <v>21</v>
      </c>
      <c r="I20" s="19">
        <f>I18-I19</f>
        <v>0</v>
      </c>
      <c r="J20" s="14"/>
      <c r="K20" s="19" t="s">
        <v>21</v>
      </c>
      <c r="L20" s="19">
        <f>L18-L19</f>
        <v>0</v>
      </c>
      <c r="M20" s="14"/>
      <c r="N20" s="19" t="s">
        <v>21</v>
      </c>
      <c r="O20" s="19">
        <f>O18-O19</f>
        <v>0</v>
      </c>
      <c r="P20" s="14"/>
      <c r="Q20" s="19" t="s">
        <v>21</v>
      </c>
      <c r="R20" s="19">
        <f>R18-R19</f>
        <v>0.23999999999978172</v>
      </c>
    </row>
    <row r="21" spans="1:18">
      <c r="A21" s="14"/>
      <c r="B21" s="19" t="s">
        <v>22</v>
      </c>
      <c r="C21" s="19">
        <v>1</v>
      </c>
      <c r="D21" s="14"/>
      <c r="E21" s="19" t="s">
        <v>22</v>
      </c>
      <c r="F21" s="19">
        <v>1</v>
      </c>
      <c r="G21" s="14"/>
      <c r="H21" s="19" t="s">
        <v>22</v>
      </c>
      <c r="I21" s="19">
        <v>1</v>
      </c>
      <c r="J21" s="14"/>
      <c r="K21" s="19" t="s">
        <v>22</v>
      </c>
      <c r="L21" s="19">
        <v>1</v>
      </c>
      <c r="M21" s="14"/>
      <c r="N21" s="19" t="s">
        <v>22</v>
      </c>
      <c r="O21" s="19">
        <v>1</v>
      </c>
      <c r="P21" s="14"/>
      <c r="Q21" s="19" t="s">
        <v>22</v>
      </c>
      <c r="R21" s="19">
        <v>1</v>
      </c>
    </row>
    <row r="22" spans="1:18">
      <c r="A22" s="14"/>
      <c r="B22" s="19"/>
      <c r="C22" s="19" t="str">
        <f>IF(C21="","None",IF(C20&lt;=C21,"PASS","FAIL"))</f>
        <v>PASS</v>
      </c>
      <c r="D22" s="14"/>
      <c r="E22" s="19"/>
      <c r="F22" s="19" t="str">
        <f>IF(F21="","None",IF(F20&lt;=F21,"PASS","FAIL"))</f>
        <v>PASS</v>
      </c>
      <c r="G22" s="14"/>
      <c r="H22" s="19"/>
      <c r="I22" s="19" t="str">
        <f>IF(I21="","None",IF(I20&lt;=I21,"PASS","FAIL"))</f>
        <v>PASS</v>
      </c>
      <c r="J22" s="14"/>
      <c r="K22" s="19"/>
      <c r="L22" s="19" t="str">
        <f>IF(L21="","None",IF(L20&lt;=L21,"PASS","FAIL"))</f>
        <v>PASS</v>
      </c>
      <c r="M22" s="14"/>
      <c r="N22" s="19"/>
      <c r="O22" s="19" t="str">
        <f>IF(O21="","None",IF(O20&lt;=O21,"PASS","FAIL"))</f>
        <v>PASS</v>
      </c>
      <c r="P22" s="14"/>
      <c r="Q22" s="19"/>
      <c r="R22" s="19" t="str">
        <f>IF(R21="","None",IF(R20&lt;=R21,"PASS","FAIL"))</f>
        <v>PASS</v>
      </c>
    </row>
    <row r="24" spans="1:18" ht="15.75" thickBot="1"/>
    <row r="25" spans="1:18">
      <c r="A25" s="20"/>
      <c r="B25" s="21" t="s">
        <v>604</v>
      </c>
      <c r="C25" s="21"/>
      <c r="D25" s="21"/>
      <c r="E25" s="76" t="s">
        <v>2496</v>
      </c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8"/>
    </row>
    <row r="26" spans="1:18" ht="15.75" thickBot="1">
      <c r="A26" s="2" t="s">
        <v>0</v>
      </c>
      <c r="B26" s="3" t="s">
        <v>2</v>
      </c>
      <c r="C26" s="4" t="s">
        <v>3</v>
      </c>
      <c r="D26" s="3" t="s">
        <v>603</v>
      </c>
      <c r="E26" s="3" t="s">
        <v>2</v>
      </c>
      <c r="F26" s="4" t="s">
        <v>3</v>
      </c>
      <c r="G26" s="3" t="s">
        <v>603</v>
      </c>
      <c r="H26" s="3" t="s">
        <v>2</v>
      </c>
      <c r="I26" s="4" t="s">
        <v>3</v>
      </c>
      <c r="J26" s="3" t="s">
        <v>603</v>
      </c>
      <c r="K26" s="3" t="s">
        <v>2</v>
      </c>
      <c r="L26" s="4" t="s">
        <v>3</v>
      </c>
      <c r="M26" s="3" t="s">
        <v>603</v>
      </c>
      <c r="N26" s="3" t="s">
        <v>2</v>
      </c>
      <c r="O26" s="4" t="s">
        <v>3</v>
      </c>
      <c r="P26" s="3" t="s">
        <v>603</v>
      </c>
      <c r="Q26" s="3" t="s">
        <v>2</v>
      </c>
      <c r="R26" s="4" t="s">
        <v>3</v>
      </c>
    </row>
    <row r="27" spans="1:18" ht="15.75" thickBot="1">
      <c r="A27" s="35" t="s">
        <v>5</v>
      </c>
      <c r="B27" s="36" t="s">
        <v>574</v>
      </c>
      <c r="C27" s="37">
        <f>VLOOKUP(B27,data!$A:$B,2,0)</f>
        <v>28075.94</v>
      </c>
      <c r="D27" s="38"/>
      <c r="E27" s="36" t="s">
        <v>2491</v>
      </c>
      <c r="F27" s="37">
        <f>VLOOKUP(E27,data!$A:$B,2,0)</f>
        <v>620.39</v>
      </c>
      <c r="G27" s="38"/>
      <c r="H27" s="38" t="s">
        <v>2492</v>
      </c>
      <c r="I27" s="37">
        <f>VLOOKUP(H27,data!$A:$B,2,0)</f>
        <v>169.07</v>
      </c>
      <c r="J27" s="38"/>
      <c r="K27" s="36" t="s">
        <v>2493</v>
      </c>
      <c r="L27" s="37">
        <f>VLOOKUP(K27,data!$A:$B,2,0)</f>
        <v>97</v>
      </c>
      <c r="M27" s="38"/>
      <c r="N27" s="36" t="s">
        <v>2494</v>
      </c>
      <c r="O27" s="37">
        <f>VLOOKUP(N27,data!$A:$B,2,0)</f>
        <v>830.81</v>
      </c>
      <c r="P27" s="38"/>
      <c r="Q27" s="36" t="s">
        <v>2495</v>
      </c>
      <c r="R27" s="37">
        <f>VLOOKUP(Q27,data!$A:$B,2,0)</f>
        <v>6369.02</v>
      </c>
    </row>
    <row r="28" spans="1:18" ht="15.75" thickBot="1">
      <c r="A28" s="35" t="s">
        <v>12</v>
      </c>
      <c r="B28" s="36" t="s">
        <v>575</v>
      </c>
      <c r="C28" s="37">
        <f>VLOOKUP(B28,data!$A:$B,2,0)</f>
        <v>28075.919999999998</v>
      </c>
      <c r="D28" s="38"/>
      <c r="E28" s="36" t="s">
        <v>2502</v>
      </c>
      <c r="F28" s="37">
        <f>VLOOKUP(E28,data!$A:$B,2,0)</f>
        <v>620.39</v>
      </c>
      <c r="G28" s="38"/>
      <c r="H28" s="38" t="s">
        <v>2503</v>
      </c>
      <c r="I28" s="37">
        <f>VLOOKUP(H28,data!$A:$B,2,0)</f>
        <v>169.07</v>
      </c>
      <c r="J28" s="38"/>
      <c r="K28" s="36" t="s">
        <v>2504</v>
      </c>
      <c r="L28" s="37">
        <f>VLOOKUP(K28,data!$A:$B,2,0)</f>
        <v>97</v>
      </c>
      <c r="M28" s="38"/>
      <c r="N28" s="36" t="s">
        <v>2505</v>
      </c>
      <c r="O28" s="37">
        <f>VLOOKUP(N28,data!$A:$B,2,0)</f>
        <v>830.81</v>
      </c>
      <c r="P28" s="38"/>
      <c r="Q28" s="36" t="s">
        <v>2506</v>
      </c>
      <c r="R28" s="37">
        <f>VLOOKUP(Q28,data!$A:$B,2,0)</f>
        <v>6369.14</v>
      </c>
    </row>
    <row r="29" spans="1:18" ht="15.75" thickBot="1">
      <c r="A29" s="35" t="s">
        <v>13</v>
      </c>
      <c r="B29" s="36" t="s">
        <v>576</v>
      </c>
      <c r="C29" s="37">
        <f>VLOOKUP(B29,data!$A:$B,2,0)</f>
        <v>28075.52</v>
      </c>
      <c r="D29" s="38"/>
      <c r="E29" s="36" t="s">
        <v>2512</v>
      </c>
      <c r="F29" s="37">
        <f>VLOOKUP(E29,data!$A:$B,2,0)</f>
        <v>620.39</v>
      </c>
      <c r="G29" s="38"/>
      <c r="H29" s="38" t="s">
        <v>2513</v>
      </c>
      <c r="I29" s="37">
        <f>VLOOKUP(H29,data!$A:$B,2,0)</f>
        <v>169.07</v>
      </c>
      <c r="J29" s="38"/>
      <c r="K29" s="36" t="s">
        <v>2514</v>
      </c>
      <c r="L29" s="37">
        <f>VLOOKUP(K29,data!$A:$B,2,0)</f>
        <v>97</v>
      </c>
      <c r="M29" s="38"/>
      <c r="N29" s="36" t="s">
        <v>2515</v>
      </c>
      <c r="O29" s="37">
        <f>VLOOKUP(N29,data!$A:$B,2,0)</f>
        <v>830.81</v>
      </c>
      <c r="P29" s="38"/>
      <c r="Q29" s="36" t="s">
        <v>2516</v>
      </c>
      <c r="R29" s="37">
        <f>VLOOKUP(Q29,data!$A:$B,2,0)</f>
        <v>6369.06</v>
      </c>
    </row>
    <row r="30" spans="1:18" ht="15.75" thickBot="1">
      <c r="A30" s="35" t="s">
        <v>14</v>
      </c>
      <c r="B30" s="36" t="s">
        <v>577</v>
      </c>
      <c r="C30" s="37">
        <f>VLOOKUP(B30,data!$A:$B,2,0)</f>
        <v>28075.99</v>
      </c>
      <c r="D30" s="38"/>
      <c r="E30" s="36" t="s">
        <v>2522</v>
      </c>
      <c r="F30" s="37">
        <f>VLOOKUP(E30,data!$A:$B,2,0)</f>
        <v>620.39</v>
      </c>
      <c r="G30" s="38"/>
      <c r="H30" s="38" t="s">
        <v>2523</v>
      </c>
      <c r="I30" s="37">
        <f>VLOOKUP(H30,data!$A:$B,2,0)</f>
        <v>169.07</v>
      </c>
      <c r="J30" s="38"/>
      <c r="K30" s="36" t="s">
        <v>2524</v>
      </c>
      <c r="L30" s="37">
        <f>VLOOKUP(K30,data!$A:$B,2,0)</f>
        <v>97</v>
      </c>
      <c r="M30" s="38"/>
      <c r="N30" s="36" t="s">
        <v>2525</v>
      </c>
      <c r="O30" s="37">
        <f>VLOOKUP(N30,data!$A:$B,2,0)</f>
        <v>830.81</v>
      </c>
      <c r="P30" s="38"/>
      <c r="Q30" s="36" t="s">
        <v>2526</v>
      </c>
      <c r="R30" s="37">
        <f>VLOOKUP(Q30,data!$A:$B,2,0)</f>
        <v>6369.31</v>
      </c>
    </row>
    <row r="31" spans="1:18" ht="15.75" thickBot="1">
      <c r="A31" s="35" t="s">
        <v>15</v>
      </c>
      <c r="B31" s="36" t="s">
        <v>581</v>
      </c>
      <c r="C31" s="37">
        <f>VLOOKUP(B31,data!$A:$B,2,0)</f>
        <v>28075.82</v>
      </c>
      <c r="D31" s="38"/>
      <c r="E31" s="36" t="s">
        <v>2532</v>
      </c>
      <c r="F31" s="37">
        <f>VLOOKUP(E31,data!$A:$B,2,0)</f>
        <v>620.39</v>
      </c>
      <c r="G31" s="38"/>
      <c r="H31" s="38" t="s">
        <v>2533</v>
      </c>
      <c r="I31" s="37">
        <f>VLOOKUP(H31,data!$A:$B,2,0)</f>
        <v>169.07</v>
      </c>
      <c r="J31" s="38"/>
      <c r="K31" s="36" t="s">
        <v>2534</v>
      </c>
      <c r="L31" s="37">
        <f>VLOOKUP(K31,data!$A:$B,2,0)</f>
        <v>97</v>
      </c>
      <c r="M31" s="38"/>
      <c r="N31" s="36" t="s">
        <v>2535</v>
      </c>
      <c r="O31" s="37">
        <f>VLOOKUP(N31,data!$A:$B,2,0)</f>
        <v>830.81</v>
      </c>
      <c r="P31" s="38"/>
      <c r="Q31" s="36" t="s">
        <v>2536</v>
      </c>
      <c r="R31" s="37">
        <f>VLOOKUP(Q31,data!$A:$B,2,0)</f>
        <v>6369.16</v>
      </c>
    </row>
    <row r="32" spans="1:18" ht="15.75" thickBot="1">
      <c r="A32" s="35" t="s">
        <v>16</v>
      </c>
      <c r="B32" s="36" t="s">
        <v>580</v>
      </c>
      <c r="C32" s="37">
        <f>VLOOKUP(B32,data!$A:$B,2,0)</f>
        <v>28075.96</v>
      </c>
      <c r="D32" s="38"/>
      <c r="E32" s="36" t="s">
        <v>2542</v>
      </c>
      <c r="F32" s="37">
        <f>VLOOKUP(E32,data!$A:$B,2,0)</f>
        <v>620.39</v>
      </c>
      <c r="G32" s="38"/>
      <c r="H32" s="38" t="s">
        <v>2543</v>
      </c>
      <c r="I32" s="37">
        <f>VLOOKUP(H32,data!$A:$B,2,0)</f>
        <v>169.07</v>
      </c>
      <c r="J32" s="38"/>
      <c r="K32" s="36" t="s">
        <v>2544</v>
      </c>
      <c r="L32" s="37">
        <f>VLOOKUP(K32,data!$A:$B,2,0)</f>
        <v>97</v>
      </c>
      <c r="M32" s="38"/>
      <c r="N32" s="36" t="s">
        <v>2545</v>
      </c>
      <c r="O32" s="37">
        <f>VLOOKUP(N32,data!$A:$B,2,0)</f>
        <v>830.81</v>
      </c>
      <c r="P32" s="38"/>
      <c r="Q32" s="36" t="s">
        <v>2546</v>
      </c>
      <c r="R32" s="37">
        <f>VLOOKUP(Q32,data!$A:$B,2,0)</f>
        <v>6369.35</v>
      </c>
    </row>
    <row r="33" spans="1:18" ht="15.75" thickBot="1">
      <c r="A33" s="35" t="s">
        <v>17</v>
      </c>
      <c r="B33" s="36" t="s">
        <v>579</v>
      </c>
      <c r="C33" s="37">
        <f>VLOOKUP(B33,data!$A:$B,2,0)</f>
        <v>28075.77</v>
      </c>
      <c r="D33" s="38"/>
      <c r="E33" s="36" t="s">
        <v>2552</v>
      </c>
      <c r="F33" s="37">
        <f>VLOOKUP(E33,data!$A:$B,2,0)</f>
        <v>620.39</v>
      </c>
      <c r="G33" s="38"/>
      <c r="H33" s="38" t="s">
        <v>2553</v>
      </c>
      <c r="I33" s="37">
        <f>VLOOKUP(H33,data!$A:$B,2,0)</f>
        <v>169.07</v>
      </c>
      <c r="J33" s="38"/>
      <c r="K33" s="36" t="s">
        <v>2554</v>
      </c>
      <c r="L33" s="37">
        <f>VLOOKUP(K33,data!$A:$B,2,0)</f>
        <v>97</v>
      </c>
      <c r="M33" s="38"/>
      <c r="N33" s="36" t="s">
        <v>2555</v>
      </c>
      <c r="O33" s="37">
        <f>VLOOKUP(N33,data!$A:$B,2,0)</f>
        <v>830.81</v>
      </c>
      <c r="P33" s="38"/>
      <c r="Q33" s="36" t="s">
        <v>2556</v>
      </c>
      <c r="R33" s="37">
        <f>VLOOKUP(Q33,data!$A:$B,2,0)</f>
        <v>6369.49</v>
      </c>
    </row>
    <row r="34" spans="1:18" ht="15.75" thickBot="1">
      <c r="A34" s="35" t="s">
        <v>18</v>
      </c>
      <c r="B34" s="36" t="s">
        <v>578</v>
      </c>
      <c r="C34" s="37">
        <f>VLOOKUP(B34,data!$A:$B,2,0)</f>
        <v>28075.89</v>
      </c>
      <c r="D34" s="38"/>
      <c r="E34" s="36" t="s">
        <v>2562</v>
      </c>
      <c r="F34" s="37">
        <f>VLOOKUP(E34,data!$A:$B,2,0)</f>
        <v>620.39</v>
      </c>
      <c r="G34" s="38"/>
      <c r="H34" s="38" t="s">
        <v>2563</v>
      </c>
      <c r="I34" s="37">
        <f>VLOOKUP(H34,data!$A:$B,2,0)</f>
        <v>169.07</v>
      </c>
      <c r="J34" s="38"/>
      <c r="K34" s="36" t="s">
        <v>2564</v>
      </c>
      <c r="L34" s="37">
        <f>VLOOKUP(K34,data!$A:$B,2,0)</f>
        <v>97</v>
      </c>
      <c r="M34" s="38"/>
      <c r="N34" s="36" t="s">
        <v>2565</v>
      </c>
      <c r="O34" s="37">
        <f>VLOOKUP(N34,data!$A:$B,2,0)</f>
        <v>830.81</v>
      </c>
      <c r="P34" s="38"/>
      <c r="Q34" s="36" t="s">
        <v>2566</v>
      </c>
      <c r="R34" s="37">
        <f>VLOOKUP(Q34,data!$A:$B,2,0)</f>
        <v>6369</v>
      </c>
    </row>
    <row r="35" spans="1:18">
      <c r="B35" s="19" t="s">
        <v>19</v>
      </c>
      <c r="C35" s="19">
        <f>MAX($C$27:$C$34)</f>
        <v>28075.99</v>
      </c>
      <c r="D35" s="14"/>
      <c r="E35" s="19" t="s">
        <v>19</v>
      </c>
      <c r="F35" s="19">
        <f>MAX($F$27:$F$34)</f>
        <v>620.39</v>
      </c>
      <c r="G35" s="14"/>
      <c r="H35" s="19" t="s">
        <v>19</v>
      </c>
      <c r="I35" s="19">
        <f>MAX($I$27:$I$34)</f>
        <v>169.07</v>
      </c>
      <c r="J35" s="14"/>
      <c r="K35" s="19" t="s">
        <v>19</v>
      </c>
      <c r="L35" s="19">
        <f>MAX($L$27:$L$34)</f>
        <v>97</v>
      </c>
      <c r="M35" s="14"/>
      <c r="N35" s="19" t="s">
        <v>19</v>
      </c>
      <c r="O35" s="19">
        <f>MAX($O$27:$O$34)</f>
        <v>830.81</v>
      </c>
      <c r="P35" s="14"/>
      <c r="Q35" s="19" t="s">
        <v>19</v>
      </c>
      <c r="R35" s="19">
        <f>MAX($R$27:$R$34)</f>
        <v>6369.49</v>
      </c>
    </row>
    <row r="36" spans="1:18">
      <c r="B36" s="19" t="s">
        <v>20</v>
      </c>
      <c r="C36" s="19">
        <f>MIN($C$27:$C$34)</f>
        <v>28075.52</v>
      </c>
      <c r="D36" s="14"/>
      <c r="E36" s="19" t="s">
        <v>20</v>
      </c>
      <c r="F36" s="19">
        <f>MIN($F$27:$F$34)</f>
        <v>620.39</v>
      </c>
      <c r="G36" s="14"/>
      <c r="H36" s="19" t="s">
        <v>20</v>
      </c>
      <c r="I36" s="19">
        <f>MIN($I$27:$I$34)</f>
        <v>169.07</v>
      </c>
      <c r="J36" s="14"/>
      <c r="K36" s="19" t="s">
        <v>20</v>
      </c>
      <c r="L36" s="19">
        <f>MIN($L$27:$L$34)</f>
        <v>97</v>
      </c>
      <c r="M36" s="14"/>
      <c r="N36" s="19" t="s">
        <v>20</v>
      </c>
      <c r="O36" s="19">
        <f>MIN($O$27:$O$34)</f>
        <v>830.81</v>
      </c>
      <c r="P36" s="14"/>
      <c r="Q36" s="19" t="s">
        <v>20</v>
      </c>
      <c r="R36" s="19">
        <f>MIN($R$27:$R$34)</f>
        <v>6369</v>
      </c>
    </row>
    <row r="37" spans="1:18">
      <c r="B37" s="19" t="s">
        <v>21</v>
      </c>
      <c r="C37" s="19">
        <f>C35-C36</f>
        <v>0.47000000000116415</v>
      </c>
      <c r="D37" s="14"/>
      <c r="E37" s="19" t="s">
        <v>21</v>
      </c>
      <c r="F37" s="19">
        <f>F35-F36</f>
        <v>0</v>
      </c>
      <c r="G37" s="14"/>
      <c r="H37" s="19" t="s">
        <v>21</v>
      </c>
      <c r="I37" s="19">
        <f>I35-I36</f>
        <v>0</v>
      </c>
      <c r="J37" s="14"/>
      <c r="K37" s="19" t="s">
        <v>21</v>
      </c>
      <c r="L37" s="19">
        <f>L35-L36</f>
        <v>0</v>
      </c>
      <c r="M37" s="14"/>
      <c r="N37" s="19" t="s">
        <v>21</v>
      </c>
      <c r="O37" s="19">
        <f>O35-O36</f>
        <v>0</v>
      </c>
      <c r="P37" s="14"/>
      <c r="Q37" s="19" t="s">
        <v>21</v>
      </c>
      <c r="R37" s="19">
        <f>R35-R36</f>
        <v>0.48999999999978172</v>
      </c>
    </row>
    <row r="38" spans="1:18">
      <c r="B38" s="19" t="s">
        <v>22</v>
      </c>
      <c r="C38" s="19">
        <v>1</v>
      </c>
      <c r="D38" s="14"/>
      <c r="E38" s="19" t="s">
        <v>22</v>
      </c>
      <c r="F38" s="19">
        <v>1</v>
      </c>
      <c r="G38" s="14"/>
      <c r="H38" s="19" t="s">
        <v>22</v>
      </c>
      <c r="I38" s="19">
        <v>1</v>
      </c>
      <c r="J38" s="14"/>
      <c r="K38" s="19" t="s">
        <v>22</v>
      </c>
      <c r="L38" s="19">
        <v>1</v>
      </c>
      <c r="M38" s="14"/>
      <c r="N38" s="19" t="s">
        <v>22</v>
      </c>
      <c r="O38" s="19">
        <v>1</v>
      </c>
      <c r="P38" s="14"/>
      <c r="Q38" s="19" t="s">
        <v>22</v>
      </c>
      <c r="R38" s="19">
        <v>1</v>
      </c>
    </row>
    <row r="39" spans="1:18">
      <c r="B39" s="19"/>
      <c r="C39" s="19" t="str">
        <f>IF(C38="","None",IF(C37&lt;=C38,"PASS","FAIL"))</f>
        <v>PASS</v>
      </c>
      <c r="D39" s="14"/>
      <c r="E39" s="19"/>
      <c r="F39" s="19" t="str">
        <f>IF(F38="","None",IF(F37&lt;=F38,"PASS","FAIL"))</f>
        <v>PASS</v>
      </c>
      <c r="G39" s="14"/>
      <c r="H39" s="19"/>
      <c r="I39" s="19" t="str">
        <f>IF(I38="","None",IF(I37&lt;=I38,"PASS","FAIL"))</f>
        <v>PASS</v>
      </c>
      <c r="J39" s="14"/>
      <c r="K39" s="19"/>
      <c r="L39" s="19" t="str">
        <f>IF(L38="","None",IF(L37&lt;=L38,"PASS","FAIL"))</f>
        <v>PASS</v>
      </c>
      <c r="M39" s="14"/>
      <c r="N39" s="19"/>
      <c r="O39" s="19" t="str">
        <f>IF(O38="","None",IF(O37&lt;=O38,"PASS","FAIL"))</f>
        <v>PASS</v>
      </c>
      <c r="P39" s="14"/>
      <c r="Q39" s="19"/>
      <c r="R39" s="19" t="str">
        <f>IF(R38="","None",IF(R37&lt;=R38,"PASS","FAIL"))</f>
        <v>PASS</v>
      </c>
    </row>
  </sheetData>
  <mergeCells count="2">
    <mergeCell ref="E8:R8"/>
    <mergeCell ref="E25:R25"/>
  </mergeCells>
  <phoneticPr fontId="7" type="noConversion"/>
  <conditionalFormatting sqref="A8:A10">
    <cfRule type="containsText" dxfId="455" priority="1277" operator="containsText" text="PASS">
      <formula>NOT(ISERROR(SEARCH("PASS",A8)))</formula>
    </cfRule>
    <cfRule type="containsText" dxfId="454" priority="1278" operator="containsText" text="FAIL">
      <formula>NOT(ISERROR(SEARCH("FAIL",A8)))</formula>
    </cfRule>
  </conditionalFormatting>
  <conditionalFormatting sqref="A8:A10">
    <cfRule type="cellIs" dxfId="453" priority="1276" operator="equal">
      <formula>"None"</formula>
    </cfRule>
  </conditionalFormatting>
  <conditionalFormatting sqref="B9 C10">
    <cfRule type="containsText" dxfId="452" priority="1257" operator="containsText" text="PASS">
      <formula>NOT(ISERROR(SEARCH("PASS",B9)))</formula>
    </cfRule>
    <cfRule type="containsText" dxfId="451" priority="1258" operator="containsText" text="FAIL">
      <formula>NOT(ISERROR(SEARCH("FAIL",B9)))</formula>
    </cfRule>
  </conditionalFormatting>
  <conditionalFormatting sqref="C9">
    <cfRule type="containsText" dxfId="450" priority="1255" operator="containsText" text="PASS">
      <formula>NOT(ISERROR(SEARCH("PASS",C9)))</formula>
    </cfRule>
    <cfRule type="containsText" dxfId="449" priority="1256" operator="containsText" text="FAIL">
      <formula>NOT(ISERROR(SEARCH("FAIL",C9)))</formula>
    </cfRule>
  </conditionalFormatting>
  <conditionalFormatting sqref="B9:C10">
    <cfRule type="cellIs" dxfId="448" priority="1254" operator="equal">
      <formula>"None"</formula>
    </cfRule>
  </conditionalFormatting>
  <conditionalFormatting sqref="E9 F10">
    <cfRule type="containsText" dxfId="447" priority="1228" operator="containsText" text="PASS">
      <formula>NOT(ISERROR(SEARCH("PASS",E9)))</formula>
    </cfRule>
    <cfRule type="containsText" dxfId="446" priority="1229" operator="containsText" text="FAIL">
      <formula>NOT(ISERROR(SEARCH("FAIL",E9)))</formula>
    </cfRule>
  </conditionalFormatting>
  <conditionalFormatting sqref="B8">
    <cfRule type="containsText" dxfId="445" priority="1240" operator="containsText" text="PASS">
      <formula>NOT(ISERROR(SEARCH("PASS",B8)))</formula>
    </cfRule>
    <cfRule type="containsText" dxfId="444" priority="1241" operator="containsText" text="FAIL">
      <formula>NOT(ISERROR(SEARCH("FAIL",B8)))</formula>
    </cfRule>
  </conditionalFormatting>
  <conditionalFormatting sqref="B8">
    <cfRule type="cellIs" dxfId="443" priority="1239" operator="equal">
      <formula>"None"</formula>
    </cfRule>
  </conditionalFormatting>
  <conditionalFormatting sqref="C8">
    <cfRule type="containsText" dxfId="442" priority="1237" operator="containsText" text="PASS">
      <formula>NOT(ISERROR(SEARCH("PASS",C8)))</formula>
    </cfRule>
    <cfRule type="containsText" dxfId="441" priority="1238" operator="containsText" text="FAIL">
      <formula>NOT(ISERROR(SEARCH("FAIL",C8)))</formula>
    </cfRule>
  </conditionalFormatting>
  <conditionalFormatting sqref="C8">
    <cfRule type="cellIs" dxfId="440" priority="1236" operator="equal">
      <formula>"None"</formula>
    </cfRule>
  </conditionalFormatting>
  <conditionalFormatting sqref="D9">
    <cfRule type="containsText" dxfId="439" priority="1234" operator="containsText" text="PASS">
      <formula>NOT(ISERROR(SEARCH("PASS",D9)))</formula>
    </cfRule>
    <cfRule type="containsText" dxfId="438" priority="1235" operator="containsText" text="FAIL">
      <formula>NOT(ISERROR(SEARCH("FAIL",D9)))</formula>
    </cfRule>
  </conditionalFormatting>
  <conditionalFormatting sqref="D9">
    <cfRule type="cellIs" dxfId="437" priority="1233" operator="equal">
      <formula>"None"</formula>
    </cfRule>
  </conditionalFormatting>
  <conditionalFormatting sqref="D8">
    <cfRule type="containsText" dxfId="436" priority="1231" operator="containsText" text="PASS">
      <formula>NOT(ISERROR(SEARCH("PASS",D8)))</formula>
    </cfRule>
    <cfRule type="containsText" dxfId="435" priority="1232" operator="containsText" text="FAIL">
      <formula>NOT(ISERROR(SEARCH("FAIL",D8)))</formula>
    </cfRule>
  </conditionalFormatting>
  <conditionalFormatting sqref="D8">
    <cfRule type="cellIs" dxfId="434" priority="1230" operator="equal">
      <formula>"None"</formula>
    </cfRule>
  </conditionalFormatting>
  <conditionalFormatting sqref="F9">
    <cfRule type="containsText" dxfId="433" priority="1226" operator="containsText" text="PASS">
      <formula>NOT(ISERROR(SEARCH("PASS",F9)))</formula>
    </cfRule>
    <cfRule type="containsText" dxfId="432" priority="1227" operator="containsText" text="FAIL">
      <formula>NOT(ISERROR(SEARCH("FAIL",F9)))</formula>
    </cfRule>
  </conditionalFormatting>
  <conditionalFormatting sqref="E9:F10">
    <cfRule type="cellIs" dxfId="431" priority="1225" operator="equal">
      <formula>"None"</formula>
    </cfRule>
  </conditionalFormatting>
  <conditionalFormatting sqref="E8">
    <cfRule type="containsText" dxfId="430" priority="1211" operator="containsText" text="PASS">
      <formula>NOT(ISERROR(SEARCH("PASS",E8)))</formula>
    </cfRule>
    <cfRule type="containsText" dxfId="429" priority="1212" operator="containsText" text="FAIL">
      <formula>NOT(ISERROR(SEARCH("FAIL",E8)))</formula>
    </cfRule>
  </conditionalFormatting>
  <conditionalFormatting sqref="E8">
    <cfRule type="cellIs" dxfId="428" priority="1210" operator="equal">
      <formula>"None"</formula>
    </cfRule>
  </conditionalFormatting>
  <conditionalFormatting sqref="K9 L10">
    <cfRule type="containsText" dxfId="427" priority="581" operator="containsText" text="PASS">
      <formula>NOT(ISERROR(SEARCH("PASS",K9)))</formula>
    </cfRule>
    <cfRule type="containsText" dxfId="426" priority="582" operator="containsText" text="FAIL">
      <formula>NOT(ISERROR(SEARCH("FAIL",K9)))</formula>
    </cfRule>
  </conditionalFormatting>
  <conditionalFormatting sqref="J9">
    <cfRule type="containsText" dxfId="425" priority="584" operator="containsText" text="PASS">
      <formula>NOT(ISERROR(SEARCH("PASS",J9)))</formula>
    </cfRule>
    <cfRule type="containsText" dxfId="424" priority="585" operator="containsText" text="FAIL">
      <formula>NOT(ISERROR(SEARCH("FAIL",J9)))</formula>
    </cfRule>
  </conditionalFormatting>
  <conditionalFormatting sqref="J9">
    <cfRule type="cellIs" dxfId="423" priority="583" operator="equal">
      <formula>"None"</formula>
    </cfRule>
  </conditionalFormatting>
  <conditionalFormatting sqref="R9">
    <cfRule type="containsText" dxfId="422" priority="545" operator="containsText" text="PASS">
      <formula>NOT(ISERROR(SEARCH("PASS",R9)))</formula>
    </cfRule>
    <cfRule type="containsText" dxfId="421" priority="546" operator="containsText" text="FAIL">
      <formula>NOT(ISERROR(SEARCH("FAIL",R9)))</formula>
    </cfRule>
  </conditionalFormatting>
  <conditionalFormatting sqref="Q9:R10">
    <cfRule type="cellIs" dxfId="420" priority="544" operator="equal">
      <formula>"None"</formula>
    </cfRule>
  </conditionalFormatting>
  <conditionalFormatting sqref="G9">
    <cfRule type="containsText" dxfId="419" priority="601" operator="containsText" text="PASS">
      <formula>NOT(ISERROR(SEARCH("PASS",G9)))</formula>
    </cfRule>
    <cfRule type="containsText" dxfId="418" priority="602" operator="containsText" text="FAIL">
      <formula>NOT(ISERROR(SEARCH("FAIL",G9)))</formula>
    </cfRule>
  </conditionalFormatting>
  <conditionalFormatting sqref="G9">
    <cfRule type="cellIs" dxfId="417" priority="600" operator="equal">
      <formula>"None"</formula>
    </cfRule>
  </conditionalFormatting>
  <conditionalFormatting sqref="H9">
    <cfRule type="containsText" dxfId="416" priority="598" operator="containsText" text="PASS">
      <formula>NOT(ISERROR(SEARCH("PASS",H9)))</formula>
    </cfRule>
    <cfRule type="containsText" dxfId="415" priority="599" operator="containsText" text="FAIL">
      <formula>NOT(ISERROR(SEARCH("FAIL",H9)))</formula>
    </cfRule>
  </conditionalFormatting>
  <conditionalFormatting sqref="H9">
    <cfRule type="cellIs" dxfId="414" priority="595" operator="equal">
      <formula>"None"</formula>
    </cfRule>
  </conditionalFormatting>
  <conditionalFormatting sqref="B26 C27">
    <cfRule type="containsText" dxfId="413" priority="527" operator="containsText" text="PASS">
      <formula>NOT(ISERROR(SEARCH("PASS",B26)))</formula>
    </cfRule>
    <cfRule type="containsText" dxfId="412" priority="528" operator="containsText" text="FAIL">
      <formula>NOT(ISERROR(SEARCH("FAIL",B26)))</formula>
    </cfRule>
  </conditionalFormatting>
  <conditionalFormatting sqref="L9">
    <cfRule type="containsText" dxfId="411" priority="579" operator="containsText" text="PASS">
      <formula>NOT(ISERROR(SEARCH("PASS",L9)))</formula>
    </cfRule>
    <cfRule type="containsText" dxfId="410" priority="580" operator="containsText" text="FAIL">
      <formula>NOT(ISERROR(SEARCH("FAIL",L9)))</formula>
    </cfRule>
  </conditionalFormatting>
  <conditionalFormatting sqref="K9:L10">
    <cfRule type="cellIs" dxfId="409" priority="578" operator="equal">
      <formula>"None"</formula>
    </cfRule>
  </conditionalFormatting>
  <conditionalFormatting sqref="D25">
    <cfRule type="containsText" dxfId="408" priority="513" operator="containsText" text="PASS">
      <formula>NOT(ISERROR(SEARCH("PASS",D25)))</formula>
    </cfRule>
    <cfRule type="containsText" dxfId="407" priority="514" operator="containsText" text="FAIL">
      <formula>NOT(ISERROR(SEARCH("FAIL",D25)))</formula>
    </cfRule>
  </conditionalFormatting>
  <conditionalFormatting sqref="D25">
    <cfRule type="cellIs" dxfId="406" priority="512" operator="equal">
      <formula>"None"</formula>
    </cfRule>
  </conditionalFormatting>
  <conditionalFormatting sqref="E26 F27">
    <cfRule type="containsText" dxfId="405" priority="510" operator="containsText" text="PASS">
      <formula>NOT(ISERROR(SEARCH("PASS",E26)))</formula>
    </cfRule>
    <cfRule type="containsText" dxfId="404" priority="511" operator="containsText" text="FAIL">
      <formula>NOT(ISERROR(SEARCH("FAIL",E26)))</formula>
    </cfRule>
  </conditionalFormatting>
  <conditionalFormatting sqref="M9">
    <cfRule type="containsText" dxfId="403" priority="567" operator="containsText" text="PASS">
      <formula>NOT(ISERROR(SEARCH("PASS",M9)))</formula>
    </cfRule>
    <cfRule type="containsText" dxfId="402" priority="568" operator="containsText" text="FAIL">
      <formula>NOT(ISERROR(SEARCH("FAIL",M9)))</formula>
    </cfRule>
  </conditionalFormatting>
  <conditionalFormatting sqref="M9">
    <cfRule type="cellIs" dxfId="401" priority="566" operator="equal">
      <formula>"None"</formula>
    </cfRule>
  </conditionalFormatting>
  <conditionalFormatting sqref="N9 O10">
    <cfRule type="containsText" dxfId="400" priority="564" operator="containsText" text="PASS">
      <formula>NOT(ISERROR(SEARCH("PASS",N9)))</formula>
    </cfRule>
    <cfRule type="containsText" dxfId="399" priority="565" operator="containsText" text="FAIL">
      <formula>NOT(ISERROR(SEARCH("FAIL",N9)))</formula>
    </cfRule>
  </conditionalFormatting>
  <conditionalFormatting sqref="O9">
    <cfRule type="containsText" dxfId="398" priority="562" operator="containsText" text="PASS">
      <formula>NOT(ISERROR(SEARCH("PASS",O9)))</formula>
    </cfRule>
    <cfRule type="containsText" dxfId="397" priority="563" operator="containsText" text="FAIL">
      <formula>NOT(ISERROR(SEARCH("FAIL",O9)))</formula>
    </cfRule>
  </conditionalFormatting>
  <conditionalFormatting sqref="N9:O10">
    <cfRule type="cellIs" dxfId="396" priority="561" operator="equal">
      <formula>"None"</formula>
    </cfRule>
  </conditionalFormatting>
  <conditionalFormatting sqref="P9">
    <cfRule type="containsText" dxfId="395" priority="550" operator="containsText" text="PASS">
      <formula>NOT(ISERROR(SEARCH("PASS",P9)))</formula>
    </cfRule>
    <cfRule type="containsText" dxfId="394" priority="551" operator="containsText" text="FAIL">
      <formula>NOT(ISERROR(SEARCH("FAIL",P9)))</formula>
    </cfRule>
  </conditionalFormatting>
  <conditionalFormatting sqref="P9">
    <cfRule type="cellIs" dxfId="393" priority="549" operator="equal">
      <formula>"None"</formula>
    </cfRule>
  </conditionalFormatting>
  <conditionalFormatting sqref="Q9 R10">
    <cfRule type="containsText" dxfId="392" priority="547" operator="containsText" text="PASS">
      <formula>NOT(ISERROR(SEARCH("PASS",Q9)))</formula>
    </cfRule>
    <cfRule type="containsText" dxfId="391" priority="548" operator="containsText" text="FAIL">
      <formula>NOT(ISERROR(SEARCH("FAIL",Q9)))</formula>
    </cfRule>
  </conditionalFormatting>
  <conditionalFormatting sqref="R26">
    <cfRule type="containsText" dxfId="390" priority="473" operator="containsText" text="PASS">
      <formula>NOT(ISERROR(SEARCH("PASS",R26)))</formula>
    </cfRule>
    <cfRule type="containsText" dxfId="389" priority="474" operator="containsText" text="FAIL">
      <formula>NOT(ISERROR(SEARCH("FAIL",R26)))</formula>
    </cfRule>
  </conditionalFormatting>
  <conditionalFormatting sqref="Q26:R27">
    <cfRule type="cellIs" dxfId="388" priority="472" operator="equal">
      <formula>"None"</formula>
    </cfRule>
  </conditionalFormatting>
  <conditionalFormatting sqref="C26">
    <cfRule type="containsText" dxfId="387" priority="525" operator="containsText" text="PASS">
      <formula>NOT(ISERROR(SEARCH("PASS",C26)))</formula>
    </cfRule>
    <cfRule type="containsText" dxfId="386" priority="526" operator="containsText" text="FAIL">
      <formula>NOT(ISERROR(SEARCH("FAIL",C26)))</formula>
    </cfRule>
  </conditionalFormatting>
  <conditionalFormatting sqref="B26:C27">
    <cfRule type="cellIs" dxfId="385" priority="524" operator="equal">
      <formula>"None"</formula>
    </cfRule>
  </conditionalFormatting>
  <conditionalFormatting sqref="B25">
    <cfRule type="containsText" dxfId="384" priority="522" operator="containsText" text="PASS">
      <formula>NOT(ISERROR(SEARCH("PASS",B25)))</formula>
    </cfRule>
    <cfRule type="containsText" dxfId="383" priority="523" operator="containsText" text="FAIL">
      <formula>NOT(ISERROR(SEARCH("FAIL",B25)))</formula>
    </cfRule>
  </conditionalFormatting>
  <conditionalFormatting sqref="B25">
    <cfRule type="cellIs" dxfId="382" priority="521" operator="equal">
      <formula>"None"</formula>
    </cfRule>
  </conditionalFormatting>
  <conditionalFormatting sqref="C25">
    <cfRule type="containsText" dxfId="381" priority="519" operator="containsText" text="PASS">
      <formula>NOT(ISERROR(SEARCH("PASS",C25)))</formula>
    </cfRule>
    <cfRule type="containsText" dxfId="380" priority="520" operator="containsText" text="FAIL">
      <formula>NOT(ISERROR(SEARCH("FAIL",C25)))</formula>
    </cfRule>
  </conditionalFormatting>
  <conditionalFormatting sqref="C25">
    <cfRule type="cellIs" dxfId="379" priority="518" operator="equal">
      <formula>"None"</formula>
    </cfRule>
  </conditionalFormatting>
  <conditionalFormatting sqref="D26">
    <cfRule type="containsText" dxfId="378" priority="516" operator="containsText" text="PASS">
      <formula>NOT(ISERROR(SEARCH("PASS",D26)))</formula>
    </cfRule>
    <cfRule type="containsText" dxfId="377" priority="517" operator="containsText" text="FAIL">
      <formula>NOT(ISERROR(SEARCH("FAIL",D26)))</formula>
    </cfRule>
  </conditionalFormatting>
  <conditionalFormatting sqref="D26">
    <cfRule type="cellIs" dxfId="376" priority="515" operator="equal">
      <formula>"None"</formula>
    </cfRule>
  </conditionalFormatting>
  <conditionalFormatting sqref="F26">
    <cfRule type="containsText" dxfId="375" priority="508" operator="containsText" text="PASS">
      <formula>NOT(ISERROR(SEARCH("PASS",F26)))</formula>
    </cfRule>
    <cfRule type="containsText" dxfId="374" priority="509" operator="containsText" text="FAIL">
      <formula>NOT(ISERROR(SEARCH("FAIL",F26)))</formula>
    </cfRule>
  </conditionalFormatting>
  <conditionalFormatting sqref="E26:F27">
    <cfRule type="cellIs" dxfId="373" priority="507" operator="equal">
      <formula>"None"</formula>
    </cfRule>
  </conditionalFormatting>
  <conditionalFormatting sqref="E25">
    <cfRule type="containsText" dxfId="372" priority="505" operator="containsText" text="PASS">
      <formula>NOT(ISERROR(SEARCH("PASS",E25)))</formula>
    </cfRule>
    <cfRule type="containsText" dxfId="371" priority="506" operator="containsText" text="FAIL">
      <formula>NOT(ISERROR(SEARCH("FAIL",E25)))</formula>
    </cfRule>
  </conditionalFormatting>
  <conditionalFormatting sqref="E25">
    <cfRule type="cellIs" dxfId="370" priority="504" operator="equal">
      <formula>"None"</formula>
    </cfRule>
  </conditionalFormatting>
  <conditionalFormatting sqref="G26">
    <cfRule type="containsText" dxfId="369" priority="502" operator="containsText" text="PASS">
      <formula>NOT(ISERROR(SEARCH("PASS",G26)))</formula>
    </cfRule>
    <cfRule type="containsText" dxfId="368" priority="503" operator="containsText" text="FAIL">
      <formula>NOT(ISERROR(SEARCH("FAIL",G26)))</formula>
    </cfRule>
  </conditionalFormatting>
  <conditionalFormatting sqref="G26">
    <cfRule type="cellIs" dxfId="367" priority="501" operator="equal">
      <formula>"None"</formula>
    </cfRule>
  </conditionalFormatting>
  <conditionalFormatting sqref="H26">
    <cfRule type="containsText" dxfId="366" priority="499" operator="containsText" text="PASS">
      <formula>NOT(ISERROR(SEARCH("PASS",H26)))</formula>
    </cfRule>
    <cfRule type="containsText" dxfId="365" priority="500" operator="containsText" text="FAIL">
      <formula>NOT(ISERROR(SEARCH("FAIL",H26)))</formula>
    </cfRule>
  </conditionalFormatting>
  <conditionalFormatting sqref="H26">
    <cfRule type="cellIs" dxfId="364" priority="496" operator="equal">
      <formula>"None"</formula>
    </cfRule>
  </conditionalFormatting>
  <conditionalFormatting sqref="J26">
    <cfRule type="containsText" dxfId="363" priority="494" operator="containsText" text="PASS">
      <formula>NOT(ISERROR(SEARCH("PASS",J26)))</formula>
    </cfRule>
    <cfRule type="containsText" dxfId="362" priority="495" operator="containsText" text="FAIL">
      <formula>NOT(ISERROR(SEARCH("FAIL",J26)))</formula>
    </cfRule>
  </conditionalFormatting>
  <conditionalFormatting sqref="J26">
    <cfRule type="cellIs" dxfId="361" priority="493" operator="equal">
      <formula>"None"</formula>
    </cfRule>
  </conditionalFormatting>
  <conditionalFormatting sqref="K26 L27">
    <cfRule type="containsText" dxfId="360" priority="491" operator="containsText" text="PASS">
      <formula>NOT(ISERROR(SEARCH("PASS",K26)))</formula>
    </cfRule>
    <cfRule type="containsText" dxfId="359" priority="492" operator="containsText" text="FAIL">
      <formula>NOT(ISERROR(SEARCH("FAIL",K26)))</formula>
    </cfRule>
  </conditionalFormatting>
  <conditionalFormatting sqref="L26">
    <cfRule type="containsText" dxfId="358" priority="489" operator="containsText" text="PASS">
      <formula>NOT(ISERROR(SEARCH("PASS",L26)))</formula>
    </cfRule>
    <cfRule type="containsText" dxfId="357" priority="490" operator="containsText" text="FAIL">
      <formula>NOT(ISERROR(SEARCH("FAIL",L26)))</formula>
    </cfRule>
  </conditionalFormatting>
  <conditionalFormatting sqref="K26:L27">
    <cfRule type="cellIs" dxfId="356" priority="488" operator="equal">
      <formula>"None"</formula>
    </cfRule>
  </conditionalFormatting>
  <conditionalFormatting sqref="M26">
    <cfRule type="containsText" dxfId="355" priority="486" operator="containsText" text="PASS">
      <formula>NOT(ISERROR(SEARCH("PASS",M26)))</formula>
    </cfRule>
    <cfRule type="containsText" dxfId="354" priority="487" operator="containsText" text="FAIL">
      <formula>NOT(ISERROR(SEARCH("FAIL",M26)))</formula>
    </cfRule>
  </conditionalFormatting>
  <conditionalFormatting sqref="M26">
    <cfRule type="cellIs" dxfId="353" priority="485" operator="equal">
      <formula>"None"</formula>
    </cfRule>
  </conditionalFormatting>
  <conditionalFormatting sqref="N26 O27">
    <cfRule type="containsText" dxfId="352" priority="483" operator="containsText" text="PASS">
      <formula>NOT(ISERROR(SEARCH("PASS",N26)))</formula>
    </cfRule>
    <cfRule type="containsText" dxfId="351" priority="484" operator="containsText" text="FAIL">
      <formula>NOT(ISERROR(SEARCH("FAIL",N26)))</formula>
    </cfRule>
  </conditionalFormatting>
  <conditionalFormatting sqref="O26">
    <cfRule type="containsText" dxfId="350" priority="481" operator="containsText" text="PASS">
      <formula>NOT(ISERROR(SEARCH("PASS",O26)))</formula>
    </cfRule>
    <cfRule type="containsText" dxfId="349" priority="482" operator="containsText" text="FAIL">
      <formula>NOT(ISERROR(SEARCH("FAIL",O26)))</formula>
    </cfRule>
  </conditionalFormatting>
  <conditionalFormatting sqref="N26:O27">
    <cfRule type="cellIs" dxfId="348" priority="480" operator="equal">
      <formula>"None"</formula>
    </cfRule>
  </conditionalFormatting>
  <conditionalFormatting sqref="P26">
    <cfRule type="containsText" dxfId="347" priority="478" operator="containsText" text="PASS">
      <formula>NOT(ISERROR(SEARCH("PASS",P26)))</formula>
    </cfRule>
    <cfRule type="containsText" dxfId="346" priority="479" operator="containsText" text="FAIL">
      <formula>NOT(ISERROR(SEARCH("FAIL",P26)))</formula>
    </cfRule>
  </conditionalFormatting>
  <conditionalFormatting sqref="P26">
    <cfRule type="cellIs" dxfId="345" priority="477" operator="equal">
      <formula>"None"</formula>
    </cfRule>
  </conditionalFormatting>
  <conditionalFormatting sqref="Q26 R27">
    <cfRule type="containsText" dxfId="344" priority="475" operator="containsText" text="PASS">
      <formula>NOT(ISERROR(SEARCH("PASS",Q26)))</formula>
    </cfRule>
    <cfRule type="containsText" dxfId="343" priority="476" operator="containsText" text="FAIL">
      <formula>NOT(ISERROR(SEARCH("FAIL",Q26)))</formula>
    </cfRule>
  </conditionalFormatting>
  <conditionalFormatting sqref="A11">
    <cfRule type="containsText" dxfId="342" priority="348" operator="containsText" text="PASS">
      <formula>NOT(ISERROR(SEARCH("PASS",A11)))</formula>
    </cfRule>
    <cfRule type="containsText" dxfId="341" priority="349" operator="containsText" text="FAIL">
      <formula>NOT(ISERROR(SEARCH("FAIL",A11)))</formula>
    </cfRule>
  </conditionalFormatting>
  <conditionalFormatting sqref="A11">
    <cfRule type="cellIs" dxfId="340" priority="347" operator="equal">
      <formula>"None"</formula>
    </cfRule>
  </conditionalFormatting>
  <conditionalFormatting sqref="C11">
    <cfRule type="containsText" dxfId="339" priority="345" operator="containsText" text="PASS">
      <formula>NOT(ISERROR(SEARCH("PASS",C11)))</formula>
    </cfRule>
    <cfRule type="containsText" dxfId="338" priority="346" operator="containsText" text="FAIL">
      <formula>NOT(ISERROR(SEARCH("FAIL",C11)))</formula>
    </cfRule>
  </conditionalFormatting>
  <conditionalFormatting sqref="B11:C11">
    <cfRule type="cellIs" dxfId="337" priority="344" operator="equal">
      <formula>"None"</formula>
    </cfRule>
  </conditionalFormatting>
  <conditionalFormatting sqref="F11">
    <cfRule type="containsText" dxfId="336" priority="342" operator="containsText" text="PASS">
      <formula>NOT(ISERROR(SEARCH("PASS",F11)))</formula>
    </cfRule>
    <cfRule type="containsText" dxfId="335" priority="343" operator="containsText" text="FAIL">
      <formula>NOT(ISERROR(SEARCH("FAIL",F11)))</formula>
    </cfRule>
  </conditionalFormatting>
  <conditionalFormatting sqref="E11:F11">
    <cfRule type="cellIs" dxfId="334" priority="341" operator="equal">
      <formula>"None"</formula>
    </cfRule>
  </conditionalFormatting>
  <conditionalFormatting sqref="L11">
    <cfRule type="containsText" dxfId="333" priority="336" operator="containsText" text="PASS">
      <formula>NOT(ISERROR(SEARCH("PASS",L11)))</formula>
    </cfRule>
    <cfRule type="containsText" dxfId="332" priority="337" operator="containsText" text="FAIL">
      <formula>NOT(ISERROR(SEARCH("FAIL",L11)))</formula>
    </cfRule>
  </conditionalFormatting>
  <conditionalFormatting sqref="Q11:R11">
    <cfRule type="cellIs" dxfId="331" priority="329" operator="equal">
      <formula>"None"</formula>
    </cfRule>
  </conditionalFormatting>
  <conditionalFormatting sqref="C28">
    <cfRule type="containsText" dxfId="330" priority="327" operator="containsText" text="PASS">
      <formula>NOT(ISERROR(SEARCH("PASS",C28)))</formula>
    </cfRule>
    <cfRule type="containsText" dxfId="329" priority="328" operator="containsText" text="FAIL">
      <formula>NOT(ISERROR(SEARCH("FAIL",C28)))</formula>
    </cfRule>
  </conditionalFormatting>
  <conditionalFormatting sqref="K11:L11">
    <cfRule type="cellIs" dxfId="328" priority="335" operator="equal">
      <formula>"None"</formula>
    </cfRule>
  </conditionalFormatting>
  <conditionalFormatting sqref="F28">
    <cfRule type="containsText" dxfId="327" priority="324" operator="containsText" text="PASS">
      <formula>NOT(ISERROR(SEARCH("PASS",F28)))</formula>
    </cfRule>
    <cfRule type="containsText" dxfId="326" priority="325" operator="containsText" text="FAIL">
      <formula>NOT(ISERROR(SEARCH("FAIL",F28)))</formula>
    </cfRule>
  </conditionalFormatting>
  <conditionalFormatting sqref="O11">
    <cfRule type="containsText" dxfId="325" priority="333" operator="containsText" text="PASS">
      <formula>NOT(ISERROR(SEARCH("PASS",O11)))</formula>
    </cfRule>
    <cfRule type="containsText" dxfId="324" priority="334" operator="containsText" text="FAIL">
      <formula>NOT(ISERROR(SEARCH("FAIL",O11)))</formula>
    </cfRule>
  </conditionalFormatting>
  <conditionalFormatting sqref="N11:O11">
    <cfRule type="cellIs" dxfId="323" priority="332" operator="equal">
      <formula>"None"</formula>
    </cfRule>
  </conditionalFormatting>
  <conditionalFormatting sqref="R11">
    <cfRule type="containsText" dxfId="322" priority="330" operator="containsText" text="PASS">
      <formula>NOT(ISERROR(SEARCH("PASS",R11)))</formula>
    </cfRule>
    <cfRule type="containsText" dxfId="321" priority="331" operator="containsText" text="FAIL">
      <formula>NOT(ISERROR(SEARCH("FAIL",R11)))</formula>
    </cfRule>
  </conditionalFormatting>
  <conditionalFormatting sqref="Q28:R28">
    <cfRule type="cellIs" dxfId="320" priority="311" operator="equal">
      <formula>"None"</formula>
    </cfRule>
  </conditionalFormatting>
  <conditionalFormatting sqref="B28:C28">
    <cfRule type="cellIs" dxfId="319" priority="326" operator="equal">
      <formula>"None"</formula>
    </cfRule>
  </conditionalFormatting>
  <conditionalFormatting sqref="E28:F28">
    <cfRule type="cellIs" dxfId="318" priority="323" operator="equal">
      <formula>"None"</formula>
    </cfRule>
  </conditionalFormatting>
  <conditionalFormatting sqref="L28">
    <cfRule type="containsText" dxfId="317" priority="318" operator="containsText" text="PASS">
      <formula>NOT(ISERROR(SEARCH("PASS",L28)))</formula>
    </cfRule>
    <cfRule type="containsText" dxfId="316" priority="319" operator="containsText" text="FAIL">
      <formula>NOT(ISERROR(SEARCH("FAIL",L28)))</formula>
    </cfRule>
  </conditionalFormatting>
  <conditionalFormatting sqref="K28:L28">
    <cfRule type="cellIs" dxfId="315" priority="317" operator="equal">
      <formula>"None"</formula>
    </cfRule>
  </conditionalFormatting>
  <conditionalFormatting sqref="O28">
    <cfRule type="containsText" dxfId="314" priority="315" operator="containsText" text="PASS">
      <formula>NOT(ISERROR(SEARCH("PASS",O28)))</formula>
    </cfRule>
    <cfRule type="containsText" dxfId="313" priority="316" operator="containsText" text="FAIL">
      <formula>NOT(ISERROR(SEARCH("FAIL",O28)))</formula>
    </cfRule>
  </conditionalFormatting>
  <conditionalFormatting sqref="N28:O28">
    <cfRule type="cellIs" dxfId="312" priority="314" operator="equal">
      <formula>"None"</formula>
    </cfRule>
  </conditionalFormatting>
  <conditionalFormatting sqref="R28">
    <cfRule type="containsText" dxfId="311" priority="312" operator="containsText" text="PASS">
      <formula>NOT(ISERROR(SEARCH("PASS",R28)))</formula>
    </cfRule>
    <cfRule type="containsText" dxfId="310" priority="313" operator="containsText" text="FAIL">
      <formula>NOT(ISERROR(SEARCH("FAIL",R28)))</formula>
    </cfRule>
  </conditionalFormatting>
  <conditionalFormatting sqref="A12">
    <cfRule type="containsText" dxfId="309" priority="309" operator="containsText" text="PASS">
      <formula>NOT(ISERROR(SEARCH("PASS",A12)))</formula>
    </cfRule>
    <cfRule type="containsText" dxfId="308" priority="310" operator="containsText" text="FAIL">
      <formula>NOT(ISERROR(SEARCH("FAIL",A12)))</formula>
    </cfRule>
  </conditionalFormatting>
  <conditionalFormatting sqref="A12">
    <cfRule type="cellIs" dxfId="307" priority="308" operator="equal">
      <formula>"None"</formula>
    </cfRule>
  </conditionalFormatting>
  <conditionalFormatting sqref="C12">
    <cfRule type="containsText" dxfId="306" priority="306" operator="containsText" text="PASS">
      <formula>NOT(ISERROR(SEARCH("PASS",C12)))</formula>
    </cfRule>
    <cfRule type="containsText" dxfId="305" priority="307" operator="containsText" text="FAIL">
      <formula>NOT(ISERROR(SEARCH("FAIL",C12)))</formula>
    </cfRule>
  </conditionalFormatting>
  <conditionalFormatting sqref="B12:C12">
    <cfRule type="cellIs" dxfId="304" priority="305" operator="equal">
      <formula>"None"</formula>
    </cfRule>
  </conditionalFormatting>
  <conditionalFormatting sqref="F12">
    <cfRule type="containsText" dxfId="303" priority="303" operator="containsText" text="PASS">
      <formula>NOT(ISERROR(SEARCH("PASS",F12)))</formula>
    </cfRule>
    <cfRule type="containsText" dxfId="302" priority="304" operator="containsText" text="FAIL">
      <formula>NOT(ISERROR(SEARCH("FAIL",F12)))</formula>
    </cfRule>
  </conditionalFormatting>
  <conditionalFormatting sqref="E12:F12">
    <cfRule type="cellIs" dxfId="301" priority="302" operator="equal">
      <formula>"None"</formula>
    </cfRule>
  </conditionalFormatting>
  <conditionalFormatting sqref="L12">
    <cfRule type="containsText" dxfId="300" priority="297" operator="containsText" text="PASS">
      <formula>NOT(ISERROR(SEARCH("PASS",L12)))</formula>
    </cfRule>
    <cfRule type="containsText" dxfId="299" priority="298" operator="containsText" text="FAIL">
      <formula>NOT(ISERROR(SEARCH("FAIL",L12)))</formula>
    </cfRule>
  </conditionalFormatting>
  <conditionalFormatting sqref="Q12:R12">
    <cfRule type="cellIs" dxfId="298" priority="290" operator="equal">
      <formula>"None"</formula>
    </cfRule>
  </conditionalFormatting>
  <conditionalFormatting sqref="C29">
    <cfRule type="containsText" dxfId="297" priority="288" operator="containsText" text="PASS">
      <formula>NOT(ISERROR(SEARCH("PASS",C29)))</formula>
    </cfRule>
    <cfRule type="containsText" dxfId="296" priority="289" operator="containsText" text="FAIL">
      <formula>NOT(ISERROR(SEARCH("FAIL",C29)))</formula>
    </cfRule>
  </conditionalFormatting>
  <conditionalFormatting sqref="K12:L12">
    <cfRule type="cellIs" dxfId="295" priority="296" operator="equal">
      <formula>"None"</formula>
    </cfRule>
  </conditionalFormatting>
  <conditionalFormatting sqref="F29">
    <cfRule type="containsText" dxfId="294" priority="285" operator="containsText" text="PASS">
      <formula>NOT(ISERROR(SEARCH("PASS",F29)))</formula>
    </cfRule>
    <cfRule type="containsText" dxfId="293" priority="286" operator="containsText" text="FAIL">
      <formula>NOT(ISERROR(SEARCH("FAIL",F29)))</formula>
    </cfRule>
  </conditionalFormatting>
  <conditionalFormatting sqref="O12">
    <cfRule type="containsText" dxfId="292" priority="294" operator="containsText" text="PASS">
      <formula>NOT(ISERROR(SEARCH("PASS",O12)))</formula>
    </cfRule>
    <cfRule type="containsText" dxfId="291" priority="295" operator="containsText" text="FAIL">
      <formula>NOT(ISERROR(SEARCH("FAIL",O12)))</formula>
    </cfRule>
  </conditionalFormatting>
  <conditionalFormatting sqref="N12:O12">
    <cfRule type="cellIs" dxfId="290" priority="293" operator="equal">
      <formula>"None"</formula>
    </cfRule>
  </conditionalFormatting>
  <conditionalFormatting sqref="R12">
    <cfRule type="containsText" dxfId="289" priority="291" operator="containsText" text="PASS">
      <formula>NOT(ISERROR(SEARCH("PASS",R12)))</formula>
    </cfRule>
    <cfRule type="containsText" dxfId="288" priority="292" operator="containsText" text="FAIL">
      <formula>NOT(ISERROR(SEARCH("FAIL",R12)))</formula>
    </cfRule>
  </conditionalFormatting>
  <conditionalFormatting sqref="Q29:R29">
    <cfRule type="cellIs" dxfId="287" priority="272" operator="equal">
      <formula>"None"</formula>
    </cfRule>
  </conditionalFormatting>
  <conditionalFormatting sqref="B29:C29">
    <cfRule type="cellIs" dxfId="286" priority="287" operator="equal">
      <formula>"None"</formula>
    </cfRule>
  </conditionalFormatting>
  <conditionalFormatting sqref="E29:F29">
    <cfRule type="cellIs" dxfId="285" priority="284" operator="equal">
      <formula>"None"</formula>
    </cfRule>
  </conditionalFormatting>
  <conditionalFormatting sqref="L29">
    <cfRule type="containsText" dxfId="284" priority="279" operator="containsText" text="PASS">
      <formula>NOT(ISERROR(SEARCH("PASS",L29)))</formula>
    </cfRule>
    <cfRule type="containsText" dxfId="283" priority="280" operator="containsText" text="FAIL">
      <formula>NOT(ISERROR(SEARCH("FAIL",L29)))</formula>
    </cfRule>
  </conditionalFormatting>
  <conditionalFormatting sqref="K29:L29">
    <cfRule type="cellIs" dxfId="282" priority="278" operator="equal">
      <formula>"None"</formula>
    </cfRule>
  </conditionalFormatting>
  <conditionalFormatting sqref="O29">
    <cfRule type="containsText" dxfId="281" priority="276" operator="containsText" text="PASS">
      <formula>NOT(ISERROR(SEARCH("PASS",O29)))</formula>
    </cfRule>
    <cfRule type="containsText" dxfId="280" priority="277" operator="containsText" text="FAIL">
      <formula>NOT(ISERROR(SEARCH("FAIL",O29)))</formula>
    </cfRule>
  </conditionalFormatting>
  <conditionalFormatting sqref="N29:O29">
    <cfRule type="cellIs" dxfId="279" priority="275" operator="equal">
      <formula>"None"</formula>
    </cfRule>
  </conditionalFormatting>
  <conditionalFormatting sqref="R29">
    <cfRule type="containsText" dxfId="278" priority="273" operator="containsText" text="PASS">
      <formula>NOT(ISERROR(SEARCH("PASS",R29)))</formula>
    </cfRule>
    <cfRule type="containsText" dxfId="277" priority="274" operator="containsText" text="FAIL">
      <formula>NOT(ISERROR(SEARCH("FAIL",R29)))</formula>
    </cfRule>
  </conditionalFormatting>
  <conditionalFormatting sqref="A13">
    <cfRule type="containsText" dxfId="276" priority="270" operator="containsText" text="PASS">
      <formula>NOT(ISERROR(SEARCH("PASS",A13)))</formula>
    </cfRule>
    <cfRule type="containsText" dxfId="275" priority="271" operator="containsText" text="FAIL">
      <formula>NOT(ISERROR(SEARCH("FAIL",A13)))</formula>
    </cfRule>
  </conditionalFormatting>
  <conditionalFormatting sqref="A13">
    <cfRule type="cellIs" dxfId="274" priority="269" operator="equal">
      <formula>"None"</formula>
    </cfRule>
  </conditionalFormatting>
  <conditionalFormatting sqref="C13">
    <cfRule type="containsText" dxfId="273" priority="267" operator="containsText" text="PASS">
      <formula>NOT(ISERROR(SEARCH("PASS",C13)))</formula>
    </cfRule>
    <cfRule type="containsText" dxfId="272" priority="268" operator="containsText" text="FAIL">
      <formula>NOT(ISERROR(SEARCH("FAIL",C13)))</formula>
    </cfRule>
  </conditionalFormatting>
  <conditionalFormatting sqref="B13:C13">
    <cfRule type="cellIs" dxfId="271" priority="266" operator="equal">
      <formula>"None"</formula>
    </cfRule>
  </conditionalFormatting>
  <conditionalFormatting sqref="F13">
    <cfRule type="containsText" dxfId="270" priority="264" operator="containsText" text="PASS">
      <formula>NOT(ISERROR(SEARCH("PASS",F13)))</formula>
    </cfRule>
    <cfRule type="containsText" dxfId="269" priority="265" operator="containsText" text="FAIL">
      <formula>NOT(ISERROR(SEARCH("FAIL",F13)))</formula>
    </cfRule>
  </conditionalFormatting>
  <conditionalFormatting sqref="E13:F13">
    <cfRule type="cellIs" dxfId="268" priority="263" operator="equal">
      <formula>"None"</formula>
    </cfRule>
  </conditionalFormatting>
  <conditionalFormatting sqref="L13">
    <cfRule type="containsText" dxfId="267" priority="258" operator="containsText" text="PASS">
      <formula>NOT(ISERROR(SEARCH("PASS",L13)))</formula>
    </cfRule>
    <cfRule type="containsText" dxfId="266" priority="259" operator="containsText" text="FAIL">
      <formula>NOT(ISERROR(SEARCH("FAIL",L13)))</formula>
    </cfRule>
  </conditionalFormatting>
  <conditionalFormatting sqref="Q13:R13">
    <cfRule type="cellIs" dxfId="265" priority="251" operator="equal">
      <formula>"None"</formula>
    </cfRule>
  </conditionalFormatting>
  <conditionalFormatting sqref="C30">
    <cfRule type="containsText" dxfId="264" priority="249" operator="containsText" text="PASS">
      <formula>NOT(ISERROR(SEARCH("PASS",C30)))</formula>
    </cfRule>
    <cfRule type="containsText" dxfId="263" priority="250" operator="containsText" text="FAIL">
      <formula>NOT(ISERROR(SEARCH("FAIL",C30)))</formula>
    </cfRule>
  </conditionalFormatting>
  <conditionalFormatting sqref="K13:L13">
    <cfRule type="cellIs" dxfId="262" priority="257" operator="equal">
      <formula>"None"</formula>
    </cfRule>
  </conditionalFormatting>
  <conditionalFormatting sqref="F30">
    <cfRule type="containsText" dxfId="261" priority="246" operator="containsText" text="PASS">
      <formula>NOT(ISERROR(SEARCH("PASS",F30)))</formula>
    </cfRule>
    <cfRule type="containsText" dxfId="260" priority="247" operator="containsText" text="FAIL">
      <formula>NOT(ISERROR(SEARCH("FAIL",F30)))</formula>
    </cfRule>
  </conditionalFormatting>
  <conditionalFormatting sqref="O13">
    <cfRule type="containsText" dxfId="259" priority="255" operator="containsText" text="PASS">
      <formula>NOT(ISERROR(SEARCH("PASS",O13)))</formula>
    </cfRule>
    <cfRule type="containsText" dxfId="258" priority="256" operator="containsText" text="FAIL">
      <formula>NOT(ISERROR(SEARCH("FAIL",O13)))</formula>
    </cfRule>
  </conditionalFormatting>
  <conditionalFormatting sqref="N13:O13">
    <cfRule type="cellIs" dxfId="257" priority="254" operator="equal">
      <formula>"None"</formula>
    </cfRule>
  </conditionalFormatting>
  <conditionalFormatting sqref="R13">
    <cfRule type="containsText" dxfId="256" priority="252" operator="containsText" text="PASS">
      <formula>NOT(ISERROR(SEARCH("PASS",R13)))</formula>
    </cfRule>
    <cfRule type="containsText" dxfId="255" priority="253" operator="containsText" text="FAIL">
      <formula>NOT(ISERROR(SEARCH("FAIL",R13)))</formula>
    </cfRule>
  </conditionalFormatting>
  <conditionalFormatting sqref="Q30:R30">
    <cfRule type="cellIs" dxfId="254" priority="233" operator="equal">
      <formula>"None"</formula>
    </cfRule>
  </conditionalFormatting>
  <conditionalFormatting sqref="B30:C30">
    <cfRule type="cellIs" dxfId="253" priority="248" operator="equal">
      <formula>"None"</formula>
    </cfRule>
  </conditionalFormatting>
  <conditionalFormatting sqref="E30:F30">
    <cfRule type="cellIs" dxfId="252" priority="245" operator="equal">
      <formula>"None"</formula>
    </cfRule>
  </conditionalFormatting>
  <conditionalFormatting sqref="L30">
    <cfRule type="containsText" dxfId="251" priority="240" operator="containsText" text="PASS">
      <formula>NOT(ISERROR(SEARCH("PASS",L30)))</formula>
    </cfRule>
    <cfRule type="containsText" dxfId="250" priority="241" operator="containsText" text="FAIL">
      <formula>NOT(ISERROR(SEARCH("FAIL",L30)))</formula>
    </cfRule>
  </conditionalFormatting>
  <conditionalFormatting sqref="K30:L30">
    <cfRule type="cellIs" dxfId="249" priority="239" operator="equal">
      <formula>"None"</formula>
    </cfRule>
  </conditionalFormatting>
  <conditionalFormatting sqref="O30">
    <cfRule type="containsText" dxfId="248" priority="237" operator="containsText" text="PASS">
      <formula>NOT(ISERROR(SEARCH("PASS",O30)))</formula>
    </cfRule>
    <cfRule type="containsText" dxfId="247" priority="238" operator="containsText" text="FAIL">
      <formula>NOT(ISERROR(SEARCH("FAIL",O30)))</formula>
    </cfRule>
  </conditionalFormatting>
  <conditionalFormatting sqref="N30:O30">
    <cfRule type="cellIs" dxfId="246" priority="236" operator="equal">
      <formula>"None"</formula>
    </cfRule>
  </conditionalFormatting>
  <conditionalFormatting sqref="R30">
    <cfRule type="containsText" dxfId="245" priority="234" operator="containsText" text="PASS">
      <formula>NOT(ISERROR(SEARCH("PASS",R30)))</formula>
    </cfRule>
    <cfRule type="containsText" dxfId="244" priority="235" operator="containsText" text="FAIL">
      <formula>NOT(ISERROR(SEARCH("FAIL",R30)))</formula>
    </cfRule>
  </conditionalFormatting>
  <conditionalFormatting sqref="A14">
    <cfRule type="containsText" dxfId="243" priority="231" operator="containsText" text="PASS">
      <formula>NOT(ISERROR(SEARCH("PASS",A14)))</formula>
    </cfRule>
    <cfRule type="containsText" dxfId="242" priority="232" operator="containsText" text="FAIL">
      <formula>NOT(ISERROR(SEARCH("FAIL",A14)))</formula>
    </cfRule>
  </conditionalFormatting>
  <conditionalFormatting sqref="A14">
    <cfRule type="cellIs" dxfId="241" priority="230" operator="equal">
      <formula>"None"</formula>
    </cfRule>
  </conditionalFormatting>
  <conditionalFormatting sqref="C14">
    <cfRule type="containsText" dxfId="240" priority="228" operator="containsText" text="PASS">
      <formula>NOT(ISERROR(SEARCH("PASS",C14)))</formula>
    </cfRule>
    <cfRule type="containsText" dxfId="239" priority="229" operator="containsText" text="FAIL">
      <formula>NOT(ISERROR(SEARCH("FAIL",C14)))</formula>
    </cfRule>
  </conditionalFormatting>
  <conditionalFormatting sqref="B14:C14">
    <cfRule type="cellIs" dxfId="238" priority="227" operator="equal">
      <formula>"None"</formula>
    </cfRule>
  </conditionalFormatting>
  <conditionalFormatting sqref="F14">
    <cfRule type="containsText" dxfId="237" priority="225" operator="containsText" text="PASS">
      <formula>NOT(ISERROR(SEARCH("PASS",F14)))</formula>
    </cfRule>
    <cfRule type="containsText" dxfId="236" priority="226" operator="containsText" text="FAIL">
      <formula>NOT(ISERROR(SEARCH("FAIL",F14)))</formula>
    </cfRule>
  </conditionalFormatting>
  <conditionalFormatting sqref="E14:F14">
    <cfRule type="cellIs" dxfId="235" priority="224" operator="equal">
      <formula>"None"</formula>
    </cfRule>
  </conditionalFormatting>
  <conditionalFormatting sqref="L14">
    <cfRule type="containsText" dxfId="234" priority="219" operator="containsText" text="PASS">
      <formula>NOT(ISERROR(SEARCH("PASS",L14)))</formula>
    </cfRule>
    <cfRule type="containsText" dxfId="233" priority="220" operator="containsText" text="FAIL">
      <formula>NOT(ISERROR(SEARCH("FAIL",L14)))</formula>
    </cfRule>
  </conditionalFormatting>
  <conditionalFormatting sqref="Q14:R14">
    <cfRule type="cellIs" dxfId="232" priority="212" operator="equal">
      <formula>"None"</formula>
    </cfRule>
  </conditionalFormatting>
  <conditionalFormatting sqref="C31">
    <cfRule type="containsText" dxfId="231" priority="210" operator="containsText" text="PASS">
      <formula>NOT(ISERROR(SEARCH("PASS",C31)))</formula>
    </cfRule>
    <cfRule type="containsText" dxfId="230" priority="211" operator="containsText" text="FAIL">
      <formula>NOT(ISERROR(SEARCH("FAIL",C31)))</formula>
    </cfRule>
  </conditionalFormatting>
  <conditionalFormatting sqref="K14:L14">
    <cfRule type="cellIs" dxfId="229" priority="218" operator="equal">
      <formula>"None"</formula>
    </cfRule>
  </conditionalFormatting>
  <conditionalFormatting sqref="F31">
    <cfRule type="containsText" dxfId="228" priority="207" operator="containsText" text="PASS">
      <formula>NOT(ISERROR(SEARCH("PASS",F31)))</formula>
    </cfRule>
    <cfRule type="containsText" dxfId="227" priority="208" operator="containsText" text="FAIL">
      <formula>NOT(ISERROR(SEARCH("FAIL",F31)))</formula>
    </cfRule>
  </conditionalFormatting>
  <conditionalFormatting sqref="O14">
    <cfRule type="containsText" dxfId="226" priority="216" operator="containsText" text="PASS">
      <formula>NOT(ISERROR(SEARCH("PASS",O14)))</formula>
    </cfRule>
    <cfRule type="containsText" dxfId="225" priority="217" operator="containsText" text="FAIL">
      <formula>NOT(ISERROR(SEARCH("FAIL",O14)))</formula>
    </cfRule>
  </conditionalFormatting>
  <conditionalFormatting sqref="N14:O14">
    <cfRule type="cellIs" dxfId="224" priority="215" operator="equal">
      <formula>"None"</formula>
    </cfRule>
  </conditionalFormatting>
  <conditionalFormatting sqref="R14">
    <cfRule type="containsText" dxfId="223" priority="213" operator="containsText" text="PASS">
      <formula>NOT(ISERROR(SEARCH("PASS",R14)))</formula>
    </cfRule>
    <cfRule type="containsText" dxfId="222" priority="214" operator="containsText" text="FAIL">
      <formula>NOT(ISERROR(SEARCH("FAIL",R14)))</formula>
    </cfRule>
  </conditionalFormatting>
  <conditionalFormatting sqref="Q31:R31">
    <cfRule type="cellIs" dxfId="221" priority="194" operator="equal">
      <formula>"None"</formula>
    </cfRule>
  </conditionalFormatting>
  <conditionalFormatting sqref="B31:C31">
    <cfRule type="cellIs" dxfId="220" priority="209" operator="equal">
      <formula>"None"</formula>
    </cfRule>
  </conditionalFormatting>
  <conditionalFormatting sqref="E31:F31">
    <cfRule type="cellIs" dxfId="219" priority="206" operator="equal">
      <formula>"None"</formula>
    </cfRule>
  </conditionalFormatting>
  <conditionalFormatting sqref="L31">
    <cfRule type="containsText" dxfId="218" priority="201" operator="containsText" text="PASS">
      <formula>NOT(ISERROR(SEARCH("PASS",L31)))</formula>
    </cfRule>
    <cfRule type="containsText" dxfId="217" priority="202" operator="containsText" text="FAIL">
      <formula>NOT(ISERROR(SEARCH("FAIL",L31)))</formula>
    </cfRule>
  </conditionalFormatting>
  <conditionalFormatting sqref="K31:L31">
    <cfRule type="cellIs" dxfId="216" priority="200" operator="equal">
      <formula>"None"</formula>
    </cfRule>
  </conditionalFormatting>
  <conditionalFormatting sqref="O31">
    <cfRule type="containsText" dxfId="215" priority="198" operator="containsText" text="PASS">
      <formula>NOT(ISERROR(SEARCH("PASS",O31)))</formula>
    </cfRule>
    <cfRule type="containsText" dxfId="214" priority="199" operator="containsText" text="FAIL">
      <formula>NOT(ISERROR(SEARCH("FAIL",O31)))</formula>
    </cfRule>
  </conditionalFormatting>
  <conditionalFormatting sqref="N31:O31">
    <cfRule type="cellIs" dxfId="213" priority="197" operator="equal">
      <formula>"None"</formula>
    </cfRule>
  </conditionalFormatting>
  <conditionalFormatting sqref="R31">
    <cfRule type="containsText" dxfId="212" priority="195" operator="containsText" text="PASS">
      <formula>NOT(ISERROR(SEARCH("PASS",R31)))</formula>
    </cfRule>
    <cfRule type="containsText" dxfId="211" priority="196" operator="containsText" text="FAIL">
      <formula>NOT(ISERROR(SEARCH("FAIL",R31)))</formula>
    </cfRule>
  </conditionalFormatting>
  <conditionalFormatting sqref="A15">
    <cfRule type="containsText" dxfId="210" priority="192" operator="containsText" text="PASS">
      <formula>NOT(ISERROR(SEARCH("PASS",A15)))</formula>
    </cfRule>
    <cfRule type="containsText" dxfId="209" priority="193" operator="containsText" text="FAIL">
      <formula>NOT(ISERROR(SEARCH("FAIL",A15)))</formula>
    </cfRule>
  </conditionalFormatting>
  <conditionalFormatting sqref="A15">
    <cfRule type="cellIs" dxfId="208" priority="191" operator="equal">
      <formula>"None"</formula>
    </cfRule>
  </conditionalFormatting>
  <conditionalFormatting sqref="C15">
    <cfRule type="containsText" dxfId="207" priority="189" operator="containsText" text="PASS">
      <formula>NOT(ISERROR(SEARCH("PASS",C15)))</formula>
    </cfRule>
    <cfRule type="containsText" dxfId="206" priority="190" operator="containsText" text="FAIL">
      <formula>NOT(ISERROR(SEARCH("FAIL",C15)))</formula>
    </cfRule>
  </conditionalFormatting>
  <conditionalFormatting sqref="B15:C15">
    <cfRule type="cellIs" dxfId="205" priority="188" operator="equal">
      <formula>"None"</formula>
    </cfRule>
  </conditionalFormatting>
  <conditionalFormatting sqref="F15">
    <cfRule type="containsText" dxfId="204" priority="186" operator="containsText" text="PASS">
      <formula>NOT(ISERROR(SEARCH("PASS",F15)))</formula>
    </cfRule>
    <cfRule type="containsText" dxfId="203" priority="187" operator="containsText" text="FAIL">
      <formula>NOT(ISERROR(SEARCH("FAIL",F15)))</formula>
    </cfRule>
  </conditionalFormatting>
  <conditionalFormatting sqref="E15:F15">
    <cfRule type="cellIs" dxfId="202" priority="185" operator="equal">
      <formula>"None"</formula>
    </cfRule>
  </conditionalFormatting>
  <conditionalFormatting sqref="L15">
    <cfRule type="containsText" dxfId="201" priority="180" operator="containsText" text="PASS">
      <formula>NOT(ISERROR(SEARCH("PASS",L15)))</formula>
    </cfRule>
    <cfRule type="containsText" dxfId="200" priority="181" operator="containsText" text="FAIL">
      <formula>NOT(ISERROR(SEARCH("FAIL",L15)))</formula>
    </cfRule>
  </conditionalFormatting>
  <conditionalFormatting sqref="Q15:R15">
    <cfRule type="cellIs" dxfId="199" priority="173" operator="equal">
      <formula>"None"</formula>
    </cfRule>
  </conditionalFormatting>
  <conditionalFormatting sqref="C32">
    <cfRule type="containsText" dxfId="198" priority="171" operator="containsText" text="PASS">
      <formula>NOT(ISERROR(SEARCH("PASS",C32)))</formula>
    </cfRule>
    <cfRule type="containsText" dxfId="197" priority="172" operator="containsText" text="FAIL">
      <formula>NOT(ISERROR(SEARCH("FAIL",C32)))</formula>
    </cfRule>
  </conditionalFormatting>
  <conditionalFormatting sqref="K15:L15">
    <cfRule type="cellIs" dxfId="196" priority="179" operator="equal">
      <formula>"None"</formula>
    </cfRule>
  </conditionalFormatting>
  <conditionalFormatting sqref="F32">
    <cfRule type="containsText" dxfId="195" priority="168" operator="containsText" text="PASS">
      <formula>NOT(ISERROR(SEARCH("PASS",F32)))</formula>
    </cfRule>
    <cfRule type="containsText" dxfId="194" priority="169" operator="containsText" text="FAIL">
      <formula>NOT(ISERROR(SEARCH("FAIL",F32)))</formula>
    </cfRule>
  </conditionalFormatting>
  <conditionalFormatting sqref="O15">
    <cfRule type="containsText" dxfId="193" priority="177" operator="containsText" text="PASS">
      <formula>NOT(ISERROR(SEARCH("PASS",O15)))</formula>
    </cfRule>
    <cfRule type="containsText" dxfId="192" priority="178" operator="containsText" text="FAIL">
      <formula>NOT(ISERROR(SEARCH("FAIL",O15)))</formula>
    </cfRule>
  </conditionalFormatting>
  <conditionalFormatting sqref="N15:O15">
    <cfRule type="cellIs" dxfId="191" priority="176" operator="equal">
      <formula>"None"</formula>
    </cfRule>
  </conditionalFormatting>
  <conditionalFormatting sqref="R15">
    <cfRule type="containsText" dxfId="190" priority="174" operator="containsText" text="PASS">
      <formula>NOT(ISERROR(SEARCH("PASS",R15)))</formula>
    </cfRule>
    <cfRule type="containsText" dxfId="189" priority="175" operator="containsText" text="FAIL">
      <formula>NOT(ISERROR(SEARCH("FAIL",R15)))</formula>
    </cfRule>
  </conditionalFormatting>
  <conditionalFormatting sqref="Q32:R32">
    <cfRule type="cellIs" dxfId="188" priority="155" operator="equal">
      <formula>"None"</formula>
    </cfRule>
  </conditionalFormatting>
  <conditionalFormatting sqref="B32:C32">
    <cfRule type="cellIs" dxfId="187" priority="170" operator="equal">
      <formula>"None"</formula>
    </cfRule>
  </conditionalFormatting>
  <conditionalFormatting sqref="E32:F32">
    <cfRule type="cellIs" dxfId="186" priority="167" operator="equal">
      <formula>"None"</formula>
    </cfRule>
  </conditionalFormatting>
  <conditionalFormatting sqref="L32">
    <cfRule type="containsText" dxfId="185" priority="162" operator="containsText" text="PASS">
      <formula>NOT(ISERROR(SEARCH("PASS",L32)))</formula>
    </cfRule>
    <cfRule type="containsText" dxfId="184" priority="163" operator="containsText" text="FAIL">
      <formula>NOT(ISERROR(SEARCH("FAIL",L32)))</formula>
    </cfRule>
  </conditionalFormatting>
  <conditionalFormatting sqref="K32:L32">
    <cfRule type="cellIs" dxfId="183" priority="161" operator="equal">
      <formula>"None"</formula>
    </cfRule>
  </conditionalFormatting>
  <conditionalFormatting sqref="O32">
    <cfRule type="containsText" dxfId="182" priority="159" operator="containsText" text="PASS">
      <formula>NOT(ISERROR(SEARCH("PASS",O32)))</formula>
    </cfRule>
    <cfRule type="containsText" dxfId="181" priority="160" operator="containsText" text="FAIL">
      <formula>NOT(ISERROR(SEARCH("FAIL",O32)))</formula>
    </cfRule>
  </conditionalFormatting>
  <conditionalFormatting sqref="N32:O32">
    <cfRule type="cellIs" dxfId="180" priority="158" operator="equal">
      <formula>"None"</formula>
    </cfRule>
  </conditionalFormatting>
  <conditionalFormatting sqref="R32">
    <cfRule type="containsText" dxfId="179" priority="156" operator="containsText" text="PASS">
      <formula>NOT(ISERROR(SEARCH("PASS",R32)))</formula>
    </cfRule>
    <cfRule type="containsText" dxfId="178" priority="157" operator="containsText" text="FAIL">
      <formula>NOT(ISERROR(SEARCH("FAIL",R32)))</formula>
    </cfRule>
  </conditionalFormatting>
  <conditionalFormatting sqref="A16">
    <cfRule type="containsText" dxfId="177" priority="153" operator="containsText" text="PASS">
      <formula>NOT(ISERROR(SEARCH("PASS",A16)))</formula>
    </cfRule>
    <cfRule type="containsText" dxfId="176" priority="154" operator="containsText" text="FAIL">
      <formula>NOT(ISERROR(SEARCH("FAIL",A16)))</formula>
    </cfRule>
  </conditionalFormatting>
  <conditionalFormatting sqref="A16">
    <cfRule type="cellIs" dxfId="175" priority="152" operator="equal">
      <formula>"None"</formula>
    </cfRule>
  </conditionalFormatting>
  <conditionalFormatting sqref="C16">
    <cfRule type="containsText" dxfId="174" priority="150" operator="containsText" text="PASS">
      <formula>NOT(ISERROR(SEARCH("PASS",C16)))</formula>
    </cfRule>
    <cfRule type="containsText" dxfId="173" priority="151" operator="containsText" text="FAIL">
      <formula>NOT(ISERROR(SEARCH("FAIL",C16)))</formula>
    </cfRule>
  </conditionalFormatting>
  <conditionalFormatting sqref="B16:C16">
    <cfRule type="cellIs" dxfId="172" priority="149" operator="equal">
      <formula>"None"</formula>
    </cfRule>
  </conditionalFormatting>
  <conditionalFormatting sqref="F16">
    <cfRule type="containsText" dxfId="171" priority="147" operator="containsText" text="PASS">
      <formula>NOT(ISERROR(SEARCH("PASS",F16)))</formula>
    </cfRule>
    <cfRule type="containsText" dxfId="170" priority="148" operator="containsText" text="FAIL">
      <formula>NOT(ISERROR(SEARCH("FAIL",F16)))</formula>
    </cfRule>
  </conditionalFormatting>
  <conditionalFormatting sqref="E16:F16">
    <cfRule type="cellIs" dxfId="169" priority="146" operator="equal">
      <formula>"None"</formula>
    </cfRule>
  </conditionalFormatting>
  <conditionalFormatting sqref="L16">
    <cfRule type="containsText" dxfId="168" priority="141" operator="containsText" text="PASS">
      <formula>NOT(ISERROR(SEARCH("PASS",L16)))</formula>
    </cfRule>
    <cfRule type="containsText" dxfId="167" priority="142" operator="containsText" text="FAIL">
      <formula>NOT(ISERROR(SEARCH("FAIL",L16)))</formula>
    </cfRule>
  </conditionalFormatting>
  <conditionalFormatting sqref="Q16:R16">
    <cfRule type="cellIs" dxfId="166" priority="134" operator="equal">
      <formula>"None"</formula>
    </cfRule>
  </conditionalFormatting>
  <conditionalFormatting sqref="C33">
    <cfRule type="containsText" dxfId="165" priority="132" operator="containsText" text="PASS">
      <formula>NOT(ISERROR(SEARCH("PASS",C33)))</formula>
    </cfRule>
    <cfRule type="containsText" dxfId="164" priority="133" operator="containsText" text="FAIL">
      <formula>NOT(ISERROR(SEARCH("FAIL",C33)))</formula>
    </cfRule>
  </conditionalFormatting>
  <conditionalFormatting sqref="K16:L16">
    <cfRule type="cellIs" dxfId="163" priority="140" operator="equal">
      <formula>"None"</formula>
    </cfRule>
  </conditionalFormatting>
  <conditionalFormatting sqref="F33">
    <cfRule type="containsText" dxfId="162" priority="129" operator="containsText" text="PASS">
      <formula>NOT(ISERROR(SEARCH("PASS",F33)))</formula>
    </cfRule>
    <cfRule type="containsText" dxfId="161" priority="130" operator="containsText" text="FAIL">
      <formula>NOT(ISERROR(SEARCH("FAIL",F33)))</formula>
    </cfRule>
  </conditionalFormatting>
  <conditionalFormatting sqref="O16">
    <cfRule type="containsText" dxfId="160" priority="138" operator="containsText" text="PASS">
      <formula>NOT(ISERROR(SEARCH("PASS",O16)))</formula>
    </cfRule>
    <cfRule type="containsText" dxfId="159" priority="139" operator="containsText" text="FAIL">
      <formula>NOT(ISERROR(SEARCH("FAIL",O16)))</formula>
    </cfRule>
  </conditionalFormatting>
  <conditionalFormatting sqref="N16:O16">
    <cfRule type="cellIs" dxfId="158" priority="137" operator="equal">
      <formula>"None"</formula>
    </cfRule>
  </conditionalFormatting>
  <conditionalFormatting sqref="R16">
    <cfRule type="containsText" dxfId="157" priority="135" operator="containsText" text="PASS">
      <formula>NOT(ISERROR(SEARCH("PASS",R16)))</formula>
    </cfRule>
    <cfRule type="containsText" dxfId="156" priority="136" operator="containsText" text="FAIL">
      <formula>NOT(ISERROR(SEARCH("FAIL",R16)))</formula>
    </cfRule>
  </conditionalFormatting>
  <conditionalFormatting sqref="Q33:R33">
    <cfRule type="cellIs" dxfId="155" priority="116" operator="equal">
      <formula>"None"</formula>
    </cfRule>
  </conditionalFormatting>
  <conditionalFormatting sqref="B33:C33">
    <cfRule type="cellIs" dxfId="154" priority="131" operator="equal">
      <formula>"None"</formula>
    </cfRule>
  </conditionalFormatting>
  <conditionalFormatting sqref="E33:F33">
    <cfRule type="cellIs" dxfId="153" priority="128" operator="equal">
      <formula>"None"</formula>
    </cfRule>
  </conditionalFormatting>
  <conditionalFormatting sqref="L33">
    <cfRule type="containsText" dxfId="152" priority="123" operator="containsText" text="PASS">
      <formula>NOT(ISERROR(SEARCH("PASS",L33)))</formula>
    </cfRule>
    <cfRule type="containsText" dxfId="151" priority="124" operator="containsText" text="FAIL">
      <formula>NOT(ISERROR(SEARCH("FAIL",L33)))</formula>
    </cfRule>
  </conditionalFormatting>
  <conditionalFormatting sqref="K33:L33">
    <cfRule type="cellIs" dxfId="150" priority="122" operator="equal">
      <formula>"None"</formula>
    </cfRule>
  </conditionalFormatting>
  <conditionalFormatting sqref="O33">
    <cfRule type="containsText" dxfId="149" priority="120" operator="containsText" text="PASS">
      <formula>NOT(ISERROR(SEARCH("PASS",O33)))</formula>
    </cfRule>
    <cfRule type="containsText" dxfId="148" priority="121" operator="containsText" text="FAIL">
      <formula>NOT(ISERROR(SEARCH("FAIL",O33)))</formula>
    </cfRule>
  </conditionalFormatting>
  <conditionalFormatting sqref="N33:O33">
    <cfRule type="cellIs" dxfId="147" priority="119" operator="equal">
      <formula>"None"</formula>
    </cfRule>
  </conditionalFormatting>
  <conditionalFormatting sqref="R33">
    <cfRule type="containsText" dxfId="146" priority="117" operator="containsText" text="PASS">
      <formula>NOT(ISERROR(SEARCH("PASS",R33)))</formula>
    </cfRule>
    <cfRule type="containsText" dxfId="145" priority="118" operator="containsText" text="FAIL">
      <formula>NOT(ISERROR(SEARCH("FAIL",R33)))</formula>
    </cfRule>
  </conditionalFormatting>
  <conditionalFormatting sqref="A17">
    <cfRule type="containsText" dxfId="144" priority="114" operator="containsText" text="PASS">
      <formula>NOT(ISERROR(SEARCH("PASS",A17)))</formula>
    </cfRule>
    <cfRule type="containsText" dxfId="143" priority="115" operator="containsText" text="FAIL">
      <formula>NOT(ISERROR(SEARCH("FAIL",A17)))</formula>
    </cfRule>
  </conditionalFormatting>
  <conditionalFormatting sqref="A17">
    <cfRule type="cellIs" dxfId="142" priority="113" operator="equal">
      <formula>"None"</formula>
    </cfRule>
  </conditionalFormatting>
  <conditionalFormatting sqref="C17">
    <cfRule type="containsText" dxfId="141" priority="111" operator="containsText" text="PASS">
      <formula>NOT(ISERROR(SEARCH("PASS",C17)))</formula>
    </cfRule>
    <cfRule type="containsText" dxfId="140" priority="112" operator="containsText" text="FAIL">
      <formula>NOT(ISERROR(SEARCH("FAIL",C17)))</formula>
    </cfRule>
  </conditionalFormatting>
  <conditionalFormatting sqref="B17:C17">
    <cfRule type="cellIs" dxfId="139" priority="110" operator="equal">
      <formula>"None"</formula>
    </cfRule>
  </conditionalFormatting>
  <conditionalFormatting sqref="F17">
    <cfRule type="containsText" dxfId="138" priority="108" operator="containsText" text="PASS">
      <formula>NOT(ISERROR(SEARCH("PASS",F17)))</formula>
    </cfRule>
    <cfRule type="containsText" dxfId="137" priority="109" operator="containsText" text="FAIL">
      <formula>NOT(ISERROR(SEARCH("FAIL",F17)))</formula>
    </cfRule>
  </conditionalFormatting>
  <conditionalFormatting sqref="E17:F17">
    <cfRule type="cellIs" dxfId="136" priority="107" operator="equal">
      <formula>"None"</formula>
    </cfRule>
  </conditionalFormatting>
  <conditionalFormatting sqref="L17">
    <cfRule type="containsText" dxfId="135" priority="102" operator="containsText" text="PASS">
      <formula>NOT(ISERROR(SEARCH("PASS",L17)))</formula>
    </cfRule>
    <cfRule type="containsText" dxfId="134" priority="103" operator="containsText" text="FAIL">
      <formula>NOT(ISERROR(SEARCH("FAIL",L17)))</formula>
    </cfRule>
  </conditionalFormatting>
  <conditionalFormatting sqref="Q17:R17">
    <cfRule type="cellIs" dxfId="133" priority="95" operator="equal">
      <formula>"None"</formula>
    </cfRule>
  </conditionalFormatting>
  <conditionalFormatting sqref="C34">
    <cfRule type="containsText" dxfId="132" priority="93" operator="containsText" text="PASS">
      <formula>NOT(ISERROR(SEARCH("PASS",C34)))</formula>
    </cfRule>
    <cfRule type="containsText" dxfId="131" priority="94" operator="containsText" text="FAIL">
      <formula>NOT(ISERROR(SEARCH("FAIL",C34)))</formula>
    </cfRule>
  </conditionalFormatting>
  <conditionalFormatting sqref="K17:L17">
    <cfRule type="cellIs" dxfId="130" priority="101" operator="equal">
      <formula>"None"</formula>
    </cfRule>
  </conditionalFormatting>
  <conditionalFormatting sqref="F34">
    <cfRule type="containsText" dxfId="129" priority="90" operator="containsText" text="PASS">
      <formula>NOT(ISERROR(SEARCH("PASS",F34)))</formula>
    </cfRule>
    <cfRule type="containsText" dxfId="128" priority="91" operator="containsText" text="FAIL">
      <formula>NOT(ISERROR(SEARCH("FAIL",F34)))</formula>
    </cfRule>
  </conditionalFormatting>
  <conditionalFormatting sqref="O17">
    <cfRule type="containsText" dxfId="127" priority="99" operator="containsText" text="PASS">
      <formula>NOT(ISERROR(SEARCH("PASS",O17)))</formula>
    </cfRule>
    <cfRule type="containsText" dxfId="126" priority="100" operator="containsText" text="FAIL">
      <formula>NOT(ISERROR(SEARCH("FAIL",O17)))</formula>
    </cfRule>
  </conditionalFormatting>
  <conditionalFormatting sqref="N17:O17">
    <cfRule type="cellIs" dxfId="125" priority="98" operator="equal">
      <formula>"None"</formula>
    </cfRule>
  </conditionalFormatting>
  <conditionalFormatting sqref="R17">
    <cfRule type="containsText" dxfId="124" priority="96" operator="containsText" text="PASS">
      <formula>NOT(ISERROR(SEARCH("PASS",R17)))</formula>
    </cfRule>
    <cfRule type="containsText" dxfId="123" priority="97" operator="containsText" text="FAIL">
      <formula>NOT(ISERROR(SEARCH("FAIL",R17)))</formula>
    </cfRule>
  </conditionalFormatting>
  <conditionalFormatting sqref="Q34:R34">
    <cfRule type="cellIs" dxfId="122" priority="77" operator="equal">
      <formula>"None"</formula>
    </cfRule>
  </conditionalFormatting>
  <conditionalFormatting sqref="B34:C34">
    <cfRule type="cellIs" dxfId="121" priority="92" operator="equal">
      <formula>"None"</formula>
    </cfRule>
  </conditionalFormatting>
  <conditionalFormatting sqref="E34:F34">
    <cfRule type="cellIs" dxfId="120" priority="89" operator="equal">
      <formula>"None"</formula>
    </cfRule>
  </conditionalFormatting>
  <conditionalFormatting sqref="L34">
    <cfRule type="containsText" dxfId="119" priority="84" operator="containsText" text="PASS">
      <formula>NOT(ISERROR(SEARCH("PASS",L34)))</formula>
    </cfRule>
    <cfRule type="containsText" dxfId="118" priority="85" operator="containsText" text="FAIL">
      <formula>NOT(ISERROR(SEARCH("FAIL",L34)))</formula>
    </cfRule>
  </conditionalFormatting>
  <conditionalFormatting sqref="K34:L34">
    <cfRule type="cellIs" dxfId="117" priority="83" operator="equal">
      <formula>"None"</formula>
    </cfRule>
  </conditionalFormatting>
  <conditionalFormatting sqref="O34">
    <cfRule type="containsText" dxfId="116" priority="81" operator="containsText" text="PASS">
      <formula>NOT(ISERROR(SEARCH("PASS",O34)))</formula>
    </cfRule>
    <cfRule type="containsText" dxfId="115" priority="82" operator="containsText" text="FAIL">
      <formula>NOT(ISERROR(SEARCH("FAIL",O34)))</formula>
    </cfRule>
  </conditionalFormatting>
  <conditionalFormatting sqref="N34:O34">
    <cfRule type="cellIs" dxfId="114" priority="80" operator="equal">
      <formula>"None"</formula>
    </cfRule>
  </conditionalFormatting>
  <conditionalFormatting sqref="R34">
    <cfRule type="containsText" dxfId="113" priority="78" operator="containsText" text="PASS">
      <formula>NOT(ISERROR(SEARCH("PASS",R34)))</formula>
    </cfRule>
    <cfRule type="containsText" dxfId="112" priority="79" operator="containsText" text="FAIL">
      <formula>NOT(ISERROR(SEARCH("FAIL",R34)))</formula>
    </cfRule>
  </conditionalFormatting>
  <conditionalFormatting sqref="C22">
    <cfRule type="cellIs" dxfId="111" priority="1330" stopIfTrue="1" operator="equal">
      <formula>"FAIL"</formula>
    </cfRule>
  </conditionalFormatting>
  <conditionalFormatting sqref="C22">
    <cfRule type="cellIs" dxfId="110" priority="1331" stopIfTrue="1" operator="equal">
      <formula>"PASS"</formula>
    </cfRule>
  </conditionalFormatting>
  <conditionalFormatting sqref="C22">
    <cfRule type="cellIs" dxfId="109" priority="1332" stopIfTrue="1" operator="equal">
      <formula>"None"</formula>
    </cfRule>
  </conditionalFormatting>
  <conditionalFormatting sqref="F22">
    <cfRule type="cellIs" dxfId="108" priority="1333" stopIfTrue="1" operator="equal">
      <formula>"FAIL"</formula>
    </cfRule>
  </conditionalFormatting>
  <conditionalFormatting sqref="F22">
    <cfRule type="cellIs" dxfId="107" priority="1334" stopIfTrue="1" operator="equal">
      <formula>"PASS"</formula>
    </cfRule>
  </conditionalFormatting>
  <conditionalFormatting sqref="F22">
    <cfRule type="cellIs" dxfId="106" priority="1335" stopIfTrue="1" operator="equal">
      <formula>"None"</formula>
    </cfRule>
  </conditionalFormatting>
  <conditionalFormatting sqref="I22">
    <cfRule type="cellIs" dxfId="105" priority="1336" stopIfTrue="1" operator="equal">
      <formula>"FAIL"</formula>
    </cfRule>
  </conditionalFormatting>
  <conditionalFormatting sqref="I22">
    <cfRule type="cellIs" dxfId="104" priority="1337" stopIfTrue="1" operator="equal">
      <formula>"PASS"</formula>
    </cfRule>
  </conditionalFormatting>
  <conditionalFormatting sqref="I22">
    <cfRule type="cellIs" dxfId="103" priority="1338" stopIfTrue="1" operator="equal">
      <formula>"None"</formula>
    </cfRule>
  </conditionalFormatting>
  <conditionalFormatting sqref="L22">
    <cfRule type="cellIs" dxfId="102" priority="1339" stopIfTrue="1" operator="equal">
      <formula>"FAIL"</formula>
    </cfRule>
  </conditionalFormatting>
  <conditionalFormatting sqref="L22">
    <cfRule type="cellIs" dxfId="101" priority="1340" stopIfTrue="1" operator="equal">
      <formula>"PASS"</formula>
    </cfRule>
  </conditionalFormatting>
  <conditionalFormatting sqref="L22">
    <cfRule type="cellIs" dxfId="100" priority="1341" stopIfTrue="1" operator="equal">
      <formula>"None"</formula>
    </cfRule>
  </conditionalFormatting>
  <conditionalFormatting sqref="O22">
    <cfRule type="cellIs" dxfId="99" priority="1342" stopIfTrue="1" operator="equal">
      <formula>"FAIL"</formula>
    </cfRule>
  </conditionalFormatting>
  <conditionalFormatting sqref="O22">
    <cfRule type="cellIs" dxfId="98" priority="1343" stopIfTrue="1" operator="equal">
      <formula>"PASS"</formula>
    </cfRule>
  </conditionalFormatting>
  <conditionalFormatting sqref="O22">
    <cfRule type="cellIs" dxfId="97" priority="1344" stopIfTrue="1" operator="equal">
      <formula>"None"</formula>
    </cfRule>
  </conditionalFormatting>
  <conditionalFormatting sqref="R22">
    <cfRule type="cellIs" dxfId="96" priority="1345" stopIfTrue="1" operator="equal">
      <formula>"FAIL"</formula>
    </cfRule>
  </conditionalFormatting>
  <conditionalFormatting sqref="R22">
    <cfRule type="cellIs" dxfId="95" priority="1346" stopIfTrue="1" operator="equal">
      <formula>"PASS"</formula>
    </cfRule>
  </conditionalFormatting>
  <conditionalFormatting sqref="R22">
    <cfRule type="cellIs" dxfId="94" priority="1347" stopIfTrue="1" operator="equal">
      <formula>"None"</formula>
    </cfRule>
  </conditionalFormatting>
  <conditionalFormatting sqref="C39">
    <cfRule type="cellIs" dxfId="93" priority="1348" stopIfTrue="1" operator="equal">
      <formula>"FAIL"</formula>
    </cfRule>
  </conditionalFormatting>
  <conditionalFormatting sqref="C39">
    <cfRule type="cellIs" dxfId="92" priority="1349" stopIfTrue="1" operator="equal">
      <formula>"PASS"</formula>
    </cfRule>
  </conditionalFormatting>
  <conditionalFormatting sqref="C39">
    <cfRule type="cellIs" dxfId="91" priority="1350" stopIfTrue="1" operator="equal">
      <formula>"None"</formula>
    </cfRule>
  </conditionalFormatting>
  <conditionalFormatting sqref="F39">
    <cfRule type="cellIs" dxfId="90" priority="1351" stopIfTrue="1" operator="equal">
      <formula>"FAIL"</formula>
    </cfRule>
  </conditionalFormatting>
  <conditionalFormatting sqref="F39">
    <cfRule type="cellIs" dxfId="89" priority="1352" stopIfTrue="1" operator="equal">
      <formula>"PASS"</formula>
    </cfRule>
  </conditionalFormatting>
  <conditionalFormatting sqref="F39">
    <cfRule type="cellIs" dxfId="88" priority="1353" stopIfTrue="1" operator="equal">
      <formula>"None"</formula>
    </cfRule>
  </conditionalFormatting>
  <conditionalFormatting sqref="I39">
    <cfRule type="cellIs" dxfId="87" priority="1354" stopIfTrue="1" operator="equal">
      <formula>"FAIL"</formula>
    </cfRule>
  </conditionalFormatting>
  <conditionalFormatting sqref="I39">
    <cfRule type="cellIs" dxfId="86" priority="1355" stopIfTrue="1" operator="equal">
      <formula>"PASS"</formula>
    </cfRule>
  </conditionalFormatting>
  <conditionalFormatting sqref="I39">
    <cfRule type="cellIs" dxfId="85" priority="1356" stopIfTrue="1" operator="equal">
      <formula>"None"</formula>
    </cfRule>
  </conditionalFormatting>
  <conditionalFormatting sqref="L39">
    <cfRule type="cellIs" dxfId="84" priority="1357" stopIfTrue="1" operator="equal">
      <formula>"FAIL"</formula>
    </cfRule>
  </conditionalFormatting>
  <conditionalFormatting sqref="L39">
    <cfRule type="cellIs" dxfId="83" priority="1358" stopIfTrue="1" operator="equal">
      <formula>"PASS"</formula>
    </cfRule>
  </conditionalFormatting>
  <conditionalFormatting sqref="L39">
    <cfRule type="cellIs" dxfId="82" priority="1359" stopIfTrue="1" operator="equal">
      <formula>"None"</formula>
    </cfRule>
  </conditionalFormatting>
  <conditionalFormatting sqref="O39">
    <cfRule type="cellIs" dxfId="81" priority="1360" stopIfTrue="1" operator="equal">
      <formula>"FAIL"</formula>
    </cfRule>
  </conditionalFormatting>
  <conditionalFormatting sqref="O39">
    <cfRule type="cellIs" dxfId="80" priority="1361" stopIfTrue="1" operator="equal">
      <formula>"PASS"</formula>
    </cfRule>
  </conditionalFormatting>
  <conditionalFormatting sqref="O39">
    <cfRule type="cellIs" dxfId="79" priority="1362" stopIfTrue="1" operator="equal">
      <formula>"None"</formula>
    </cfRule>
  </conditionalFormatting>
  <conditionalFormatting sqref="R39">
    <cfRule type="cellIs" dxfId="78" priority="1363" stopIfTrue="1" operator="equal">
      <formula>"FAIL"</formula>
    </cfRule>
  </conditionalFormatting>
  <conditionalFormatting sqref="R39">
    <cfRule type="cellIs" dxfId="77" priority="1364" stopIfTrue="1" operator="equal">
      <formula>"PASS"</formula>
    </cfRule>
  </conditionalFormatting>
  <conditionalFormatting sqref="R39">
    <cfRule type="cellIs" dxfId="76" priority="1365" stopIfTrue="1" operator="equal">
      <formula>"None"</formula>
    </cfRule>
  </conditionalFormatting>
  <conditionalFormatting sqref="A25:A27">
    <cfRule type="containsText" dxfId="75" priority="75" operator="containsText" text="PASS">
      <formula>NOT(ISERROR(SEARCH("PASS",A25)))</formula>
    </cfRule>
    <cfRule type="containsText" dxfId="74" priority="76" operator="containsText" text="FAIL">
      <formula>NOT(ISERROR(SEARCH("FAIL",A25)))</formula>
    </cfRule>
  </conditionalFormatting>
  <conditionalFormatting sqref="A25:A27">
    <cfRule type="cellIs" dxfId="73" priority="74" operator="equal">
      <formula>"None"</formula>
    </cfRule>
  </conditionalFormatting>
  <conditionalFormatting sqref="A28">
    <cfRule type="containsText" dxfId="72" priority="72" operator="containsText" text="PASS">
      <formula>NOT(ISERROR(SEARCH("PASS",A28)))</formula>
    </cfRule>
    <cfRule type="containsText" dxfId="71" priority="73" operator="containsText" text="FAIL">
      <formula>NOT(ISERROR(SEARCH("FAIL",A28)))</formula>
    </cfRule>
  </conditionalFormatting>
  <conditionalFormatting sqref="A28">
    <cfRule type="cellIs" dxfId="70" priority="71" operator="equal">
      <formula>"None"</formula>
    </cfRule>
  </conditionalFormatting>
  <conditionalFormatting sqref="A29">
    <cfRule type="containsText" dxfId="69" priority="69" operator="containsText" text="PASS">
      <formula>NOT(ISERROR(SEARCH("PASS",A29)))</formula>
    </cfRule>
    <cfRule type="containsText" dxfId="68" priority="70" operator="containsText" text="FAIL">
      <formula>NOT(ISERROR(SEARCH("FAIL",A29)))</formula>
    </cfRule>
  </conditionalFormatting>
  <conditionalFormatting sqref="A29">
    <cfRule type="cellIs" dxfId="67" priority="68" operator="equal">
      <formula>"None"</formula>
    </cfRule>
  </conditionalFormatting>
  <conditionalFormatting sqref="A30">
    <cfRule type="containsText" dxfId="66" priority="66" operator="containsText" text="PASS">
      <formula>NOT(ISERROR(SEARCH("PASS",A30)))</formula>
    </cfRule>
    <cfRule type="containsText" dxfId="65" priority="67" operator="containsText" text="FAIL">
      <formula>NOT(ISERROR(SEARCH("FAIL",A30)))</formula>
    </cfRule>
  </conditionalFormatting>
  <conditionalFormatting sqref="A30">
    <cfRule type="cellIs" dxfId="64" priority="65" operator="equal">
      <formula>"None"</formula>
    </cfRule>
  </conditionalFormatting>
  <conditionalFormatting sqref="A31">
    <cfRule type="containsText" dxfId="63" priority="63" operator="containsText" text="PASS">
      <formula>NOT(ISERROR(SEARCH("PASS",A31)))</formula>
    </cfRule>
    <cfRule type="containsText" dxfId="62" priority="64" operator="containsText" text="FAIL">
      <formula>NOT(ISERROR(SEARCH("FAIL",A31)))</formula>
    </cfRule>
  </conditionalFormatting>
  <conditionalFormatting sqref="A31">
    <cfRule type="cellIs" dxfId="61" priority="62" operator="equal">
      <formula>"None"</formula>
    </cfRule>
  </conditionalFormatting>
  <conditionalFormatting sqref="A32">
    <cfRule type="containsText" dxfId="60" priority="60" operator="containsText" text="PASS">
      <formula>NOT(ISERROR(SEARCH("PASS",A32)))</formula>
    </cfRule>
    <cfRule type="containsText" dxfId="59" priority="61" operator="containsText" text="FAIL">
      <formula>NOT(ISERROR(SEARCH("FAIL",A32)))</formula>
    </cfRule>
  </conditionalFormatting>
  <conditionalFormatting sqref="A32">
    <cfRule type="cellIs" dxfId="58" priority="59" operator="equal">
      <formula>"None"</formula>
    </cfRule>
  </conditionalFormatting>
  <conditionalFormatting sqref="A33">
    <cfRule type="containsText" dxfId="57" priority="57" operator="containsText" text="PASS">
      <formula>NOT(ISERROR(SEARCH("PASS",A33)))</formula>
    </cfRule>
    <cfRule type="containsText" dxfId="56" priority="58" operator="containsText" text="FAIL">
      <formula>NOT(ISERROR(SEARCH("FAIL",A33)))</formula>
    </cfRule>
  </conditionalFormatting>
  <conditionalFormatting sqref="A33">
    <cfRule type="cellIs" dxfId="55" priority="56" operator="equal">
      <formula>"None"</formula>
    </cfRule>
  </conditionalFormatting>
  <conditionalFormatting sqref="A34">
    <cfRule type="containsText" dxfId="54" priority="54" operator="containsText" text="PASS">
      <formula>NOT(ISERROR(SEARCH("PASS",A34)))</formula>
    </cfRule>
    <cfRule type="containsText" dxfId="53" priority="55" operator="containsText" text="FAIL">
      <formula>NOT(ISERROR(SEARCH("FAIL",A34)))</formula>
    </cfRule>
  </conditionalFormatting>
  <conditionalFormatting sqref="A34">
    <cfRule type="cellIs" dxfId="52" priority="53" operator="equal">
      <formula>"None"</formula>
    </cfRule>
  </conditionalFormatting>
  <conditionalFormatting sqref="I10">
    <cfRule type="containsText" dxfId="51" priority="51" operator="containsText" text="PASS">
      <formula>NOT(ISERROR(SEARCH("PASS",I10)))</formula>
    </cfRule>
    <cfRule type="containsText" dxfId="50" priority="52" operator="containsText" text="FAIL">
      <formula>NOT(ISERROR(SEARCH("FAIL",I10)))</formula>
    </cfRule>
  </conditionalFormatting>
  <conditionalFormatting sqref="I9">
    <cfRule type="containsText" dxfId="49" priority="49" operator="containsText" text="PASS">
      <formula>NOT(ISERROR(SEARCH("PASS",I9)))</formula>
    </cfRule>
    <cfRule type="containsText" dxfId="48" priority="50" operator="containsText" text="FAIL">
      <formula>NOT(ISERROR(SEARCH("FAIL",I9)))</formula>
    </cfRule>
  </conditionalFormatting>
  <conditionalFormatting sqref="I9:I10">
    <cfRule type="cellIs" dxfId="47" priority="48" operator="equal">
      <formula>"None"</formula>
    </cfRule>
  </conditionalFormatting>
  <conditionalFormatting sqref="I11">
    <cfRule type="containsText" dxfId="46" priority="46" operator="containsText" text="PASS">
      <formula>NOT(ISERROR(SEARCH("PASS",I11)))</formula>
    </cfRule>
    <cfRule type="containsText" dxfId="45" priority="47" operator="containsText" text="FAIL">
      <formula>NOT(ISERROR(SEARCH("FAIL",I11)))</formula>
    </cfRule>
  </conditionalFormatting>
  <conditionalFormatting sqref="I11">
    <cfRule type="cellIs" dxfId="44" priority="45" operator="equal">
      <formula>"None"</formula>
    </cfRule>
  </conditionalFormatting>
  <conditionalFormatting sqref="I12">
    <cfRule type="containsText" dxfId="43" priority="43" operator="containsText" text="PASS">
      <formula>NOT(ISERROR(SEARCH("PASS",I12)))</formula>
    </cfRule>
    <cfRule type="containsText" dxfId="42" priority="44" operator="containsText" text="FAIL">
      <formula>NOT(ISERROR(SEARCH("FAIL",I12)))</formula>
    </cfRule>
  </conditionalFormatting>
  <conditionalFormatting sqref="I12">
    <cfRule type="cellIs" dxfId="41" priority="42" operator="equal">
      <formula>"None"</formula>
    </cfRule>
  </conditionalFormatting>
  <conditionalFormatting sqref="I13">
    <cfRule type="containsText" dxfId="40" priority="40" operator="containsText" text="PASS">
      <formula>NOT(ISERROR(SEARCH("PASS",I13)))</formula>
    </cfRule>
    <cfRule type="containsText" dxfId="39" priority="41" operator="containsText" text="FAIL">
      <formula>NOT(ISERROR(SEARCH("FAIL",I13)))</formula>
    </cfRule>
  </conditionalFormatting>
  <conditionalFormatting sqref="I13">
    <cfRule type="cellIs" dxfId="38" priority="39" operator="equal">
      <formula>"None"</formula>
    </cfRule>
  </conditionalFormatting>
  <conditionalFormatting sqref="I14">
    <cfRule type="containsText" dxfId="37" priority="37" operator="containsText" text="PASS">
      <formula>NOT(ISERROR(SEARCH("PASS",I14)))</formula>
    </cfRule>
    <cfRule type="containsText" dxfId="36" priority="38" operator="containsText" text="FAIL">
      <formula>NOT(ISERROR(SEARCH("FAIL",I14)))</formula>
    </cfRule>
  </conditionalFormatting>
  <conditionalFormatting sqref="I14">
    <cfRule type="cellIs" dxfId="35" priority="36" operator="equal">
      <formula>"None"</formula>
    </cfRule>
  </conditionalFormatting>
  <conditionalFormatting sqref="I15">
    <cfRule type="containsText" dxfId="34" priority="34" operator="containsText" text="PASS">
      <formula>NOT(ISERROR(SEARCH("PASS",I15)))</formula>
    </cfRule>
    <cfRule type="containsText" dxfId="33" priority="35" operator="containsText" text="FAIL">
      <formula>NOT(ISERROR(SEARCH("FAIL",I15)))</formula>
    </cfRule>
  </conditionalFormatting>
  <conditionalFormatting sqref="I15">
    <cfRule type="cellIs" dxfId="32" priority="33" operator="equal">
      <formula>"None"</formula>
    </cfRule>
  </conditionalFormatting>
  <conditionalFormatting sqref="I16">
    <cfRule type="containsText" dxfId="31" priority="31" operator="containsText" text="PASS">
      <formula>NOT(ISERROR(SEARCH("PASS",I16)))</formula>
    </cfRule>
    <cfRule type="containsText" dxfId="30" priority="32" operator="containsText" text="FAIL">
      <formula>NOT(ISERROR(SEARCH("FAIL",I16)))</formula>
    </cfRule>
  </conditionalFormatting>
  <conditionalFormatting sqref="I16">
    <cfRule type="cellIs" dxfId="29" priority="30" operator="equal">
      <formula>"None"</formula>
    </cfRule>
  </conditionalFormatting>
  <conditionalFormatting sqref="I17">
    <cfRule type="containsText" dxfId="28" priority="28" operator="containsText" text="PASS">
      <formula>NOT(ISERROR(SEARCH("PASS",I17)))</formula>
    </cfRule>
    <cfRule type="containsText" dxfId="27" priority="29" operator="containsText" text="FAIL">
      <formula>NOT(ISERROR(SEARCH("FAIL",I17)))</formula>
    </cfRule>
  </conditionalFormatting>
  <conditionalFormatting sqref="I17">
    <cfRule type="cellIs" dxfId="26" priority="27" operator="equal">
      <formula>"None"</formula>
    </cfRule>
  </conditionalFormatting>
  <conditionalFormatting sqref="I27">
    <cfRule type="containsText" dxfId="25" priority="25" operator="containsText" text="PASS">
      <formula>NOT(ISERROR(SEARCH("PASS",I27)))</formula>
    </cfRule>
    <cfRule type="containsText" dxfId="24" priority="26" operator="containsText" text="FAIL">
      <formula>NOT(ISERROR(SEARCH("FAIL",I27)))</formula>
    </cfRule>
  </conditionalFormatting>
  <conditionalFormatting sqref="I26">
    <cfRule type="containsText" dxfId="23" priority="23" operator="containsText" text="PASS">
      <formula>NOT(ISERROR(SEARCH("PASS",I26)))</formula>
    </cfRule>
    <cfRule type="containsText" dxfId="22" priority="24" operator="containsText" text="FAIL">
      <formula>NOT(ISERROR(SEARCH("FAIL",I26)))</formula>
    </cfRule>
  </conditionalFormatting>
  <conditionalFormatting sqref="I26:I27">
    <cfRule type="cellIs" dxfId="21" priority="22" operator="equal">
      <formula>"None"</formula>
    </cfRule>
  </conditionalFormatting>
  <conditionalFormatting sqref="I28">
    <cfRule type="containsText" dxfId="20" priority="20" operator="containsText" text="PASS">
      <formula>NOT(ISERROR(SEARCH("PASS",I28)))</formula>
    </cfRule>
    <cfRule type="containsText" dxfId="19" priority="21" operator="containsText" text="FAIL">
      <formula>NOT(ISERROR(SEARCH("FAIL",I28)))</formula>
    </cfRule>
  </conditionalFormatting>
  <conditionalFormatting sqref="I28">
    <cfRule type="cellIs" dxfId="18" priority="19" operator="equal">
      <formula>"None"</formula>
    </cfRule>
  </conditionalFormatting>
  <conditionalFormatting sqref="I29">
    <cfRule type="containsText" dxfId="17" priority="17" operator="containsText" text="PASS">
      <formula>NOT(ISERROR(SEARCH("PASS",I29)))</formula>
    </cfRule>
    <cfRule type="containsText" dxfId="16" priority="18" operator="containsText" text="FAIL">
      <formula>NOT(ISERROR(SEARCH("FAIL",I29)))</formula>
    </cfRule>
  </conditionalFormatting>
  <conditionalFormatting sqref="I29">
    <cfRule type="cellIs" dxfId="15" priority="16" operator="equal">
      <formula>"None"</formula>
    </cfRule>
  </conditionalFormatting>
  <conditionalFormatting sqref="I30">
    <cfRule type="containsText" dxfId="14" priority="14" operator="containsText" text="PASS">
      <formula>NOT(ISERROR(SEARCH("PASS",I30)))</formula>
    </cfRule>
    <cfRule type="containsText" dxfId="13" priority="15" operator="containsText" text="FAIL">
      <formula>NOT(ISERROR(SEARCH("FAIL",I30)))</formula>
    </cfRule>
  </conditionalFormatting>
  <conditionalFormatting sqref="I30">
    <cfRule type="cellIs" dxfId="12" priority="13" operator="equal">
      <formula>"None"</formula>
    </cfRule>
  </conditionalFormatting>
  <conditionalFormatting sqref="I31">
    <cfRule type="containsText" dxfId="11" priority="11" operator="containsText" text="PASS">
      <formula>NOT(ISERROR(SEARCH("PASS",I31)))</formula>
    </cfRule>
    <cfRule type="containsText" dxfId="10" priority="12" operator="containsText" text="FAIL">
      <formula>NOT(ISERROR(SEARCH("FAIL",I31)))</formula>
    </cfRule>
  </conditionalFormatting>
  <conditionalFormatting sqref="I31">
    <cfRule type="cellIs" dxfId="9" priority="10" operator="equal">
      <formula>"None"</formula>
    </cfRule>
  </conditionalFormatting>
  <conditionalFormatting sqref="I32">
    <cfRule type="containsText" dxfId="8" priority="8" operator="containsText" text="PASS">
      <formula>NOT(ISERROR(SEARCH("PASS",I32)))</formula>
    </cfRule>
    <cfRule type="containsText" dxfId="7" priority="9" operator="containsText" text="FAIL">
      <formula>NOT(ISERROR(SEARCH("FAIL",I32)))</formula>
    </cfRule>
  </conditionalFormatting>
  <conditionalFormatting sqref="I32">
    <cfRule type="cellIs" dxfId="6" priority="7" operator="equal">
      <formula>"None"</formula>
    </cfRule>
  </conditionalFormatting>
  <conditionalFormatting sqref="I33">
    <cfRule type="containsText" dxfId="5" priority="5" operator="containsText" text="PASS">
      <formula>NOT(ISERROR(SEARCH("PASS",I33)))</formula>
    </cfRule>
    <cfRule type="containsText" dxfId="4" priority="6" operator="containsText" text="FAIL">
      <formula>NOT(ISERROR(SEARCH("FAIL",I33)))</formula>
    </cfRule>
  </conditionalFormatting>
  <conditionalFormatting sqref="I33">
    <cfRule type="cellIs" dxfId="3" priority="4" operator="equal">
      <formula>"None"</formula>
    </cfRule>
  </conditionalFormatting>
  <conditionalFormatting sqref="I34">
    <cfRule type="containsText" dxfId="2" priority="2" operator="containsText" text="PASS">
      <formula>NOT(ISERROR(SEARCH("PASS",I34)))</formula>
    </cfRule>
    <cfRule type="containsText" dxfId="1" priority="3" operator="containsText" text="FAIL">
      <formula>NOT(ISERROR(SEARCH("FAIL",I34)))</formula>
    </cfRule>
  </conditionalFormatting>
  <conditionalFormatting sqref="I34">
    <cfRule type="cellIs" dxfId="0" priority="1" operator="equal">
      <formula>"None"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K55"/>
  <sheetViews>
    <sheetView tabSelected="1" topLeftCell="A28" zoomScale="70" zoomScaleNormal="70" workbookViewId="0">
      <selection activeCell="N59" sqref="N59"/>
    </sheetView>
  </sheetViews>
  <sheetFormatPr defaultRowHeight="15"/>
  <cols>
    <col min="1" max="1" width="8.42578125" bestFit="1" customWidth="1"/>
    <col min="2" max="2" width="14.42578125" bestFit="1" customWidth="1"/>
    <col min="3" max="3" width="18.7109375" bestFit="1" customWidth="1"/>
    <col min="4" max="4" width="10.5703125" bestFit="1" customWidth="1"/>
    <col min="5" max="5" width="18.7109375" bestFit="1" customWidth="1"/>
    <col min="6" max="6" width="10.5703125" bestFit="1" customWidth="1"/>
    <col min="7" max="7" width="9.42578125" bestFit="1" customWidth="1"/>
    <col min="8" max="8" width="8.42578125" bestFit="1" customWidth="1"/>
    <col min="9" max="9" width="14.42578125" bestFit="1" customWidth="1"/>
    <col min="10" max="10" width="18.7109375" bestFit="1" customWidth="1"/>
    <col min="11" max="11" width="10.5703125" bestFit="1" customWidth="1"/>
    <col min="12" max="12" width="18.7109375" bestFit="1" customWidth="1"/>
    <col min="13" max="13" width="10.5703125" bestFit="1" customWidth="1"/>
    <col min="14" max="14" width="13.42578125" bestFit="1" customWidth="1"/>
    <col min="15" max="15" width="17.28515625" bestFit="1" customWidth="1"/>
    <col min="16" max="16" width="10" bestFit="1" customWidth="1"/>
    <col min="17" max="17" width="17.28515625" bestFit="1" customWidth="1"/>
    <col min="18" max="18" width="10" bestFit="1" customWidth="1"/>
    <col min="19" max="19" width="9.42578125" bestFit="1" customWidth="1"/>
    <col min="20" max="20" width="13.42578125" bestFit="1" customWidth="1"/>
    <col min="21" max="21" width="17.28515625" bestFit="1" customWidth="1"/>
    <col min="22" max="22" width="10" bestFit="1" customWidth="1"/>
    <col min="23" max="23" width="17.28515625" bestFit="1" customWidth="1"/>
    <col min="24" max="24" width="10" bestFit="1" customWidth="1"/>
    <col min="25" max="25" width="9.42578125" bestFit="1" customWidth="1"/>
    <col min="26" max="26" width="13.42578125" bestFit="1" customWidth="1"/>
    <col min="27" max="27" width="17.28515625" bestFit="1" customWidth="1"/>
    <col min="28" max="28" width="10" bestFit="1" customWidth="1"/>
    <col min="29" max="29" width="17.28515625" bestFit="1" customWidth="1"/>
    <col min="30" max="30" width="10" bestFit="1" customWidth="1"/>
    <col min="31" max="31" width="9.42578125" bestFit="1" customWidth="1"/>
    <col min="32" max="32" width="14.42578125" bestFit="1" customWidth="1"/>
    <col min="33" max="33" width="18.85546875" bestFit="1" customWidth="1"/>
    <col min="34" max="34" width="10" bestFit="1" customWidth="1"/>
    <col min="35" max="35" width="17.28515625" bestFit="1" customWidth="1"/>
    <col min="36" max="36" width="10" bestFit="1" customWidth="1"/>
    <col min="37" max="37" width="9.42578125" bestFit="1" customWidth="1"/>
  </cols>
  <sheetData>
    <row r="1" spans="1:37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</row>
    <row r="2" spans="1:37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</row>
    <row r="3" spans="1:37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</row>
    <row r="4" spans="1:37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</row>
    <row r="5" spans="1:37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</row>
    <row r="6" spans="1:37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</row>
    <row r="7" spans="1:37" ht="15.75" thickBot="1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</row>
    <row r="8" spans="1:37">
      <c r="A8" s="20"/>
      <c r="B8" s="21"/>
      <c r="C8" s="21" t="s">
        <v>2568</v>
      </c>
      <c r="D8" s="21"/>
      <c r="E8" s="21" t="s">
        <v>2568</v>
      </c>
      <c r="F8" s="21"/>
      <c r="H8" s="20"/>
      <c r="I8" s="21"/>
      <c r="J8" s="21" t="s">
        <v>2574</v>
      </c>
      <c r="K8" s="21"/>
      <c r="L8" s="21" t="s">
        <v>2574</v>
      </c>
      <c r="M8" s="21"/>
    </row>
    <row r="9" spans="1:37" ht="15.75" thickBot="1">
      <c r="A9" s="2" t="s">
        <v>0</v>
      </c>
      <c r="B9" s="3" t="s">
        <v>1</v>
      </c>
      <c r="C9" s="3" t="s">
        <v>2</v>
      </c>
      <c r="D9" s="4" t="s">
        <v>3</v>
      </c>
      <c r="E9" s="3" t="s">
        <v>2</v>
      </c>
      <c r="F9" s="4" t="s">
        <v>3</v>
      </c>
      <c r="H9" s="2" t="s">
        <v>0</v>
      </c>
      <c r="I9" s="3" t="s">
        <v>1</v>
      </c>
      <c r="J9" s="3" t="s">
        <v>2</v>
      </c>
      <c r="K9" s="4" t="s">
        <v>3</v>
      </c>
      <c r="L9" s="3" t="s">
        <v>2</v>
      </c>
      <c r="M9" s="4" t="s">
        <v>3</v>
      </c>
    </row>
    <row r="10" spans="1:37" ht="15.75" thickBot="1">
      <c r="A10" s="35" t="s">
        <v>5</v>
      </c>
      <c r="B10" s="39" t="s">
        <v>2579</v>
      </c>
      <c r="C10" s="36" t="s">
        <v>2578</v>
      </c>
      <c r="D10" s="37">
        <f>VLOOKUP(C10,data!$A:$B,2,0)</f>
        <v>592.80999999999995</v>
      </c>
      <c r="E10" s="36" t="s">
        <v>2567</v>
      </c>
      <c r="F10" s="37">
        <f>VLOOKUP(E10,data!$A:$B,2,0)</f>
        <v>17313.71</v>
      </c>
      <c r="H10" s="35" t="s">
        <v>5</v>
      </c>
      <c r="I10" s="39" t="s">
        <v>2585</v>
      </c>
      <c r="J10" s="36" t="s">
        <v>2584</v>
      </c>
      <c r="K10" s="37">
        <f>VLOOKUP(J10,data!$A:$B,2,0)</f>
        <v>592.80999999999995</v>
      </c>
      <c r="L10" s="36" t="s">
        <v>2573</v>
      </c>
      <c r="M10" s="37">
        <f>VLOOKUP(L10,data!$A:$B,2,0)</f>
        <v>14284.8</v>
      </c>
    </row>
    <row r="11" spans="1:37" ht="15.75" thickBot="1">
      <c r="A11" s="35" t="s">
        <v>12</v>
      </c>
      <c r="B11" s="39" t="s">
        <v>2579</v>
      </c>
      <c r="C11" s="36" t="s">
        <v>2589</v>
      </c>
      <c r="D11" s="37">
        <f>VLOOKUP(C11,data!$A:$B,2,0)</f>
        <v>592.80999999999995</v>
      </c>
      <c r="E11" s="36" t="s">
        <v>2590</v>
      </c>
      <c r="F11" s="37">
        <f>VLOOKUP(E11,data!$A:$B,2,0)</f>
        <v>17313.38</v>
      </c>
      <c r="H11" s="35" t="s">
        <v>12</v>
      </c>
      <c r="I11" s="39" t="s">
        <v>2585</v>
      </c>
      <c r="J11" s="36" t="s">
        <v>2595</v>
      </c>
      <c r="K11" s="37">
        <f>VLOOKUP(J11,data!$A:$B,2,0)</f>
        <v>592.80999999999995</v>
      </c>
      <c r="L11" s="36" t="s">
        <v>2596</v>
      </c>
      <c r="M11" s="37">
        <f>VLOOKUP(L11,data!$A:$B,2,0)</f>
        <v>14284.37</v>
      </c>
    </row>
    <row r="12" spans="1:37" ht="15.75" thickBot="1">
      <c r="A12" s="35" t="s">
        <v>13</v>
      </c>
      <c r="B12" s="39" t="s">
        <v>2579</v>
      </c>
      <c r="C12" s="36" t="s">
        <v>2599</v>
      </c>
      <c r="D12" s="37">
        <f>VLOOKUP(C12,data!$A:$B,2,0)</f>
        <v>592.80999999999995</v>
      </c>
      <c r="E12" s="36" t="s">
        <v>2600</v>
      </c>
      <c r="F12" s="37">
        <f>VLOOKUP(E12,data!$A:$B,2,0)</f>
        <v>17313.830000000002</v>
      </c>
      <c r="H12" s="35" t="s">
        <v>13</v>
      </c>
      <c r="I12" s="39" t="s">
        <v>2585</v>
      </c>
      <c r="J12" s="36" t="s">
        <v>2605</v>
      </c>
      <c r="K12" s="37">
        <f>VLOOKUP(J12,data!$A:$B,2,0)</f>
        <v>592.80999999999995</v>
      </c>
      <c r="L12" s="36" t="s">
        <v>2606</v>
      </c>
      <c r="M12" s="37">
        <f>VLOOKUP(L12,data!$A:$B,2,0)</f>
        <v>14284.12</v>
      </c>
    </row>
    <row r="13" spans="1:37" ht="15.75" thickBot="1">
      <c r="A13" s="35" t="s">
        <v>14</v>
      </c>
      <c r="B13" s="39" t="s">
        <v>2579</v>
      </c>
      <c r="C13" s="36" t="s">
        <v>2609</v>
      </c>
      <c r="D13" s="37">
        <f>VLOOKUP(C13,data!$A:$B,2,0)</f>
        <v>592.80999999999995</v>
      </c>
      <c r="E13" s="36" t="s">
        <v>2610</v>
      </c>
      <c r="F13" s="37">
        <f>VLOOKUP(E13,data!$A:$B,2,0)</f>
        <v>17313.900000000001</v>
      </c>
      <c r="H13" s="35" t="s">
        <v>14</v>
      </c>
      <c r="I13" s="39" t="s">
        <v>2585</v>
      </c>
      <c r="J13" s="36" t="s">
        <v>2615</v>
      </c>
      <c r="K13" s="37">
        <f>VLOOKUP(J13,data!$A:$B,2,0)</f>
        <v>592.80999999999995</v>
      </c>
      <c r="L13" s="36" t="s">
        <v>2616</v>
      </c>
      <c r="M13" s="37">
        <f>VLOOKUP(L13,data!$A:$B,2,0)</f>
        <v>14284.21</v>
      </c>
    </row>
    <row r="14" spans="1:37" ht="15.75" thickBot="1">
      <c r="A14" s="35" t="s">
        <v>15</v>
      </c>
      <c r="B14" s="39" t="s">
        <v>2579</v>
      </c>
      <c r="C14" s="36" t="s">
        <v>2619</v>
      </c>
      <c r="D14" s="37">
        <f>VLOOKUP(C14,data!$A:$B,2,0)</f>
        <v>592.80999999999995</v>
      </c>
      <c r="E14" s="36" t="s">
        <v>2620</v>
      </c>
      <c r="F14" s="37">
        <f>VLOOKUP(E14,data!$A:$B,2,0)</f>
        <v>17313.82</v>
      </c>
      <c r="H14" s="35" t="s">
        <v>15</v>
      </c>
      <c r="I14" s="39" t="s">
        <v>2585</v>
      </c>
      <c r="J14" s="36" t="s">
        <v>2625</v>
      </c>
      <c r="K14" s="37">
        <f>VLOOKUP(J14,data!$A:$B,2,0)</f>
        <v>592.80999999999995</v>
      </c>
      <c r="L14" s="36" t="s">
        <v>2626</v>
      </c>
      <c r="M14" s="37">
        <f>VLOOKUP(L14,data!$A:$B,2,0)</f>
        <v>14284.07</v>
      </c>
    </row>
    <row r="15" spans="1:37" ht="15.75" thickBot="1">
      <c r="A15" s="35" t="s">
        <v>16</v>
      </c>
      <c r="B15" s="39" t="s">
        <v>2579</v>
      </c>
      <c r="C15" s="36" t="s">
        <v>2629</v>
      </c>
      <c r="D15" s="37">
        <f>VLOOKUP(C15,data!$A:$B,2,0)</f>
        <v>592.80999999999995</v>
      </c>
      <c r="E15" s="36" t="s">
        <v>2630</v>
      </c>
      <c r="F15" s="37">
        <f>VLOOKUP(E15,data!$A:$B,2,0)</f>
        <v>17313.099999999999</v>
      </c>
      <c r="H15" s="35" t="s">
        <v>16</v>
      </c>
      <c r="I15" s="39" t="s">
        <v>2585</v>
      </c>
      <c r="J15" s="36" t="s">
        <v>2635</v>
      </c>
      <c r="K15" s="37">
        <f>VLOOKUP(J15,data!$A:$B,2,0)</f>
        <v>592.80999999999995</v>
      </c>
      <c r="L15" s="36" t="s">
        <v>2636</v>
      </c>
      <c r="M15" s="37">
        <f>VLOOKUP(L15,data!$A:$B,2,0)</f>
        <v>14284.73</v>
      </c>
    </row>
    <row r="16" spans="1:37" ht="15.75" thickBot="1">
      <c r="A16" s="35" t="s">
        <v>17</v>
      </c>
      <c r="B16" s="39" t="s">
        <v>2579</v>
      </c>
      <c r="C16" s="36" t="s">
        <v>2639</v>
      </c>
      <c r="D16" s="37">
        <f>VLOOKUP(C16,data!$A:$B,2,0)</f>
        <v>592.80999999999995</v>
      </c>
      <c r="E16" s="36" t="s">
        <v>2640</v>
      </c>
      <c r="F16" s="37">
        <f>VLOOKUP(E16,data!$A:$B,2,0)</f>
        <v>17313.439999999999</v>
      </c>
      <c r="H16" s="35" t="s">
        <v>17</v>
      </c>
      <c r="I16" s="39" t="s">
        <v>2585</v>
      </c>
      <c r="J16" s="36" t="s">
        <v>2645</v>
      </c>
      <c r="K16" s="37">
        <f>VLOOKUP(J16,data!$A:$B,2,0)</f>
        <v>592.80999999999995</v>
      </c>
      <c r="L16" s="36" t="s">
        <v>2646</v>
      </c>
      <c r="M16" s="37">
        <f>VLOOKUP(L16,data!$A:$B,2,0)</f>
        <v>14284.97</v>
      </c>
    </row>
    <row r="17" spans="1:13" ht="15.75" thickBot="1">
      <c r="A17" s="35" t="s">
        <v>18</v>
      </c>
      <c r="B17" s="39" t="s">
        <v>2579</v>
      </c>
      <c r="C17" s="36" t="s">
        <v>2649</v>
      </c>
      <c r="D17" s="37">
        <f>VLOOKUP(C17,data!$A:$B,2,0)</f>
        <v>592.80999999999995</v>
      </c>
      <c r="E17" s="36" t="s">
        <v>2650</v>
      </c>
      <c r="F17" s="37">
        <f>VLOOKUP(E17,data!$A:$B,2,0)</f>
        <v>17313.97</v>
      </c>
      <c r="H17" s="35" t="s">
        <v>18</v>
      </c>
      <c r="I17" s="39" t="s">
        <v>2585</v>
      </c>
      <c r="J17" s="36" t="s">
        <v>2655</v>
      </c>
      <c r="K17" s="37">
        <f>VLOOKUP(J17,data!$A:$B,2,0)</f>
        <v>592.80999999999995</v>
      </c>
      <c r="L17" s="36" t="s">
        <v>2656</v>
      </c>
      <c r="M17" s="37">
        <f>VLOOKUP(L17,data!$A:$B,2,0)</f>
        <v>14284.45</v>
      </c>
    </row>
    <row r="18" spans="1:13">
      <c r="A18" s="14"/>
      <c r="B18" s="14"/>
      <c r="C18" s="19" t="s">
        <v>19</v>
      </c>
      <c r="D18" s="19">
        <f>MAX($D$10:$D$17)</f>
        <v>592.80999999999995</v>
      </c>
      <c r="E18" s="19" t="s">
        <v>19</v>
      </c>
      <c r="F18" s="19">
        <f>MAX($F$10:$F$17)</f>
        <v>17313.97</v>
      </c>
      <c r="H18" s="14"/>
      <c r="I18" s="14"/>
      <c r="J18" s="19" t="s">
        <v>19</v>
      </c>
      <c r="K18" s="19">
        <f>MAX($K$10:$K$17)</f>
        <v>592.80999999999995</v>
      </c>
      <c r="L18" s="19" t="s">
        <v>19</v>
      </c>
      <c r="M18" s="19">
        <f>MAX($M$10:$M$17)</f>
        <v>14284.97</v>
      </c>
    </row>
    <row r="19" spans="1:13">
      <c r="A19" s="17"/>
      <c r="B19" s="14"/>
      <c r="C19" s="19" t="s">
        <v>20</v>
      </c>
      <c r="D19" s="19">
        <f>MIN($D$10:$D$17)</f>
        <v>592.80999999999995</v>
      </c>
      <c r="E19" s="19" t="s">
        <v>20</v>
      </c>
      <c r="F19" s="19">
        <f>MIN($F$10:$F$17)</f>
        <v>17313.099999999999</v>
      </c>
      <c r="H19" s="14"/>
      <c r="I19" s="14"/>
      <c r="J19" s="19" t="s">
        <v>20</v>
      </c>
      <c r="K19" s="19">
        <f>MIN($K$10:$K$17)</f>
        <v>592.80999999999995</v>
      </c>
      <c r="L19" s="19" t="s">
        <v>20</v>
      </c>
      <c r="M19" s="19">
        <f>MIN($M$10:$M$17)</f>
        <v>14284.07</v>
      </c>
    </row>
    <row r="20" spans="1:13">
      <c r="A20" s="16"/>
      <c r="B20" s="14"/>
      <c r="C20" s="19" t="s">
        <v>21</v>
      </c>
      <c r="D20" s="19">
        <f>D18-D19</f>
        <v>0</v>
      </c>
      <c r="E20" s="19" t="s">
        <v>21</v>
      </c>
      <c r="F20" s="19">
        <f>F18-F19</f>
        <v>0.87000000000261934</v>
      </c>
      <c r="H20" s="14"/>
      <c r="I20" s="14"/>
      <c r="J20" s="19" t="s">
        <v>21</v>
      </c>
      <c r="K20" s="19">
        <f>K18-K19</f>
        <v>0</v>
      </c>
      <c r="L20" s="19" t="s">
        <v>21</v>
      </c>
      <c r="M20" s="19">
        <f>M18-M19</f>
        <v>0.8999999999996362</v>
      </c>
    </row>
    <row r="21" spans="1:13">
      <c r="A21" s="18"/>
      <c r="B21" s="14"/>
      <c r="C21" s="19" t="s">
        <v>22</v>
      </c>
      <c r="D21" s="19">
        <v>1</v>
      </c>
      <c r="E21" s="19" t="s">
        <v>22</v>
      </c>
      <c r="F21" s="19">
        <v>1</v>
      </c>
      <c r="H21" s="14"/>
      <c r="I21" s="14"/>
      <c r="J21" s="19" t="s">
        <v>22</v>
      </c>
      <c r="K21" s="19">
        <v>1</v>
      </c>
      <c r="L21" s="19" t="s">
        <v>22</v>
      </c>
      <c r="M21" s="19">
        <v>1</v>
      </c>
    </row>
    <row r="22" spans="1:13">
      <c r="A22" s="14"/>
      <c r="B22" s="14"/>
      <c r="C22" s="19"/>
      <c r="D22" s="19" t="str">
        <f>IF(D21="","None",IF(D20&lt;=D21,"PASS","FAIL"))</f>
        <v>PASS</v>
      </c>
      <c r="E22" s="19"/>
      <c r="F22" s="19" t="str">
        <f>IF(F21="","None",IF(F20&lt;=F21,"PASS","FAIL"))</f>
        <v>PASS</v>
      </c>
      <c r="H22" s="14"/>
      <c r="I22" s="14"/>
      <c r="J22" s="19"/>
      <c r="K22" s="19" t="str">
        <f>IF(K21="","None",IF(K20&lt;=K21,"PASS","FAIL"))</f>
        <v>PASS</v>
      </c>
      <c r="L22" s="19"/>
      <c r="M22" s="19" t="str">
        <f>IF(M21="","None",IF(M20&lt;=M21,"PASS","FAIL"))</f>
        <v>PASS</v>
      </c>
    </row>
    <row r="23" spans="1:13" ht="15.75" thickBot="1"/>
    <row r="24" spans="1:13">
      <c r="A24" s="20"/>
      <c r="B24" s="21"/>
      <c r="C24" s="21" t="s">
        <v>2570</v>
      </c>
      <c r="D24" s="21"/>
      <c r="E24" s="21" t="s">
        <v>2570</v>
      </c>
      <c r="F24" s="21"/>
      <c r="H24" s="20"/>
      <c r="I24" s="21"/>
      <c r="J24" s="21" t="s">
        <v>2576</v>
      </c>
      <c r="K24" s="21"/>
      <c r="L24" s="21" t="s">
        <v>2576</v>
      </c>
      <c r="M24" s="21"/>
    </row>
    <row r="25" spans="1:13" ht="15.75" thickBot="1">
      <c r="A25" s="2" t="s">
        <v>0</v>
      </c>
      <c r="B25" s="3" t="s">
        <v>1</v>
      </c>
      <c r="C25" s="3" t="s">
        <v>2</v>
      </c>
      <c r="D25" s="4" t="s">
        <v>3</v>
      </c>
      <c r="E25" s="3" t="s">
        <v>2</v>
      </c>
      <c r="F25" s="4" t="s">
        <v>3</v>
      </c>
      <c r="H25" s="2" t="s">
        <v>0</v>
      </c>
      <c r="I25" s="3" t="s">
        <v>1</v>
      </c>
      <c r="J25" s="3" t="s">
        <v>2</v>
      </c>
      <c r="K25" s="4" t="s">
        <v>3</v>
      </c>
      <c r="L25" s="3" t="s">
        <v>2</v>
      </c>
      <c r="M25" s="4" t="s">
        <v>3</v>
      </c>
    </row>
    <row r="26" spans="1:13" ht="15.75" thickBot="1">
      <c r="A26" s="35" t="s">
        <v>5</v>
      </c>
      <c r="B26" s="39" t="s">
        <v>2581</v>
      </c>
      <c r="C26" s="36" t="s">
        <v>2580</v>
      </c>
      <c r="D26" s="37">
        <f>VLOOKUP(C26,data!$A:$B,2,0)</f>
        <v>617.79</v>
      </c>
      <c r="E26" s="36" t="s">
        <v>2569</v>
      </c>
      <c r="F26" s="37">
        <f>VLOOKUP(E26,data!$A:$B,2,0)</f>
        <v>14229.34</v>
      </c>
      <c r="H26" s="35" t="s">
        <v>5</v>
      </c>
      <c r="I26" s="39" t="s">
        <v>2587</v>
      </c>
      <c r="J26" s="36" t="s">
        <v>2586</v>
      </c>
      <c r="K26" s="37">
        <f>VLOOKUP(J26,data!$A:$B,2,0)</f>
        <v>631.70000000000005</v>
      </c>
      <c r="L26" s="36" t="s">
        <v>2575</v>
      </c>
      <c r="M26" s="37">
        <f>VLOOKUP(L26,data!$A:$B,2,0)</f>
        <v>14954.24</v>
      </c>
    </row>
    <row r="27" spans="1:13" ht="15.75" thickBot="1">
      <c r="A27" s="35" t="s">
        <v>12</v>
      </c>
      <c r="B27" s="39" t="s">
        <v>2581</v>
      </c>
      <c r="C27" s="36" t="s">
        <v>2591</v>
      </c>
      <c r="D27" s="37">
        <f>VLOOKUP(C27,data!$A:$B,2,0)</f>
        <v>617.79</v>
      </c>
      <c r="E27" s="36" t="s">
        <v>2592</v>
      </c>
      <c r="F27" s="37">
        <f>VLOOKUP(E27,data!$A:$B,2,0)</f>
        <v>14229.26</v>
      </c>
      <c r="H27" s="35" t="s">
        <v>12</v>
      </c>
      <c r="I27" s="39" t="s">
        <v>2587</v>
      </c>
      <c r="J27" s="36" t="s">
        <v>2597</v>
      </c>
      <c r="K27" s="37">
        <f>VLOOKUP(J27,data!$A:$B,2,0)</f>
        <v>631.70000000000005</v>
      </c>
      <c r="L27" s="36" t="s">
        <v>2598</v>
      </c>
      <c r="M27" s="37">
        <f>VLOOKUP(L27,data!$A:$B,2,0)</f>
        <v>14954.49</v>
      </c>
    </row>
    <row r="28" spans="1:13" ht="15.75" thickBot="1">
      <c r="A28" s="35" t="s">
        <v>13</v>
      </c>
      <c r="B28" s="39" t="s">
        <v>2581</v>
      </c>
      <c r="C28" s="36" t="s">
        <v>2601</v>
      </c>
      <c r="D28" s="37">
        <f>VLOOKUP(C28,data!$A:$B,2,0)</f>
        <v>617.79</v>
      </c>
      <c r="E28" s="36" t="s">
        <v>2602</v>
      </c>
      <c r="F28" s="37">
        <f>VLOOKUP(E28,data!$A:$B,2,0)</f>
        <v>14229.72</v>
      </c>
      <c r="H28" s="35" t="s">
        <v>13</v>
      </c>
      <c r="I28" s="39" t="s">
        <v>2587</v>
      </c>
      <c r="J28" s="36" t="s">
        <v>2607</v>
      </c>
      <c r="K28" s="37">
        <f>VLOOKUP(J28,data!$A:$B,2,0)</f>
        <v>631.70000000000005</v>
      </c>
      <c r="L28" s="36" t="s">
        <v>2608</v>
      </c>
      <c r="M28" s="37">
        <f>VLOOKUP(L28,data!$A:$B,2,0)</f>
        <v>14954.66</v>
      </c>
    </row>
    <row r="29" spans="1:13" ht="15.75" thickBot="1">
      <c r="A29" s="35" t="s">
        <v>14</v>
      </c>
      <c r="B29" s="39" t="s">
        <v>2581</v>
      </c>
      <c r="C29" s="36" t="s">
        <v>2611</v>
      </c>
      <c r="D29" s="37">
        <f>VLOOKUP(C29,data!$A:$B,2,0)</f>
        <v>617.79</v>
      </c>
      <c r="E29" s="36" t="s">
        <v>2612</v>
      </c>
      <c r="F29" s="37">
        <f>VLOOKUP(E29,data!$A:$B,2,0)</f>
        <v>14229.46</v>
      </c>
      <c r="H29" s="35" t="s">
        <v>14</v>
      </c>
      <c r="I29" s="39" t="s">
        <v>2587</v>
      </c>
      <c r="J29" s="36" t="s">
        <v>2617</v>
      </c>
      <c r="K29" s="37">
        <f>VLOOKUP(J29,data!$A:$B,2,0)</f>
        <v>631.70000000000005</v>
      </c>
      <c r="L29" s="36" t="s">
        <v>2618</v>
      </c>
      <c r="M29" s="37">
        <f>VLOOKUP(L29,data!$A:$B,2,0)</f>
        <v>14954.64</v>
      </c>
    </row>
    <row r="30" spans="1:13" ht="15.75" thickBot="1">
      <c r="A30" s="35" t="s">
        <v>15</v>
      </c>
      <c r="B30" s="39" t="s">
        <v>2581</v>
      </c>
      <c r="C30" s="36" t="s">
        <v>2621</v>
      </c>
      <c r="D30" s="37">
        <f>VLOOKUP(C30,data!$A:$B,2,0)</f>
        <v>617.79</v>
      </c>
      <c r="E30" s="36" t="s">
        <v>2622</v>
      </c>
      <c r="F30" s="37">
        <f>VLOOKUP(E30,data!$A:$B,2,0)</f>
        <v>14229.78</v>
      </c>
      <c r="H30" s="35" t="s">
        <v>15</v>
      </c>
      <c r="I30" s="39" t="s">
        <v>2587</v>
      </c>
      <c r="J30" s="36" t="s">
        <v>2627</v>
      </c>
      <c r="K30" s="37">
        <f>VLOOKUP(J30,data!$A:$B,2,0)</f>
        <v>631.70000000000005</v>
      </c>
      <c r="L30" s="36" t="s">
        <v>2628</v>
      </c>
      <c r="M30" s="37">
        <f>VLOOKUP(L30,data!$A:$B,2,0)</f>
        <v>14954.35</v>
      </c>
    </row>
    <row r="31" spans="1:13" ht="15.75" thickBot="1">
      <c r="A31" s="35" t="s">
        <v>16</v>
      </c>
      <c r="B31" s="39" t="s">
        <v>2581</v>
      </c>
      <c r="C31" s="36" t="s">
        <v>2631</v>
      </c>
      <c r="D31" s="37">
        <f>VLOOKUP(C31,data!$A:$B,2,0)</f>
        <v>617.79</v>
      </c>
      <c r="E31" s="36" t="s">
        <v>2632</v>
      </c>
      <c r="F31" s="37">
        <f>VLOOKUP(E31,data!$A:$B,2,0)</f>
        <v>14229.49</v>
      </c>
      <c r="H31" s="35" t="s">
        <v>16</v>
      </c>
      <c r="I31" s="39" t="s">
        <v>2587</v>
      </c>
      <c r="J31" s="36" t="s">
        <v>2637</v>
      </c>
      <c r="K31" s="37">
        <f>VLOOKUP(J31,data!$A:$B,2,0)</f>
        <v>631.70000000000005</v>
      </c>
      <c r="L31" s="36" t="s">
        <v>2638</v>
      </c>
      <c r="M31" s="37">
        <f>VLOOKUP(L31,data!$A:$B,2,0)</f>
        <v>14954</v>
      </c>
    </row>
    <row r="32" spans="1:13" ht="15.75" thickBot="1">
      <c r="A32" s="35" t="s">
        <v>17</v>
      </c>
      <c r="B32" s="39" t="s">
        <v>2581</v>
      </c>
      <c r="C32" s="36" t="s">
        <v>2641</v>
      </c>
      <c r="D32" s="37">
        <f>VLOOKUP(C32,data!$A:$B,2,0)</f>
        <v>617.79</v>
      </c>
      <c r="E32" s="36" t="s">
        <v>2642</v>
      </c>
      <c r="F32" s="37">
        <f>VLOOKUP(E32,data!$A:$B,2,0)</f>
        <v>14229.62</v>
      </c>
      <c r="H32" s="35" t="s">
        <v>17</v>
      </c>
      <c r="I32" s="39" t="s">
        <v>2587</v>
      </c>
      <c r="J32" s="36" t="s">
        <v>2647</v>
      </c>
      <c r="K32" s="37">
        <f>VLOOKUP(J32,data!$A:$B,2,0)</f>
        <v>631.70000000000005</v>
      </c>
      <c r="L32" s="36" t="s">
        <v>2648</v>
      </c>
      <c r="M32" s="37">
        <f>VLOOKUP(L32,data!$A:$B,2,0)</f>
        <v>14954.55</v>
      </c>
    </row>
    <row r="33" spans="1:13" ht="15.75" thickBot="1">
      <c r="A33" s="35" t="s">
        <v>18</v>
      </c>
      <c r="B33" s="39" t="s">
        <v>2581</v>
      </c>
      <c r="C33" s="36" t="s">
        <v>2651</v>
      </c>
      <c r="D33" s="37">
        <f>VLOOKUP(C33,data!$A:$B,2,0)</f>
        <v>617.79</v>
      </c>
      <c r="E33" s="36" t="s">
        <v>2652</v>
      </c>
      <c r="F33" s="37">
        <f>VLOOKUP(E33,data!$A:$B,2,0)</f>
        <v>14229.35</v>
      </c>
      <c r="H33" s="35" t="s">
        <v>18</v>
      </c>
      <c r="I33" s="39" t="s">
        <v>2587</v>
      </c>
      <c r="J33" s="36" t="s">
        <v>2657</v>
      </c>
      <c r="K33" s="37">
        <f>VLOOKUP(J33,data!$A:$B,2,0)</f>
        <v>631.70000000000005</v>
      </c>
      <c r="L33" s="36" t="s">
        <v>2658</v>
      </c>
      <c r="M33" s="37">
        <f>VLOOKUP(L33,data!$A:$B,2,0)</f>
        <v>14954.82</v>
      </c>
    </row>
    <row r="34" spans="1:13">
      <c r="A34" s="14"/>
      <c r="B34" s="14"/>
      <c r="C34" s="19" t="s">
        <v>19</v>
      </c>
      <c r="D34" s="19">
        <f>MAX($D$26:$D$33)</f>
        <v>617.79</v>
      </c>
      <c r="E34" s="19" t="s">
        <v>19</v>
      </c>
      <c r="F34" s="19">
        <f>MAX($F$26:$F$33)</f>
        <v>14229.78</v>
      </c>
      <c r="H34" s="14"/>
      <c r="I34" s="14"/>
      <c r="J34" s="19" t="s">
        <v>19</v>
      </c>
      <c r="K34" s="19">
        <f>MAX($K$26:$K$33)</f>
        <v>631.70000000000005</v>
      </c>
      <c r="L34" s="19" t="s">
        <v>19</v>
      </c>
      <c r="M34" s="19">
        <f>MAX($M$26:$M$33)</f>
        <v>14954.82</v>
      </c>
    </row>
    <row r="35" spans="1:13">
      <c r="A35" s="14"/>
      <c r="B35" s="14"/>
      <c r="C35" s="19" t="s">
        <v>20</v>
      </c>
      <c r="D35" s="19">
        <f>MIN($D$26:$D$33)</f>
        <v>617.79</v>
      </c>
      <c r="E35" s="19" t="s">
        <v>20</v>
      </c>
      <c r="F35" s="19">
        <f>MIN($F$26:$F$33)</f>
        <v>14229.26</v>
      </c>
      <c r="H35" s="14"/>
      <c r="I35" s="14"/>
      <c r="J35" s="19" t="s">
        <v>20</v>
      </c>
      <c r="K35" s="19">
        <f>MIN($K$26:$K$33)</f>
        <v>631.70000000000005</v>
      </c>
      <c r="L35" s="19" t="s">
        <v>20</v>
      </c>
      <c r="M35" s="19">
        <f>MIN($M$26:$M$33)</f>
        <v>14954</v>
      </c>
    </row>
    <row r="36" spans="1:13">
      <c r="A36" s="14"/>
      <c r="B36" s="14"/>
      <c r="C36" s="19" t="s">
        <v>21</v>
      </c>
      <c r="D36" s="19">
        <f>D34-D35</f>
        <v>0</v>
      </c>
      <c r="E36" s="19" t="s">
        <v>21</v>
      </c>
      <c r="F36" s="19">
        <f>F34-F35</f>
        <v>0.52000000000043656</v>
      </c>
      <c r="H36" s="14"/>
      <c r="I36" s="14"/>
      <c r="J36" s="19" t="s">
        <v>21</v>
      </c>
      <c r="K36" s="19">
        <f>K34-K35</f>
        <v>0</v>
      </c>
      <c r="L36" s="19" t="s">
        <v>21</v>
      </c>
      <c r="M36" s="19">
        <f>M34-M35</f>
        <v>0.81999999999970896</v>
      </c>
    </row>
    <row r="37" spans="1:13">
      <c r="A37" s="14"/>
      <c r="B37" s="14"/>
      <c r="C37" s="19" t="s">
        <v>22</v>
      </c>
      <c r="D37" s="19">
        <v>1</v>
      </c>
      <c r="E37" s="19" t="s">
        <v>22</v>
      </c>
      <c r="F37" s="19">
        <v>1</v>
      </c>
      <c r="H37" s="14"/>
      <c r="I37" s="14"/>
      <c r="J37" s="19" t="s">
        <v>22</v>
      </c>
      <c r="K37" s="19">
        <v>1</v>
      </c>
      <c r="L37" s="19" t="s">
        <v>22</v>
      </c>
      <c r="M37" s="19">
        <v>1</v>
      </c>
    </row>
    <row r="38" spans="1:13">
      <c r="A38" s="14"/>
      <c r="B38" s="14"/>
      <c r="C38" s="19"/>
      <c r="D38" s="19" t="str">
        <f>IF(D37="","None",IF(D36&lt;=D37,"PASS","FAIL"))</f>
        <v>PASS</v>
      </c>
      <c r="E38" s="19"/>
      <c r="F38" s="19" t="str">
        <f>IF(F37="","None",IF(F36&lt;=F37,"PASS","FAIL"))</f>
        <v>PASS</v>
      </c>
      <c r="H38" s="14"/>
      <c r="I38" s="14"/>
      <c r="J38" s="19"/>
      <c r="K38" s="19" t="str">
        <f>IF(K37="","None",IF(K36&lt;=K37,"PASS","FAIL"))</f>
        <v>PASS</v>
      </c>
      <c r="L38" s="19"/>
      <c r="M38" s="19" t="str">
        <f>IF(M37="","None",IF(M36&lt;=M37,"PASS","FAIL"))</f>
        <v>PASS</v>
      </c>
    </row>
    <row r="40" spans="1:13" ht="15.75" thickBot="1">
      <c r="A40" s="14"/>
      <c r="B40" s="14"/>
      <c r="C40" s="14"/>
      <c r="D40" s="14"/>
      <c r="E40" s="14" t="s">
        <v>602</v>
      </c>
      <c r="F40" s="14"/>
      <c r="H40" s="14"/>
      <c r="I40" s="14"/>
      <c r="J40" s="14"/>
      <c r="K40" s="14"/>
      <c r="L40" s="14" t="s">
        <v>602</v>
      </c>
      <c r="M40" s="14"/>
    </row>
    <row r="41" spans="1:13">
      <c r="A41" s="20"/>
      <c r="B41" s="21"/>
      <c r="C41" s="21" t="s">
        <v>2572</v>
      </c>
      <c r="D41" s="21"/>
      <c r="E41" s="21" t="s">
        <v>2572</v>
      </c>
      <c r="F41" s="21"/>
      <c r="H41" s="20"/>
      <c r="I41" s="21"/>
      <c r="J41" s="21" t="s">
        <v>2577</v>
      </c>
      <c r="K41" s="21"/>
      <c r="L41" s="21" t="s">
        <v>2577</v>
      </c>
      <c r="M41" s="21"/>
    </row>
    <row r="42" spans="1:13" ht="15.75" thickBot="1">
      <c r="A42" s="2" t="s">
        <v>0</v>
      </c>
      <c r="B42" s="3" t="s">
        <v>1</v>
      </c>
      <c r="C42" s="3" t="s">
        <v>2</v>
      </c>
      <c r="D42" s="4" t="s">
        <v>3</v>
      </c>
      <c r="E42" s="3" t="s">
        <v>2</v>
      </c>
      <c r="F42" s="4" t="s">
        <v>3</v>
      </c>
      <c r="H42" s="2" t="s">
        <v>0</v>
      </c>
      <c r="I42" s="3" t="s">
        <v>1</v>
      </c>
      <c r="J42" s="3" t="s">
        <v>2</v>
      </c>
      <c r="K42" s="4" t="s">
        <v>3</v>
      </c>
      <c r="L42" s="3" t="s">
        <v>2</v>
      </c>
      <c r="M42" s="4" t="s">
        <v>3</v>
      </c>
    </row>
    <row r="43" spans="1:13" ht="15.75" thickBot="1">
      <c r="A43" s="35" t="s">
        <v>5</v>
      </c>
      <c r="B43" s="39" t="s">
        <v>2583</v>
      </c>
      <c r="C43" s="36" t="s">
        <v>2582</v>
      </c>
      <c r="D43" s="37">
        <f>VLOOKUP(C43,data!$A:$B,2,0)</f>
        <v>637.22</v>
      </c>
      <c r="E43" s="36" t="s">
        <v>2571</v>
      </c>
      <c r="F43" s="37">
        <f>VLOOKUP(E43,data!$A:$B,2,0)</f>
        <v>10681.29</v>
      </c>
      <c r="H43" s="35" t="s">
        <v>5</v>
      </c>
      <c r="I43" s="39" t="s">
        <v>2588</v>
      </c>
      <c r="J43" s="36" t="s">
        <v>2260</v>
      </c>
      <c r="K43" s="37">
        <f>VLOOKUP(J43,data!$A:$B,2,0)</f>
        <v>592.80999999999995</v>
      </c>
      <c r="L43" s="36" t="s">
        <v>2273</v>
      </c>
      <c r="M43" s="37">
        <f>VLOOKUP(L43,data!$A:$B,2,0)</f>
        <v>11936.48</v>
      </c>
    </row>
    <row r="44" spans="1:13" ht="15.75" thickBot="1">
      <c r="A44" s="35" t="s">
        <v>12</v>
      </c>
      <c r="B44" s="39" t="s">
        <v>2583</v>
      </c>
      <c r="C44" s="36" t="s">
        <v>2593</v>
      </c>
      <c r="D44" s="37">
        <f>VLOOKUP(C44,data!$A:$B,2,0)</f>
        <v>637.22</v>
      </c>
      <c r="E44" s="36" t="s">
        <v>2594</v>
      </c>
      <c r="F44" s="37">
        <f>VLOOKUP(E44,data!$A:$B,2,0)</f>
        <v>10681.58</v>
      </c>
      <c r="H44" s="35" t="s">
        <v>12</v>
      </c>
      <c r="I44" s="39" t="s">
        <v>2588</v>
      </c>
      <c r="J44" s="36" t="s">
        <v>2296</v>
      </c>
      <c r="K44" s="37">
        <f>VLOOKUP(J44,data!$A:$B,2,0)</f>
        <v>592.80999999999995</v>
      </c>
      <c r="L44" s="36" t="s">
        <v>2297</v>
      </c>
      <c r="M44" s="37">
        <f>VLOOKUP(L44,data!$A:$B,2,0)</f>
        <v>11936.37</v>
      </c>
    </row>
    <row r="45" spans="1:13" ht="15.75" thickBot="1">
      <c r="A45" s="35" t="s">
        <v>13</v>
      </c>
      <c r="B45" s="39" t="s">
        <v>2583</v>
      </c>
      <c r="C45" s="36" t="s">
        <v>2603</v>
      </c>
      <c r="D45" s="37">
        <f>VLOOKUP(C45,data!$A:$B,2,0)</f>
        <v>637.22</v>
      </c>
      <c r="E45" s="36" t="s">
        <v>2604</v>
      </c>
      <c r="F45" s="37">
        <f>VLOOKUP(E45,data!$A:$B,2,0)</f>
        <v>10681.38</v>
      </c>
      <c r="H45" s="35" t="s">
        <v>13</v>
      </c>
      <c r="I45" s="39" t="s">
        <v>2588</v>
      </c>
      <c r="J45" s="36" t="s">
        <v>2312</v>
      </c>
      <c r="K45" s="37">
        <f>VLOOKUP(J45,data!$A:$B,2,0)</f>
        <v>592.80999999999995</v>
      </c>
      <c r="L45" s="36" t="s">
        <v>2313</v>
      </c>
      <c r="M45" s="37">
        <f>VLOOKUP(L45,data!$A:$B,2,0)</f>
        <v>11936.01</v>
      </c>
    </row>
    <row r="46" spans="1:13" ht="15.75" thickBot="1">
      <c r="A46" s="35" t="s">
        <v>14</v>
      </c>
      <c r="B46" s="39" t="s">
        <v>2583</v>
      </c>
      <c r="C46" s="36" t="s">
        <v>2613</v>
      </c>
      <c r="D46" s="37">
        <f>VLOOKUP(C46,data!$A:$B,2,0)</f>
        <v>637.22</v>
      </c>
      <c r="E46" s="36" t="s">
        <v>2614</v>
      </c>
      <c r="F46" s="37">
        <f>VLOOKUP(E46,data!$A:$B,2,0)</f>
        <v>10681.74</v>
      </c>
      <c r="H46" s="35" t="s">
        <v>14</v>
      </c>
      <c r="I46" s="39" t="s">
        <v>2588</v>
      </c>
      <c r="J46" s="36" t="s">
        <v>2328</v>
      </c>
      <c r="K46" s="37">
        <f>VLOOKUP(J46,data!$A:$B,2,0)</f>
        <v>592.80999999999995</v>
      </c>
      <c r="L46" s="36" t="s">
        <v>2329</v>
      </c>
      <c r="M46" s="37">
        <f>VLOOKUP(L46,data!$A:$B,2,0)</f>
        <v>11936.15</v>
      </c>
    </row>
    <row r="47" spans="1:13" ht="15.75" thickBot="1">
      <c r="A47" s="35" t="s">
        <v>15</v>
      </c>
      <c r="B47" s="39" t="s">
        <v>2583</v>
      </c>
      <c r="C47" s="36" t="s">
        <v>2623</v>
      </c>
      <c r="D47" s="37">
        <f>VLOOKUP(C47,data!$A:$B,2,0)</f>
        <v>637.22</v>
      </c>
      <c r="E47" s="36" t="s">
        <v>2624</v>
      </c>
      <c r="F47" s="37">
        <f>VLOOKUP(E47,data!$A:$B,2,0)</f>
        <v>10681.12</v>
      </c>
      <c r="H47" s="35" t="s">
        <v>15</v>
      </c>
      <c r="I47" s="39" t="s">
        <v>2588</v>
      </c>
      <c r="J47" s="36" t="s">
        <v>2344</v>
      </c>
      <c r="K47" s="37">
        <f>VLOOKUP(J47,data!$A:$B,2,0)</f>
        <v>592.80999999999995</v>
      </c>
      <c r="L47" s="36" t="s">
        <v>2345</v>
      </c>
      <c r="M47" s="37">
        <f>VLOOKUP(L47,data!$A:$B,2,0)</f>
        <v>11936.01</v>
      </c>
    </row>
    <row r="48" spans="1:13" ht="15.75" thickBot="1">
      <c r="A48" s="35" t="s">
        <v>16</v>
      </c>
      <c r="B48" s="39" t="s">
        <v>2583</v>
      </c>
      <c r="C48" s="36" t="s">
        <v>2633</v>
      </c>
      <c r="D48" s="37">
        <f>VLOOKUP(C48,data!$A:$B,2,0)</f>
        <v>637.22</v>
      </c>
      <c r="E48" s="36" t="s">
        <v>2634</v>
      </c>
      <c r="F48" s="37">
        <f>VLOOKUP(E48,data!$A:$B,2,0)</f>
        <v>10681.36</v>
      </c>
      <c r="H48" s="35" t="s">
        <v>16</v>
      </c>
      <c r="I48" s="39" t="s">
        <v>2588</v>
      </c>
      <c r="J48" s="36" t="s">
        <v>2360</v>
      </c>
      <c r="K48" s="37">
        <f>VLOOKUP(J48,data!$A:$B,2,0)</f>
        <v>592.80999999999995</v>
      </c>
      <c r="L48" s="36" t="s">
        <v>2361</v>
      </c>
      <c r="M48" s="37">
        <f>VLOOKUP(L48,data!$A:$B,2,0)</f>
        <v>11936.24</v>
      </c>
    </row>
    <row r="49" spans="1:13" ht="15.75" thickBot="1">
      <c r="A49" s="35" t="s">
        <v>17</v>
      </c>
      <c r="B49" s="39" t="s">
        <v>2583</v>
      </c>
      <c r="C49" s="36" t="s">
        <v>2643</v>
      </c>
      <c r="D49" s="37">
        <f>VLOOKUP(C49,data!$A:$B,2,0)</f>
        <v>637.22</v>
      </c>
      <c r="E49" s="36" t="s">
        <v>2644</v>
      </c>
      <c r="F49" s="37">
        <f>VLOOKUP(E49,data!$A:$B,2,0)</f>
        <v>10681.43</v>
      </c>
      <c r="H49" s="35" t="s">
        <v>17</v>
      </c>
      <c r="I49" s="39" t="s">
        <v>2588</v>
      </c>
      <c r="J49" s="36" t="s">
        <v>2376</v>
      </c>
      <c r="K49" s="37">
        <f>VLOOKUP(J49,data!$A:$B,2,0)</f>
        <v>592.80999999999995</v>
      </c>
      <c r="L49" s="36" t="s">
        <v>2377</v>
      </c>
      <c r="M49" s="37">
        <f>VLOOKUP(L49,data!$A:$B,2,0)</f>
        <v>11936.18</v>
      </c>
    </row>
    <row r="50" spans="1:13" ht="15.75" thickBot="1">
      <c r="A50" s="35" t="s">
        <v>18</v>
      </c>
      <c r="B50" s="39" t="s">
        <v>2583</v>
      </c>
      <c r="C50" s="36" t="s">
        <v>2653</v>
      </c>
      <c r="D50" s="37">
        <f>VLOOKUP(C50,data!$A:$B,2,0)</f>
        <v>637.22</v>
      </c>
      <c r="E50" s="36" t="s">
        <v>2654</v>
      </c>
      <c r="F50" s="37">
        <f>VLOOKUP(E50,data!$A:$B,2,0)</f>
        <v>10681.51</v>
      </c>
      <c r="H50" s="35" t="s">
        <v>18</v>
      </c>
      <c r="I50" s="39" t="s">
        <v>2588</v>
      </c>
      <c r="J50" s="36" t="s">
        <v>2392</v>
      </c>
      <c r="K50" s="37">
        <f>VLOOKUP(J50,data!$A:$B,2,0)</f>
        <v>592.80999999999995</v>
      </c>
      <c r="L50" s="36" t="s">
        <v>2393</v>
      </c>
      <c r="M50" s="37">
        <f>VLOOKUP(L50,data!$A:$B,2,0)</f>
        <v>11936.2</v>
      </c>
    </row>
    <row r="51" spans="1:13">
      <c r="A51" s="14"/>
      <c r="B51" s="14"/>
      <c r="C51" s="19" t="s">
        <v>19</v>
      </c>
      <c r="D51" s="19">
        <f>MAX($D$43:$D$50)</f>
        <v>637.22</v>
      </c>
      <c r="E51" s="19" t="s">
        <v>19</v>
      </c>
      <c r="F51" s="19">
        <f>MAX($F$43:$F$50)</f>
        <v>10681.74</v>
      </c>
      <c r="H51" s="14"/>
      <c r="I51" s="14"/>
      <c r="J51" s="19" t="s">
        <v>19</v>
      </c>
      <c r="K51" s="19">
        <f>MAX($K$43:$K$50)</f>
        <v>592.80999999999995</v>
      </c>
      <c r="L51" s="19" t="s">
        <v>19</v>
      </c>
      <c r="M51" s="19">
        <f>MAX($M$43:$M$50)</f>
        <v>11936.48</v>
      </c>
    </row>
    <row r="52" spans="1:13">
      <c r="A52" s="14"/>
      <c r="B52" s="14"/>
      <c r="C52" s="19" t="s">
        <v>20</v>
      </c>
      <c r="D52" s="19">
        <f>MIN($D$43:$D$50)</f>
        <v>637.22</v>
      </c>
      <c r="E52" s="19" t="s">
        <v>20</v>
      </c>
      <c r="F52" s="19">
        <f>MIN($F$43:$F$50)</f>
        <v>10681.12</v>
      </c>
      <c r="H52" s="14"/>
      <c r="I52" s="14"/>
      <c r="J52" s="19" t="s">
        <v>20</v>
      </c>
      <c r="K52" s="19">
        <f>MIN($K$43:$K$50)</f>
        <v>592.80999999999995</v>
      </c>
      <c r="L52" s="19" t="s">
        <v>20</v>
      </c>
      <c r="M52" s="19">
        <f>MIN($M$43:$M$50)</f>
        <v>11936.01</v>
      </c>
    </row>
    <row r="53" spans="1:13">
      <c r="A53" s="14"/>
      <c r="B53" s="14"/>
      <c r="C53" s="19" t="s">
        <v>21</v>
      </c>
      <c r="D53" s="19">
        <f>D51-D52</f>
        <v>0</v>
      </c>
      <c r="E53" s="19" t="s">
        <v>21</v>
      </c>
      <c r="F53" s="19">
        <f>F51-F52</f>
        <v>0.61999999999898137</v>
      </c>
      <c r="H53" s="14"/>
      <c r="I53" s="14"/>
      <c r="J53" s="19" t="s">
        <v>21</v>
      </c>
      <c r="K53" s="19">
        <f>K51-K52</f>
        <v>0</v>
      </c>
      <c r="L53" s="19" t="s">
        <v>21</v>
      </c>
      <c r="M53" s="19">
        <f>M51-M52</f>
        <v>0.46999999999934516</v>
      </c>
    </row>
    <row r="54" spans="1:13">
      <c r="A54" s="14"/>
      <c r="B54" s="14"/>
      <c r="C54" s="19" t="s">
        <v>22</v>
      </c>
      <c r="D54" s="19">
        <v>1</v>
      </c>
      <c r="E54" s="19" t="s">
        <v>22</v>
      </c>
      <c r="F54" s="19">
        <v>1</v>
      </c>
      <c r="H54" s="14"/>
      <c r="I54" s="14"/>
      <c r="J54" s="19" t="s">
        <v>22</v>
      </c>
      <c r="K54" s="19">
        <v>1</v>
      </c>
      <c r="L54" s="19" t="s">
        <v>22</v>
      </c>
      <c r="M54" s="19">
        <v>1</v>
      </c>
    </row>
    <row r="55" spans="1:13">
      <c r="A55" s="14"/>
      <c r="B55" s="14"/>
      <c r="C55" s="19"/>
      <c r="D55" s="19" t="str">
        <f>IF(D54="","None",IF(D53&lt;=D54,"PASS","FAIL"))</f>
        <v>PASS</v>
      </c>
      <c r="E55" s="19"/>
      <c r="F55" s="19" t="str">
        <f>IF(F54="","None",IF(F53&lt;=F54,"PASS","FAIL"))</f>
        <v>PASS</v>
      </c>
      <c r="H55" s="14"/>
      <c r="I55" s="14"/>
      <c r="J55" s="19"/>
      <c r="K55" s="19" t="str">
        <f>IF(K54="","None",IF(K53&lt;=K54,"PASS","FAIL"))</f>
        <v>PASS</v>
      </c>
      <c r="L55" s="19"/>
      <c r="M55" s="19" t="str">
        <f>IF(M54="","None",IF(M53&lt;=M54,"PASS","FAIL"))</f>
        <v>PASS</v>
      </c>
    </row>
  </sheetData>
  <phoneticPr fontId="7" type="noConversion"/>
  <conditionalFormatting sqref="E9 F10">
    <cfRule type="containsText" dxfId="1930" priority="753" operator="containsText" text="PASS">
      <formula>NOT(ISERROR(SEARCH("PASS",E9)))</formula>
    </cfRule>
    <cfRule type="containsText" dxfId="1929" priority="754" operator="containsText" text="FAIL">
      <formula>NOT(ISERROR(SEARCH("FAIL",E9)))</formula>
    </cfRule>
  </conditionalFormatting>
  <conditionalFormatting sqref="F9">
    <cfRule type="containsText" dxfId="1928" priority="751" operator="containsText" text="PASS">
      <formula>NOT(ISERROR(SEARCH("PASS",F9)))</formula>
    </cfRule>
    <cfRule type="containsText" dxfId="1927" priority="752" operator="containsText" text="FAIL">
      <formula>NOT(ISERROR(SEARCH("FAIL",F9)))</formula>
    </cfRule>
  </conditionalFormatting>
  <conditionalFormatting sqref="E9:F10">
    <cfRule type="cellIs" dxfId="1926" priority="750" operator="equal">
      <formula>"None"</formula>
    </cfRule>
  </conditionalFormatting>
  <conditionalFormatting sqref="E8">
    <cfRule type="containsText" dxfId="1925" priority="748" operator="containsText" text="PASS">
      <formula>NOT(ISERROR(SEARCH("PASS",E8)))</formula>
    </cfRule>
    <cfRule type="containsText" dxfId="1924" priority="749" operator="containsText" text="FAIL">
      <formula>NOT(ISERROR(SEARCH("FAIL",E8)))</formula>
    </cfRule>
  </conditionalFormatting>
  <conditionalFormatting sqref="E8">
    <cfRule type="cellIs" dxfId="1923" priority="747" operator="equal">
      <formula>"None"</formula>
    </cfRule>
  </conditionalFormatting>
  <conditionalFormatting sqref="F8">
    <cfRule type="containsText" dxfId="1922" priority="745" operator="containsText" text="PASS">
      <formula>NOT(ISERROR(SEARCH("PASS",F8)))</formula>
    </cfRule>
    <cfRule type="containsText" dxfId="1921" priority="746" operator="containsText" text="FAIL">
      <formula>NOT(ISERROR(SEARCH("FAIL",F8)))</formula>
    </cfRule>
  </conditionalFormatting>
  <conditionalFormatting sqref="F8">
    <cfRule type="cellIs" dxfId="1920" priority="744" operator="equal">
      <formula>"None"</formula>
    </cfRule>
  </conditionalFormatting>
  <conditionalFormatting sqref="E25 F26">
    <cfRule type="containsText" dxfId="1919" priority="736" operator="containsText" text="PASS">
      <formula>NOT(ISERROR(SEARCH("PASS",E25)))</formula>
    </cfRule>
    <cfRule type="containsText" dxfId="1918" priority="737" operator="containsText" text="FAIL">
      <formula>NOT(ISERROR(SEARCH("FAIL",E25)))</formula>
    </cfRule>
  </conditionalFormatting>
  <conditionalFormatting sqref="F25">
    <cfRule type="containsText" dxfId="1917" priority="734" operator="containsText" text="PASS">
      <formula>NOT(ISERROR(SEARCH("PASS",F25)))</formula>
    </cfRule>
    <cfRule type="containsText" dxfId="1916" priority="735" operator="containsText" text="FAIL">
      <formula>NOT(ISERROR(SEARCH("FAIL",F25)))</formula>
    </cfRule>
  </conditionalFormatting>
  <conditionalFormatting sqref="E25:F26">
    <cfRule type="cellIs" dxfId="1915" priority="733" operator="equal">
      <formula>"None"</formula>
    </cfRule>
  </conditionalFormatting>
  <conditionalFormatting sqref="E24">
    <cfRule type="containsText" dxfId="1914" priority="731" operator="containsText" text="PASS">
      <formula>NOT(ISERROR(SEARCH("PASS",E24)))</formula>
    </cfRule>
    <cfRule type="containsText" dxfId="1913" priority="732" operator="containsText" text="FAIL">
      <formula>NOT(ISERROR(SEARCH("FAIL",E24)))</formula>
    </cfRule>
  </conditionalFormatting>
  <conditionalFormatting sqref="E24">
    <cfRule type="cellIs" dxfId="1912" priority="730" operator="equal">
      <formula>"None"</formula>
    </cfRule>
  </conditionalFormatting>
  <conditionalFormatting sqref="F24">
    <cfRule type="containsText" dxfId="1911" priority="728" operator="containsText" text="PASS">
      <formula>NOT(ISERROR(SEARCH("PASS",F24)))</formula>
    </cfRule>
    <cfRule type="containsText" dxfId="1910" priority="729" operator="containsText" text="FAIL">
      <formula>NOT(ISERROR(SEARCH("FAIL",F24)))</formula>
    </cfRule>
  </conditionalFormatting>
  <conditionalFormatting sqref="F24">
    <cfRule type="cellIs" dxfId="1909" priority="727" operator="equal">
      <formula>"None"</formula>
    </cfRule>
  </conditionalFormatting>
  <conditionalFormatting sqref="E42 F43">
    <cfRule type="containsText" dxfId="1908" priority="719" operator="containsText" text="PASS">
      <formula>NOT(ISERROR(SEARCH("PASS",E42)))</formula>
    </cfRule>
    <cfRule type="containsText" dxfId="1907" priority="720" operator="containsText" text="FAIL">
      <formula>NOT(ISERROR(SEARCH("FAIL",E42)))</formula>
    </cfRule>
  </conditionalFormatting>
  <conditionalFormatting sqref="F42">
    <cfRule type="containsText" dxfId="1906" priority="717" operator="containsText" text="PASS">
      <formula>NOT(ISERROR(SEARCH("PASS",F42)))</formula>
    </cfRule>
    <cfRule type="containsText" dxfId="1905" priority="718" operator="containsText" text="FAIL">
      <formula>NOT(ISERROR(SEARCH("FAIL",F42)))</formula>
    </cfRule>
  </conditionalFormatting>
  <conditionalFormatting sqref="E42:F43">
    <cfRule type="cellIs" dxfId="1904" priority="716" operator="equal">
      <formula>"None"</formula>
    </cfRule>
  </conditionalFormatting>
  <conditionalFormatting sqref="E41">
    <cfRule type="containsText" dxfId="1903" priority="714" operator="containsText" text="PASS">
      <formula>NOT(ISERROR(SEARCH("PASS",E41)))</formula>
    </cfRule>
    <cfRule type="containsText" dxfId="1902" priority="715" operator="containsText" text="FAIL">
      <formula>NOT(ISERROR(SEARCH("FAIL",E41)))</formula>
    </cfRule>
  </conditionalFormatting>
  <conditionalFormatting sqref="E41">
    <cfRule type="cellIs" dxfId="1901" priority="713" operator="equal">
      <formula>"None"</formula>
    </cfRule>
  </conditionalFormatting>
  <conditionalFormatting sqref="F41">
    <cfRule type="containsText" dxfId="1900" priority="711" operator="containsText" text="PASS">
      <formula>NOT(ISERROR(SEARCH("PASS",F41)))</formula>
    </cfRule>
    <cfRule type="containsText" dxfId="1899" priority="712" operator="containsText" text="FAIL">
      <formula>NOT(ISERROR(SEARCH("FAIL",F41)))</formula>
    </cfRule>
  </conditionalFormatting>
  <conditionalFormatting sqref="F41">
    <cfRule type="cellIs" dxfId="1898" priority="710" operator="equal">
      <formula>"None"</formula>
    </cfRule>
  </conditionalFormatting>
  <conditionalFormatting sqref="L9 M10">
    <cfRule type="containsText" dxfId="1897" priority="702" operator="containsText" text="PASS">
      <formula>NOT(ISERROR(SEARCH("PASS",L9)))</formula>
    </cfRule>
    <cfRule type="containsText" dxfId="1896" priority="703" operator="containsText" text="FAIL">
      <formula>NOT(ISERROR(SEARCH("FAIL",L9)))</formula>
    </cfRule>
  </conditionalFormatting>
  <conditionalFormatting sqref="M9">
    <cfRule type="containsText" dxfId="1895" priority="700" operator="containsText" text="PASS">
      <formula>NOT(ISERROR(SEARCH("PASS",M9)))</formula>
    </cfRule>
    <cfRule type="containsText" dxfId="1894" priority="701" operator="containsText" text="FAIL">
      <formula>NOT(ISERROR(SEARCH("FAIL",M9)))</formula>
    </cfRule>
  </conditionalFormatting>
  <conditionalFormatting sqref="L9:M10">
    <cfRule type="cellIs" dxfId="1893" priority="699" operator="equal">
      <formula>"None"</formula>
    </cfRule>
  </conditionalFormatting>
  <conditionalFormatting sqref="L8">
    <cfRule type="containsText" dxfId="1892" priority="697" operator="containsText" text="PASS">
      <formula>NOT(ISERROR(SEARCH("PASS",L8)))</formula>
    </cfRule>
    <cfRule type="containsText" dxfId="1891" priority="698" operator="containsText" text="FAIL">
      <formula>NOT(ISERROR(SEARCH("FAIL",L8)))</formula>
    </cfRule>
  </conditionalFormatting>
  <conditionalFormatting sqref="L8">
    <cfRule type="cellIs" dxfId="1890" priority="696" operator="equal">
      <formula>"None"</formula>
    </cfRule>
  </conditionalFormatting>
  <conditionalFormatting sqref="M8">
    <cfRule type="containsText" dxfId="1889" priority="694" operator="containsText" text="PASS">
      <formula>NOT(ISERROR(SEARCH("PASS",M8)))</formula>
    </cfRule>
    <cfRule type="containsText" dxfId="1888" priority="695" operator="containsText" text="FAIL">
      <formula>NOT(ISERROR(SEARCH("FAIL",M8)))</formula>
    </cfRule>
  </conditionalFormatting>
  <conditionalFormatting sqref="M8">
    <cfRule type="cellIs" dxfId="1887" priority="693" operator="equal">
      <formula>"None"</formula>
    </cfRule>
  </conditionalFormatting>
  <conditionalFormatting sqref="L25 M26">
    <cfRule type="containsText" dxfId="1886" priority="685" operator="containsText" text="PASS">
      <formula>NOT(ISERROR(SEARCH("PASS",L25)))</formula>
    </cfRule>
    <cfRule type="containsText" dxfId="1885" priority="686" operator="containsText" text="FAIL">
      <formula>NOT(ISERROR(SEARCH("FAIL",L25)))</formula>
    </cfRule>
  </conditionalFormatting>
  <conditionalFormatting sqref="M25">
    <cfRule type="containsText" dxfId="1884" priority="683" operator="containsText" text="PASS">
      <formula>NOT(ISERROR(SEARCH("PASS",M25)))</formula>
    </cfRule>
    <cfRule type="containsText" dxfId="1883" priority="684" operator="containsText" text="FAIL">
      <formula>NOT(ISERROR(SEARCH("FAIL",M25)))</formula>
    </cfRule>
  </conditionalFormatting>
  <conditionalFormatting sqref="L25:M26">
    <cfRule type="cellIs" dxfId="1882" priority="682" operator="equal">
      <formula>"None"</formula>
    </cfRule>
  </conditionalFormatting>
  <conditionalFormatting sqref="L24">
    <cfRule type="containsText" dxfId="1881" priority="680" operator="containsText" text="PASS">
      <formula>NOT(ISERROR(SEARCH("PASS",L24)))</formula>
    </cfRule>
    <cfRule type="containsText" dxfId="1880" priority="681" operator="containsText" text="FAIL">
      <formula>NOT(ISERROR(SEARCH("FAIL",L24)))</formula>
    </cfRule>
  </conditionalFormatting>
  <conditionalFormatting sqref="L24">
    <cfRule type="cellIs" dxfId="1879" priority="679" operator="equal">
      <formula>"None"</formula>
    </cfRule>
  </conditionalFormatting>
  <conditionalFormatting sqref="M24">
    <cfRule type="containsText" dxfId="1878" priority="677" operator="containsText" text="PASS">
      <formula>NOT(ISERROR(SEARCH("PASS",M24)))</formula>
    </cfRule>
    <cfRule type="containsText" dxfId="1877" priority="678" operator="containsText" text="FAIL">
      <formula>NOT(ISERROR(SEARCH("FAIL",M24)))</formula>
    </cfRule>
  </conditionalFormatting>
  <conditionalFormatting sqref="M24">
    <cfRule type="cellIs" dxfId="1876" priority="676" operator="equal">
      <formula>"None"</formula>
    </cfRule>
  </conditionalFormatting>
  <conditionalFormatting sqref="L42 M43">
    <cfRule type="containsText" dxfId="1875" priority="668" operator="containsText" text="PASS">
      <formula>NOT(ISERROR(SEARCH("PASS",L42)))</formula>
    </cfRule>
    <cfRule type="containsText" dxfId="1874" priority="669" operator="containsText" text="FAIL">
      <formula>NOT(ISERROR(SEARCH("FAIL",L42)))</formula>
    </cfRule>
  </conditionalFormatting>
  <conditionalFormatting sqref="M42">
    <cfRule type="containsText" dxfId="1873" priority="666" operator="containsText" text="PASS">
      <formula>NOT(ISERROR(SEARCH("PASS",M42)))</formula>
    </cfRule>
    <cfRule type="containsText" dxfId="1872" priority="667" operator="containsText" text="FAIL">
      <formula>NOT(ISERROR(SEARCH("FAIL",M42)))</formula>
    </cfRule>
  </conditionalFormatting>
  <conditionalFormatting sqref="L42:M43">
    <cfRule type="cellIs" dxfId="1871" priority="665" operator="equal">
      <formula>"None"</formula>
    </cfRule>
  </conditionalFormatting>
  <conditionalFormatting sqref="L41">
    <cfRule type="containsText" dxfId="1870" priority="663" operator="containsText" text="PASS">
      <formula>NOT(ISERROR(SEARCH("PASS",L41)))</formula>
    </cfRule>
    <cfRule type="containsText" dxfId="1869" priority="664" operator="containsText" text="FAIL">
      <formula>NOT(ISERROR(SEARCH("FAIL",L41)))</formula>
    </cfRule>
  </conditionalFormatting>
  <conditionalFormatting sqref="L41">
    <cfRule type="cellIs" dxfId="1868" priority="662" operator="equal">
      <formula>"None"</formula>
    </cfRule>
  </conditionalFormatting>
  <conditionalFormatting sqref="M41">
    <cfRule type="containsText" dxfId="1867" priority="660" operator="containsText" text="PASS">
      <formula>NOT(ISERROR(SEARCH("PASS",M41)))</formula>
    </cfRule>
    <cfRule type="containsText" dxfId="1866" priority="661" operator="containsText" text="FAIL">
      <formula>NOT(ISERROR(SEARCH("FAIL",M41)))</formula>
    </cfRule>
  </conditionalFormatting>
  <conditionalFormatting sqref="M41">
    <cfRule type="cellIs" dxfId="1865" priority="659" operator="equal">
      <formula>"None"</formula>
    </cfRule>
  </conditionalFormatting>
  <conditionalFormatting sqref="D24">
    <cfRule type="containsText" dxfId="1864" priority="597" operator="containsText" text="PASS">
      <formula>NOT(ISERROR(SEARCH("PASS",D24)))</formula>
    </cfRule>
    <cfRule type="containsText" dxfId="1863" priority="598" operator="containsText" text="FAIL">
      <formula>NOT(ISERROR(SEARCH("FAIL",D24)))</formula>
    </cfRule>
  </conditionalFormatting>
  <conditionalFormatting sqref="A19:A21">
    <cfRule type="containsText" dxfId="1862" priority="634" operator="containsText" text="PASS">
      <formula>NOT(ISERROR(SEARCH("PASS",A19)))</formula>
    </cfRule>
    <cfRule type="containsText" dxfId="1861" priority="635" operator="containsText" text="FAIL">
      <formula>NOT(ISERROR(SEARCH("FAIL",A19)))</formula>
    </cfRule>
  </conditionalFormatting>
  <conditionalFormatting sqref="A19:A21">
    <cfRule type="cellIs" dxfId="1860" priority="633" operator="equal">
      <formula>"None"</formula>
    </cfRule>
  </conditionalFormatting>
  <conditionalFormatting sqref="K42">
    <cfRule type="containsText" dxfId="1859" priority="541" operator="containsText" text="PASS">
      <formula>NOT(ISERROR(SEARCH("PASS",K42)))</formula>
    </cfRule>
    <cfRule type="containsText" dxfId="1858" priority="542" operator="containsText" text="FAIL">
      <formula>NOT(ISERROR(SEARCH("FAIL",K42)))</formula>
    </cfRule>
  </conditionalFormatting>
  <conditionalFormatting sqref="J42:K43">
    <cfRule type="cellIs" dxfId="1857" priority="540" operator="equal">
      <formula>"None"</formula>
    </cfRule>
  </conditionalFormatting>
  <conditionalFormatting sqref="H45">
    <cfRule type="containsText" dxfId="1856" priority="17" operator="containsText" text="PASS">
      <formula>NOT(ISERROR(SEARCH("PASS",H45)))</formula>
    </cfRule>
    <cfRule type="containsText" dxfId="1855" priority="18" operator="containsText" text="FAIL">
      <formula>NOT(ISERROR(SEARCH("FAIL",H45)))</formula>
    </cfRule>
  </conditionalFormatting>
  <conditionalFormatting sqref="B44">
    <cfRule type="cellIs" dxfId="1854" priority="492" operator="equal">
      <formula>"None"</formula>
    </cfRule>
  </conditionalFormatting>
  <conditionalFormatting sqref="D25">
    <cfRule type="containsText" dxfId="1853" priority="603" operator="containsText" text="PASS">
      <formula>NOT(ISERROR(SEARCH("PASS",D25)))</formula>
    </cfRule>
    <cfRule type="containsText" dxfId="1852" priority="604" operator="containsText" text="FAIL">
      <formula>NOT(ISERROR(SEARCH("FAIL",D25)))</formula>
    </cfRule>
  </conditionalFormatting>
  <conditionalFormatting sqref="C25:D26">
    <cfRule type="cellIs" dxfId="1851" priority="602" operator="equal">
      <formula>"None"</formula>
    </cfRule>
  </conditionalFormatting>
  <conditionalFormatting sqref="C41">
    <cfRule type="containsText" dxfId="1850" priority="532" operator="containsText" text="PASS">
      <formula>NOT(ISERROR(SEARCH("PASS",C41)))</formula>
    </cfRule>
    <cfRule type="containsText" dxfId="1849" priority="533" operator="containsText" text="FAIL">
      <formula>NOT(ISERROR(SEARCH("FAIL",C41)))</formula>
    </cfRule>
  </conditionalFormatting>
  <conditionalFormatting sqref="C41">
    <cfRule type="cellIs" dxfId="1848" priority="531" operator="equal">
      <formula>"None"</formula>
    </cfRule>
  </conditionalFormatting>
  <conditionalFormatting sqref="D9">
    <cfRule type="containsText" dxfId="1847" priority="623" operator="containsText" text="PASS">
      <formula>NOT(ISERROR(SEARCH("PASS",D9)))</formula>
    </cfRule>
    <cfRule type="containsText" dxfId="1846" priority="624" operator="containsText" text="FAIL">
      <formula>NOT(ISERROR(SEARCH("FAIL",D9)))</formula>
    </cfRule>
  </conditionalFormatting>
  <conditionalFormatting sqref="C9:D10">
    <cfRule type="cellIs" dxfId="1845" priority="622" operator="equal">
      <formula>"None"</formula>
    </cfRule>
  </conditionalFormatting>
  <conditionalFormatting sqref="A8:A10">
    <cfRule type="containsText" dxfId="1844" priority="631" operator="containsText" text="PASS">
      <formula>NOT(ISERROR(SEARCH("PASS",A8)))</formula>
    </cfRule>
    <cfRule type="containsText" dxfId="1843" priority="632" operator="containsText" text="FAIL">
      <formula>NOT(ISERROR(SEARCH("FAIL",A8)))</formula>
    </cfRule>
  </conditionalFormatting>
  <conditionalFormatting sqref="A8:A10">
    <cfRule type="cellIs" dxfId="1842" priority="630" operator="equal">
      <formula>"None"</formula>
    </cfRule>
  </conditionalFormatting>
  <conditionalFormatting sqref="B8:B10">
    <cfRule type="cellIs" dxfId="1841" priority="627" operator="equal">
      <formula>"None"</formula>
    </cfRule>
  </conditionalFormatting>
  <conditionalFormatting sqref="B9">
    <cfRule type="containsText" dxfId="1840" priority="628" operator="containsText" text="PASS">
      <formula>NOT(ISERROR(SEARCH("PASS",B9)))</formula>
    </cfRule>
    <cfRule type="containsText" dxfId="1839" priority="629" operator="containsText" text="FAIL">
      <formula>NOT(ISERROR(SEARCH("FAIL",B9)))</formula>
    </cfRule>
  </conditionalFormatting>
  <conditionalFormatting sqref="C9 D10">
    <cfRule type="containsText" dxfId="1838" priority="625" operator="containsText" text="PASS">
      <formula>NOT(ISERROR(SEARCH("PASS",C9)))</formula>
    </cfRule>
    <cfRule type="containsText" dxfId="1837" priority="626" operator="containsText" text="FAIL">
      <formula>NOT(ISERROR(SEARCH("FAIL",C9)))</formula>
    </cfRule>
  </conditionalFormatting>
  <conditionalFormatting sqref="D42">
    <cfRule type="containsText" dxfId="1836" priority="583" operator="containsText" text="PASS">
      <formula>NOT(ISERROR(SEARCH("PASS",D42)))</formula>
    </cfRule>
    <cfRule type="containsText" dxfId="1835" priority="584" operator="containsText" text="FAIL">
      <formula>NOT(ISERROR(SEARCH("FAIL",D42)))</formula>
    </cfRule>
  </conditionalFormatting>
  <conditionalFormatting sqref="D24">
    <cfRule type="cellIs" dxfId="1834" priority="596" operator="equal">
      <formula>"None"</formula>
    </cfRule>
  </conditionalFormatting>
  <conditionalFormatting sqref="C8">
    <cfRule type="containsText" dxfId="1833" priority="620" operator="containsText" text="PASS">
      <formula>NOT(ISERROR(SEARCH("PASS",C8)))</formula>
    </cfRule>
    <cfRule type="containsText" dxfId="1832" priority="621" operator="containsText" text="FAIL">
      <formula>NOT(ISERROR(SEARCH("FAIL",C8)))</formula>
    </cfRule>
  </conditionalFormatting>
  <conditionalFormatting sqref="C8">
    <cfRule type="cellIs" dxfId="1831" priority="619" operator="equal">
      <formula>"None"</formula>
    </cfRule>
  </conditionalFormatting>
  <conditionalFormatting sqref="D8">
    <cfRule type="containsText" dxfId="1830" priority="617" operator="containsText" text="PASS">
      <formula>NOT(ISERROR(SEARCH("PASS",D8)))</formula>
    </cfRule>
    <cfRule type="containsText" dxfId="1829" priority="618" operator="containsText" text="FAIL">
      <formula>NOT(ISERROR(SEARCH("FAIL",D8)))</formula>
    </cfRule>
  </conditionalFormatting>
  <conditionalFormatting sqref="D8">
    <cfRule type="cellIs" dxfId="1828" priority="616" operator="equal">
      <formula>"None"</formula>
    </cfRule>
  </conditionalFormatting>
  <conditionalFormatting sqref="I42">
    <cfRule type="containsText" dxfId="1827" priority="546" operator="containsText" text="PASS">
      <formula>NOT(ISERROR(SEARCH("PASS",I42)))</formula>
    </cfRule>
    <cfRule type="containsText" dxfId="1826" priority="547" operator="containsText" text="FAIL">
      <formula>NOT(ISERROR(SEARCH("FAIL",I42)))</formula>
    </cfRule>
  </conditionalFormatting>
  <conditionalFormatting sqref="I41:I43">
    <cfRule type="cellIs" dxfId="1825" priority="545" operator="equal">
      <formula>"None"</formula>
    </cfRule>
  </conditionalFormatting>
  <conditionalFormatting sqref="C25 D26">
    <cfRule type="containsText" dxfId="1824" priority="605" operator="containsText" text="PASS">
      <formula>NOT(ISERROR(SEARCH("PASS",C25)))</formula>
    </cfRule>
    <cfRule type="containsText" dxfId="1823" priority="606" operator="containsText" text="FAIL">
      <formula>NOT(ISERROR(SEARCH("FAIL",C25)))</formula>
    </cfRule>
  </conditionalFormatting>
  <conditionalFormatting sqref="C24">
    <cfRule type="cellIs" dxfId="1822" priority="590" operator="equal">
      <formula>"None"</formula>
    </cfRule>
  </conditionalFormatting>
  <conditionalFormatting sqref="K41">
    <cfRule type="containsText" dxfId="1821" priority="535" operator="containsText" text="PASS">
      <formula>NOT(ISERROR(SEARCH("PASS",K41)))</formula>
    </cfRule>
    <cfRule type="containsText" dxfId="1820" priority="536" operator="containsText" text="FAIL">
      <formula>NOT(ISERROR(SEARCH("FAIL",K41)))</formula>
    </cfRule>
  </conditionalFormatting>
  <conditionalFormatting sqref="K41">
    <cfRule type="cellIs" dxfId="1819" priority="534" operator="equal">
      <formula>"None"</formula>
    </cfRule>
  </conditionalFormatting>
  <conditionalFormatting sqref="B24:B26">
    <cfRule type="cellIs" dxfId="1818" priority="607" operator="equal">
      <formula>"None"</formula>
    </cfRule>
  </conditionalFormatting>
  <conditionalFormatting sqref="B25">
    <cfRule type="containsText" dxfId="1817" priority="608" operator="containsText" text="PASS">
      <formula>NOT(ISERROR(SEARCH("PASS",B25)))</formula>
    </cfRule>
    <cfRule type="containsText" dxfId="1816" priority="609" operator="containsText" text="FAIL">
      <formula>NOT(ISERROR(SEARCH("FAIL",B25)))</formula>
    </cfRule>
  </conditionalFormatting>
  <conditionalFormatting sqref="C24">
    <cfRule type="containsText" dxfId="1815" priority="591" operator="containsText" text="PASS">
      <formula>NOT(ISERROR(SEARCH("PASS",C24)))</formula>
    </cfRule>
    <cfRule type="containsText" dxfId="1814" priority="592" operator="containsText" text="FAIL">
      <formula>NOT(ISERROR(SEARCH("FAIL",C24)))</formula>
    </cfRule>
  </conditionalFormatting>
  <conditionalFormatting sqref="H47">
    <cfRule type="containsText" dxfId="1813" priority="11" operator="containsText" text="PASS">
      <formula>NOT(ISERROR(SEARCH("PASS",H47)))</formula>
    </cfRule>
    <cfRule type="containsText" dxfId="1812" priority="12" operator="containsText" text="FAIL">
      <formula>NOT(ISERROR(SEARCH("FAIL",H47)))</formula>
    </cfRule>
  </conditionalFormatting>
  <conditionalFormatting sqref="H47">
    <cfRule type="cellIs" dxfId="1811" priority="10" operator="equal">
      <formula>"None"</formula>
    </cfRule>
  </conditionalFormatting>
  <conditionalFormatting sqref="K9">
    <cfRule type="containsText" dxfId="1810" priority="569" operator="containsText" text="PASS">
      <formula>NOT(ISERROR(SEARCH("PASS",K9)))</formula>
    </cfRule>
    <cfRule type="containsText" dxfId="1809" priority="570" operator="containsText" text="FAIL">
      <formula>NOT(ISERROR(SEARCH("FAIL",K9)))</formula>
    </cfRule>
  </conditionalFormatting>
  <conditionalFormatting sqref="C42:D43">
    <cfRule type="cellIs" dxfId="1808" priority="582" operator="equal">
      <formula>"None"</formula>
    </cfRule>
  </conditionalFormatting>
  <conditionalFormatting sqref="D41">
    <cfRule type="containsText" dxfId="1807" priority="577" operator="containsText" text="PASS">
      <formula>NOT(ISERROR(SEARCH("PASS",D41)))</formula>
    </cfRule>
    <cfRule type="containsText" dxfId="1806" priority="578" operator="containsText" text="FAIL">
      <formula>NOT(ISERROR(SEARCH("FAIL",D41)))</formula>
    </cfRule>
  </conditionalFormatting>
  <conditionalFormatting sqref="D41">
    <cfRule type="cellIs" dxfId="1805" priority="576" operator="equal">
      <formula>"None"</formula>
    </cfRule>
  </conditionalFormatting>
  <conditionalFormatting sqref="K8">
    <cfRule type="containsText" dxfId="1804" priority="563" operator="containsText" text="PASS">
      <formula>NOT(ISERROR(SEARCH("PASS",K8)))</formula>
    </cfRule>
    <cfRule type="containsText" dxfId="1803" priority="564" operator="containsText" text="FAIL">
      <formula>NOT(ISERROR(SEARCH("FAIL",K8)))</formula>
    </cfRule>
  </conditionalFormatting>
  <conditionalFormatting sqref="K8">
    <cfRule type="cellIs" dxfId="1802" priority="562" operator="equal">
      <formula>"None"</formula>
    </cfRule>
  </conditionalFormatting>
  <conditionalFormatting sqref="J42 K43">
    <cfRule type="containsText" dxfId="1801" priority="543" operator="containsText" text="PASS">
      <formula>NOT(ISERROR(SEARCH("PASS",J42)))</formula>
    </cfRule>
    <cfRule type="containsText" dxfId="1800" priority="544" operator="containsText" text="FAIL">
      <formula>NOT(ISERROR(SEARCH("FAIL",J42)))</formula>
    </cfRule>
  </conditionalFormatting>
  <conditionalFormatting sqref="J9:K10">
    <cfRule type="cellIs" dxfId="1799" priority="568" operator="equal">
      <formula>"None"</formula>
    </cfRule>
  </conditionalFormatting>
  <conditionalFormatting sqref="B41:B43">
    <cfRule type="cellIs" dxfId="1798" priority="587" operator="equal">
      <formula>"None"</formula>
    </cfRule>
  </conditionalFormatting>
  <conditionalFormatting sqref="B42">
    <cfRule type="containsText" dxfId="1797" priority="588" operator="containsText" text="PASS">
      <formula>NOT(ISERROR(SEARCH("PASS",B42)))</formula>
    </cfRule>
    <cfRule type="containsText" dxfId="1796" priority="589" operator="containsText" text="FAIL">
      <formula>NOT(ISERROR(SEARCH("FAIL",B42)))</formula>
    </cfRule>
  </conditionalFormatting>
  <conditionalFormatting sqref="C42 D43">
    <cfRule type="containsText" dxfId="1795" priority="585" operator="containsText" text="PASS">
      <formula>NOT(ISERROR(SEARCH("PASS",C42)))</formula>
    </cfRule>
    <cfRule type="containsText" dxfId="1794" priority="586" operator="containsText" text="FAIL">
      <formula>NOT(ISERROR(SEARCH("FAIL",C42)))</formula>
    </cfRule>
  </conditionalFormatting>
  <conditionalFormatting sqref="J41">
    <cfRule type="containsText" dxfId="1793" priority="523" operator="containsText" text="PASS">
      <formula>NOT(ISERROR(SEARCH("PASS",J41)))</formula>
    </cfRule>
    <cfRule type="containsText" dxfId="1792" priority="524" operator="containsText" text="FAIL">
      <formula>NOT(ISERROR(SEARCH("FAIL",J41)))</formula>
    </cfRule>
  </conditionalFormatting>
  <conditionalFormatting sqref="J41">
    <cfRule type="cellIs" dxfId="1791" priority="522" operator="equal">
      <formula>"None"</formula>
    </cfRule>
  </conditionalFormatting>
  <conditionalFormatting sqref="K25">
    <cfRule type="containsText" dxfId="1790" priority="555" operator="containsText" text="PASS">
      <formula>NOT(ISERROR(SEARCH("PASS",K25)))</formula>
    </cfRule>
    <cfRule type="containsText" dxfId="1789" priority="556" operator="containsText" text="FAIL">
      <formula>NOT(ISERROR(SEARCH("FAIL",K25)))</formula>
    </cfRule>
  </conditionalFormatting>
  <conditionalFormatting sqref="J25:K26">
    <cfRule type="cellIs" dxfId="1788" priority="554" operator="equal">
      <formula>"None"</formula>
    </cfRule>
  </conditionalFormatting>
  <conditionalFormatting sqref="I8:I10">
    <cfRule type="cellIs" dxfId="1787" priority="573" operator="equal">
      <formula>"None"</formula>
    </cfRule>
  </conditionalFormatting>
  <conditionalFormatting sqref="I9">
    <cfRule type="containsText" dxfId="1786" priority="574" operator="containsText" text="PASS">
      <formula>NOT(ISERROR(SEARCH("PASS",I9)))</formula>
    </cfRule>
    <cfRule type="containsText" dxfId="1785" priority="575" operator="containsText" text="FAIL">
      <formula>NOT(ISERROR(SEARCH("FAIL",I9)))</formula>
    </cfRule>
  </conditionalFormatting>
  <conditionalFormatting sqref="J9 K10">
    <cfRule type="containsText" dxfId="1784" priority="571" operator="containsText" text="PASS">
      <formula>NOT(ISERROR(SEARCH("PASS",J9)))</formula>
    </cfRule>
    <cfRule type="containsText" dxfId="1783" priority="572" operator="containsText" text="FAIL">
      <formula>NOT(ISERROR(SEARCH("FAIL",J9)))</formula>
    </cfRule>
  </conditionalFormatting>
  <conditionalFormatting sqref="J25 K26">
    <cfRule type="containsText" dxfId="1782" priority="557" operator="containsText" text="PASS">
      <formula>NOT(ISERROR(SEARCH("PASS",J25)))</formula>
    </cfRule>
    <cfRule type="containsText" dxfId="1781" priority="558" operator="containsText" text="FAIL">
      <formula>NOT(ISERROR(SEARCH("FAIL",J25)))</formula>
    </cfRule>
  </conditionalFormatting>
  <conditionalFormatting sqref="K24">
    <cfRule type="containsText" dxfId="1780" priority="549" operator="containsText" text="PASS">
      <formula>NOT(ISERROR(SEARCH("PASS",K24)))</formula>
    </cfRule>
    <cfRule type="containsText" dxfId="1779" priority="550" operator="containsText" text="FAIL">
      <formula>NOT(ISERROR(SEARCH("FAIL",K24)))</formula>
    </cfRule>
  </conditionalFormatting>
  <conditionalFormatting sqref="K24">
    <cfRule type="cellIs" dxfId="1778" priority="548" operator="equal">
      <formula>"None"</formula>
    </cfRule>
  </conditionalFormatting>
  <conditionalFormatting sqref="J8">
    <cfRule type="containsText" dxfId="1777" priority="529" operator="containsText" text="PASS">
      <formula>NOT(ISERROR(SEARCH("PASS",J8)))</formula>
    </cfRule>
    <cfRule type="containsText" dxfId="1776" priority="530" operator="containsText" text="FAIL">
      <formula>NOT(ISERROR(SEARCH("FAIL",J8)))</formula>
    </cfRule>
  </conditionalFormatting>
  <conditionalFormatting sqref="J8">
    <cfRule type="cellIs" dxfId="1775" priority="528" operator="equal">
      <formula>"None"</formula>
    </cfRule>
  </conditionalFormatting>
  <conditionalFormatting sqref="I24:I26">
    <cfRule type="cellIs" dxfId="1774" priority="559" operator="equal">
      <formula>"None"</formula>
    </cfRule>
  </conditionalFormatting>
  <conditionalFormatting sqref="I25">
    <cfRule type="containsText" dxfId="1773" priority="560" operator="containsText" text="PASS">
      <formula>NOT(ISERROR(SEARCH("PASS",I25)))</formula>
    </cfRule>
    <cfRule type="containsText" dxfId="1772" priority="561" operator="containsText" text="FAIL">
      <formula>NOT(ISERROR(SEARCH("FAIL",I25)))</formula>
    </cfRule>
  </conditionalFormatting>
  <conditionalFormatting sqref="B11">
    <cfRule type="cellIs" dxfId="1771" priority="500" operator="equal">
      <formula>"None"</formula>
    </cfRule>
  </conditionalFormatting>
  <conditionalFormatting sqref="K44">
    <cfRule type="containsText" dxfId="1770" priority="478" operator="containsText" text="PASS">
      <formula>NOT(ISERROR(SEARCH("PASS",K44)))</formula>
    </cfRule>
    <cfRule type="containsText" dxfId="1769" priority="479" operator="containsText" text="FAIL">
      <formula>NOT(ISERROR(SEARCH("FAIL",K44)))</formula>
    </cfRule>
  </conditionalFormatting>
  <conditionalFormatting sqref="J44:K44">
    <cfRule type="cellIs" dxfId="1768" priority="477" operator="equal">
      <formula>"None"</formula>
    </cfRule>
  </conditionalFormatting>
  <conditionalFormatting sqref="H44">
    <cfRule type="containsText" dxfId="1767" priority="20" operator="containsText" text="PASS">
      <formula>NOT(ISERROR(SEARCH("PASS",H44)))</formula>
    </cfRule>
    <cfRule type="containsText" dxfId="1766" priority="21" operator="containsText" text="FAIL">
      <formula>NOT(ISERROR(SEARCH("FAIL",H44)))</formula>
    </cfRule>
  </conditionalFormatting>
  <conditionalFormatting sqref="H44">
    <cfRule type="cellIs" dxfId="1765" priority="19" operator="equal">
      <formula>"None"</formula>
    </cfRule>
  </conditionalFormatting>
  <conditionalFormatting sqref="D44">
    <cfRule type="containsText" dxfId="1764" priority="490" operator="containsText" text="PASS">
      <formula>NOT(ISERROR(SEARCH("PASS",D44)))</formula>
    </cfRule>
    <cfRule type="containsText" dxfId="1763" priority="491" operator="containsText" text="FAIL">
      <formula>NOT(ISERROR(SEARCH("FAIL",D44)))</formula>
    </cfRule>
  </conditionalFormatting>
  <conditionalFormatting sqref="C44:D44">
    <cfRule type="cellIs" dxfId="1762" priority="489" operator="equal">
      <formula>"None"</formula>
    </cfRule>
  </conditionalFormatting>
  <conditionalFormatting sqref="B12">
    <cfRule type="cellIs" dxfId="1761" priority="455" operator="equal">
      <formula>"None"</formula>
    </cfRule>
  </conditionalFormatting>
  <conditionalFormatting sqref="D11">
    <cfRule type="containsText" dxfId="1760" priority="498" operator="containsText" text="PASS">
      <formula>NOT(ISERROR(SEARCH("PASS",D11)))</formula>
    </cfRule>
    <cfRule type="containsText" dxfId="1759" priority="499" operator="containsText" text="FAIL">
      <formula>NOT(ISERROR(SEARCH("FAIL",D11)))</formula>
    </cfRule>
  </conditionalFormatting>
  <conditionalFormatting sqref="D45">
    <cfRule type="containsText" dxfId="1758" priority="445" operator="containsText" text="PASS">
      <formula>NOT(ISERROR(SEARCH("PASS",D45)))</formula>
    </cfRule>
    <cfRule type="containsText" dxfId="1757" priority="446" operator="containsText" text="FAIL">
      <formula>NOT(ISERROR(SEARCH("FAIL",D45)))</formula>
    </cfRule>
  </conditionalFormatting>
  <conditionalFormatting sqref="C45:D45">
    <cfRule type="cellIs" dxfId="1756" priority="444" operator="equal">
      <formula>"None"</formula>
    </cfRule>
  </conditionalFormatting>
  <conditionalFormatting sqref="H48">
    <cfRule type="containsText" dxfId="1755" priority="8" operator="containsText" text="PASS">
      <formula>NOT(ISERROR(SEARCH("PASS",H48)))</formula>
    </cfRule>
    <cfRule type="containsText" dxfId="1754" priority="9" operator="containsText" text="FAIL">
      <formula>NOT(ISERROR(SEARCH("FAIL",H48)))</formula>
    </cfRule>
  </conditionalFormatting>
  <conditionalFormatting sqref="H48">
    <cfRule type="cellIs" dxfId="1753" priority="7" operator="equal">
      <formula>"None"</formula>
    </cfRule>
  </conditionalFormatting>
  <conditionalFormatting sqref="J24">
    <cfRule type="containsText" dxfId="1752" priority="526" operator="containsText" text="PASS">
      <formula>NOT(ISERROR(SEARCH("PASS",J24)))</formula>
    </cfRule>
    <cfRule type="containsText" dxfId="1751" priority="527" operator="containsText" text="FAIL">
      <formula>NOT(ISERROR(SEARCH("FAIL",J24)))</formula>
    </cfRule>
  </conditionalFormatting>
  <conditionalFormatting sqref="J24">
    <cfRule type="cellIs" dxfId="1750" priority="525" operator="equal">
      <formula>"None"</formula>
    </cfRule>
  </conditionalFormatting>
  <conditionalFormatting sqref="K45">
    <cfRule type="containsText" dxfId="1749" priority="433" operator="containsText" text="PASS">
      <formula>NOT(ISERROR(SEARCH("PASS",K45)))</formula>
    </cfRule>
    <cfRule type="containsText" dxfId="1748" priority="434" operator="containsText" text="FAIL">
      <formula>NOT(ISERROR(SEARCH("FAIL",K45)))</formula>
    </cfRule>
  </conditionalFormatting>
  <conditionalFormatting sqref="J45:K45">
    <cfRule type="cellIs" dxfId="1747" priority="432" operator="equal">
      <formula>"None"</formula>
    </cfRule>
  </conditionalFormatting>
  <conditionalFormatting sqref="F11">
    <cfRule type="containsText" dxfId="1746" priority="520" operator="containsText" text="PASS">
      <formula>NOT(ISERROR(SEARCH("PASS",F11)))</formula>
    </cfRule>
    <cfRule type="containsText" dxfId="1745" priority="521" operator="containsText" text="FAIL">
      <formula>NOT(ISERROR(SEARCH("FAIL",F11)))</formula>
    </cfRule>
  </conditionalFormatting>
  <conditionalFormatting sqref="E11:F11">
    <cfRule type="cellIs" dxfId="1744" priority="519" operator="equal">
      <formula>"None"</formula>
    </cfRule>
  </conditionalFormatting>
  <conditionalFormatting sqref="F27">
    <cfRule type="containsText" dxfId="1743" priority="517" operator="containsText" text="PASS">
      <formula>NOT(ISERROR(SEARCH("PASS",F27)))</formula>
    </cfRule>
    <cfRule type="containsText" dxfId="1742" priority="518" operator="containsText" text="FAIL">
      <formula>NOT(ISERROR(SEARCH("FAIL",F27)))</formula>
    </cfRule>
  </conditionalFormatting>
  <conditionalFormatting sqref="E27:F27">
    <cfRule type="cellIs" dxfId="1741" priority="516" operator="equal">
      <formula>"None"</formula>
    </cfRule>
  </conditionalFormatting>
  <conditionalFormatting sqref="F44">
    <cfRule type="containsText" dxfId="1740" priority="514" operator="containsText" text="PASS">
      <formula>NOT(ISERROR(SEARCH("PASS",F44)))</formula>
    </cfRule>
    <cfRule type="containsText" dxfId="1739" priority="515" operator="containsText" text="FAIL">
      <formula>NOT(ISERROR(SEARCH("FAIL",F44)))</formula>
    </cfRule>
  </conditionalFormatting>
  <conditionalFormatting sqref="E44:F44">
    <cfRule type="cellIs" dxfId="1738" priority="513" operator="equal">
      <formula>"None"</formula>
    </cfRule>
  </conditionalFormatting>
  <conditionalFormatting sqref="M11">
    <cfRule type="containsText" dxfId="1737" priority="511" operator="containsText" text="PASS">
      <formula>NOT(ISERROR(SEARCH("PASS",M11)))</formula>
    </cfRule>
    <cfRule type="containsText" dxfId="1736" priority="512" operator="containsText" text="FAIL">
      <formula>NOT(ISERROR(SEARCH("FAIL",M11)))</formula>
    </cfRule>
  </conditionalFormatting>
  <conditionalFormatting sqref="L11:M11">
    <cfRule type="cellIs" dxfId="1735" priority="510" operator="equal">
      <formula>"None"</formula>
    </cfRule>
  </conditionalFormatting>
  <conditionalFormatting sqref="M27">
    <cfRule type="containsText" dxfId="1734" priority="508" operator="containsText" text="PASS">
      <formula>NOT(ISERROR(SEARCH("PASS",M27)))</formula>
    </cfRule>
    <cfRule type="containsText" dxfId="1733" priority="509" operator="containsText" text="FAIL">
      <formula>NOT(ISERROR(SEARCH("FAIL",M27)))</formula>
    </cfRule>
  </conditionalFormatting>
  <conditionalFormatting sqref="L27:M27">
    <cfRule type="cellIs" dxfId="1732" priority="507" operator="equal">
      <formula>"None"</formula>
    </cfRule>
  </conditionalFormatting>
  <conditionalFormatting sqref="M44">
    <cfRule type="containsText" dxfId="1731" priority="505" operator="containsText" text="PASS">
      <formula>NOT(ISERROR(SEARCH("PASS",M44)))</formula>
    </cfRule>
    <cfRule type="containsText" dxfId="1730" priority="506" operator="containsText" text="FAIL">
      <formula>NOT(ISERROR(SEARCH("FAIL",M44)))</formula>
    </cfRule>
  </conditionalFormatting>
  <conditionalFormatting sqref="L44:M44">
    <cfRule type="cellIs" dxfId="1729" priority="504" operator="equal">
      <formula>"None"</formula>
    </cfRule>
  </conditionalFormatting>
  <conditionalFormatting sqref="J46:K46">
    <cfRule type="cellIs" dxfId="1728" priority="387" operator="equal">
      <formula>"None"</formula>
    </cfRule>
  </conditionalFormatting>
  <conditionalFormatting sqref="C27:D27">
    <cfRule type="cellIs" dxfId="1727" priority="493" operator="equal">
      <formula>"None"</formula>
    </cfRule>
  </conditionalFormatting>
  <conditionalFormatting sqref="C11:D11">
    <cfRule type="cellIs" dxfId="1726" priority="497" operator="equal">
      <formula>"None"</formula>
    </cfRule>
  </conditionalFormatting>
  <conditionalFormatting sqref="A11">
    <cfRule type="containsText" dxfId="1725" priority="502" operator="containsText" text="PASS">
      <formula>NOT(ISERROR(SEARCH("PASS",A11)))</formula>
    </cfRule>
    <cfRule type="containsText" dxfId="1724" priority="503" operator="containsText" text="FAIL">
      <formula>NOT(ISERROR(SEARCH("FAIL",A11)))</formula>
    </cfRule>
  </conditionalFormatting>
  <conditionalFormatting sqref="A11">
    <cfRule type="cellIs" dxfId="1723" priority="501" operator="equal">
      <formula>"None"</formula>
    </cfRule>
  </conditionalFormatting>
  <conditionalFormatting sqref="B13">
    <cfRule type="cellIs" dxfId="1722" priority="410" operator="equal">
      <formula>"None"</formula>
    </cfRule>
  </conditionalFormatting>
  <conditionalFormatting sqref="D12">
    <cfRule type="containsText" dxfId="1721" priority="453" operator="containsText" text="PASS">
      <formula>NOT(ISERROR(SEARCH("PASS",D12)))</formula>
    </cfRule>
    <cfRule type="containsText" dxfId="1720" priority="454" operator="containsText" text="FAIL">
      <formula>NOT(ISERROR(SEARCH("FAIL",D12)))</formula>
    </cfRule>
  </conditionalFormatting>
  <conditionalFormatting sqref="I44">
    <cfRule type="cellIs" dxfId="1719" priority="480" operator="equal">
      <formula>"None"</formula>
    </cfRule>
  </conditionalFormatting>
  <conditionalFormatting sqref="D27">
    <cfRule type="containsText" dxfId="1718" priority="494" operator="containsText" text="PASS">
      <formula>NOT(ISERROR(SEARCH("PASS",D27)))</formula>
    </cfRule>
    <cfRule type="containsText" dxfId="1717" priority="495" operator="containsText" text="FAIL">
      <formula>NOT(ISERROR(SEARCH("FAIL",D27)))</formula>
    </cfRule>
  </conditionalFormatting>
  <conditionalFormatting sqref="B27">
    <cfRule type="cellIs" dxfId="1716" priority="496" operator="equal">
      <formula>"None"</formula>
    </cfRule>
  </conditionalFormatting>
  <conditionalFormatting sqref="C46:D46">
    <cfRule type="cellIs" dxfId="1715" priority="399" operator="equal">
      <formula>"None"</formula>
    </cfRule>
  </conditionalFormatting>
  <conditionalFormatting sqref="K46">
    <cfRule type="containsText" dxfId="1714" priority="388" operator="containsText" text="PASS">
      <formula>NOT(ISERROR(SEARCH("PASS",K46)))</formula>
    </cfRule>
    <cfRule type="containsText" dxfId="1713" priority="389" operator="containsText" text="FAIL">
      <formula>NOT(ISERROR(SEARCH("FAIL",K46)))</formula>
    </cfRule>
  </conditionalFormatting>
  <conditionalFormatting sqref="J11:K11">
    <cfRule type="cellIs" dxfId="1712" priority="485" operator="equal">
      <formula>"None"</formula>
    </cfRule>
  </conditionalFormatting>
  <conditionalFormatting sqref="B45">
    <cfRule type="cellIs" dxfId="1711" priority="447" operator="equal">
      <formula>"None"</formula>
    </cfRule>
  </conditionalFormatting>
  <conditionalFormatting sqref="D46">
    <cfRule type="containsText" dxfId="1710" priority="400" operator="containsText" text="PASS">
      <formula>NOT(ISERROR(SEARCH("PASS",D46)))</formula>
    </cfRule>
    <cfRule type="containsText" dxfId="1709" priority="401" operator="containsText" text="FAIL">
      <formula>NOT(ISERROR(SEARCH("FAIL",D46)))</formula>
    </cfRule>
  </conditionalFormatting>
  <conditionalFormatting sqref="J27:K27">
    <cfRule type="cellIs" dxfId="1708" priority="481" operator="equal">
      <formula>"None"</formula>
    </cfRule>
  </conditionalFormatting>
  <conditionalFormatting sqref="I11">
    <cfRule type="cellIs" dxfId="1707" priority="488" operator="equal">
      <formula>"None"</formula>
    </cfRule>
  </conditionalFormatting>
  <conditionalFormatting sqref="K11">
    <cfRule type="containsText" dxfId="1706" priority="486" operator="containsText" text="PASS">
      <formula>NOT(ISERROR(SEARCH("PASS",K11)))</formula>
    </cfRule>
    <cfRule type="containsText" dxfId="1705" priority="487" operator="containsText" text="FAIL">
      <formula>NOT(ISERROR(SEARCH("FAIL",K11)))</formula>
    </cfRule>
  </conditionalFormatting>
  <conditionalFormatting sqref="K27">
    <cfRule type="containsText" dxfId="1704" priority="482" operator="containsText" text="PASS">
      <formula>NOT(ISERROR(SEARCH("PASS",K27)))</formula>
    </cfRule>
    <cfRule type="containsText" dxfId="1703" priority="483" operator="containsText" text="FAIL">
      <formula>NOT(ISERROR(SEARCH("FAIL",K27)))</formula>
    </cfRule>
  </conditionalFormatting>
  <conditionalFormatting sqref="I27">
    <cfRule type="cellIs" dxfId="1702" priority="484" operator="equal">
      <formula>"None"</formula>
    </cfRule>
  </conditionalFormatting>
  <conditionalFormatting sqref="F12">
    <cfRule type="containsText" dxfId="1701" priority="475" operator="containsText" text="PASS">
      <formula>NOT(ISERROR(SEARCH("PASS",F12)))</formula>
    </cfRule>
    <cfRule type="containsText" dxfId="1700" priority="476" operator="containsText" text="FAIL">
      <formula>NOT(ISERROR(SEARCH("FAIL",F12)))</formula>
    </cfRule>
  </conditionalFormatting>
  <conditionalFormatting sqref="E12:F12">
    <cfRule type="cellIs" dxfId="1699" priority="474" operator="equal">
      <formula>"None"</formula>
    </cfRule>
  </conditionalFormatting>
  <conditionalFormatting sqref="F28">
    <cfRule type="containsText" dxfId="1698" priority="472" operator="containsText" text="PASS">
      <formula>NOT(ISERROR(SEARCH("PASS",F28)))</formula>
    </cfRule>
    <cfRule type="containsText" dxfId="1697" priority="473" operator="containsText" text="FAIL">
      <formula>NOT(ISERROR(SEARCH("FAIL",F28)))</formula>
    </cfRule>
  </conditionalFormatting>
  <conditionalFormatting sqref="E28:F28">
    <cfRule type="cellIs" dxfId="1696" priority="471" operator="equal">
      <formula>"None"</formula>
    </cfRule>
  </conditionalFormatting>
  <conditionalFormatting sqref="F45">
    <cfRule type="containsText" dxfId="1695" priority="469" operator="containsText" text="PASS">
      <formula>NOT(ISERROR(SEARCH("PASS",F45)))</formula>
    </cfRule>
    <cfRule type="containsText" dxfId="1694" priority="470" operator="containsText" text="FAIL">
      <formula>NOT(ISERROR(SEARCH("FAIL",F45)))</formula>
    </cfRule>
  </conditionalFormatting>
  <conditionalFormatting sqref="E45:F45">
    <cfRule type="cellIs" dxfId="1693" priority="468" operator="equal">
      <formula>"None"</formula>
    </cfRule>
  </conditionalFormatting>
  <conditionalFormatting sqref="M12">
    <cfRule type="containsText" dxfId="1692" priority="466" operator="containsText" text="PASS">
      <formula>NOT(ISERROR(SEARCH("PASS",M12)))</formula>
    </cfRule>
    <cfRule type="containsText" dxfId="1691" priority="467" operator="containsText" text="FAIL">
      <formula>NOT(ISERROR(SEARCH("FAIL",M12)))</formula>
    </cfRule>
  </conditionalFormatting>
  <conditionalFormatting sqref="L12:M12">
    <cfRule type="cellIs" dxfId="1690" priority="465" operator="equal">
      <formula>"None"</formula>
    </cfRule>
  </conditionalFormatting>
  <conditionalFormatting sqref="M28">
    <cfRule type="containsText" dxfId="1689" priority="463" operator="containsText" text="PASS">
      <formula>NOT(ISERROR(SEARCH("PASS",M28)))</formula>
    </cfRule>
    <cfRule type="containsText" dxfId="1688" priority="464" operator="containsText" text="FAIL">
      <formula>NOT(ISERROR(SEARCH("FAIL",M28)))</formula>
    </cfRule>
  </conditionalFormatting>
  <conditionalFormatting sqref="L28:M28">
    <cfRule type="cellIs" dxfId="1687" priority="462" operator="equal">
      <formula>"None"</formula>
    </cfRule>
  </conditionalFormatting>
  <conditionalFormatting sqref="M45">
    <cfRule type="containsText" dxfId="1686" priority="460" operator="containsText" text="PASS">
      <formula>NOT(ISERROR(SEARCH("PASS",M45)))</formula>
    </cfRule>
    <cfRule type="containsText" dxfId="1685" priority="461" operator="containsText" text="FAIL">
      <formula>NOT(ISERROR(SEARCH("FAIL",M45)))</formula>
    </cfRule>
  </conditionalFormatting>
  <conditionalFormatting sqref="L45:M45">
    <cfRule type="cellIs" dxfId="1684" priority="459" operator="equal">
      <formula>"None"</formula>
    </cfRule>
  </conditionalFormatting>
  <conditionalFormatting sqref="J47:K47">
    <cfRule type="cellIs" dxfId="1683" priority="342" operator="equal">
      <formula>"None"</formula>
    </cfRule>
  </conditionalFormatting>
  <conditionalFormatting sqref="C28:D28">
    <cfRule type="cellIs" dxfId="1682" priority="448" operator="equal">
      <formula>"None"</formula>
    </cfRule>
  </conditionalFormatting>
  <conditionalFormatting sqref="C12:D12">
    <cfRule type="cellIs" dxfId="1681" priority="452" operator="equal">
      <formula>"None"</formula>
    </cfRule>
  </conditionalFormatting>
  <conditionalFormatting sqref="A12">
    <cfRule type="containsText" dxfId="1680" priority="457" operator="containsText" text="PASS">
      <formula>NOT(ISERROR(SEARCH("PASS",A12)))</formula>
    </cfRule>
    <cfRule type="containsText" dxfId="1679" priority="458" operator="containsText" text="FAIL">
      <formula>NOT(ISERROR(SEARCH("FAIL",A12)))</formula>
    </cfRule>
  </conditionalFormatting>
  <conditionalFormatting sqref="A12">
    <cfRule type="cellIs" dxfId="1678" priority="456" operator="equal">
      <formula>"None"</formula>
    </cfRule>
  </conditionalFormatting>
  <conditionalFormatting sqref="B14">
    <cfRule type="cellIs" dxfId="1677" priority="365" operator="equal">
      <formula>"None"</formula>
    </cfRule>
  </conditionalFormatting>
  <conditionalFormatting sqref="D13">
    <cfRule type="containsText" dxfId="1676" priority="408" operator="containsText" text="PASS">
      <formula>NOT(ISERROR(SEARCH("PASS",D13)))</formula>
    </cfRule>
    <cfRule type="containsText" dxfId="1675" priority="409" operator="containsText" text="FAIL">
      <formula>NOT(ISERROR(SEARCH("FAIL",D13)))</formula>
    </cfRule>
  </conditionalFormatting>
  <conditionalFormatting sqref="I45">
    <cfRule type="cellIs" dxfId="1674" priority="435" operator="equal">
      <formula>"None"</formula>
    </cfRule>
  </conditionalFormatting>
  <conditionalFormatting sqref="D28">
    <cfRule type="containsText" dxfId="1673" priority="449" operator="containsText" text="PASS">
      <formula>NOT(ISERROR(SEARCH("PASS",D28)))</formula>
    </cfRule>
    <cfRule type="containsText" dxfId="1672" priority="450" operator="containsText" text="FAIL">
      <formula>NOT(ISERROR(SEARCH("FAIL",D28)))</formula>
    </cfRule>
  </conditionalFormatting>
  <conditionalFormatting sqref="B28">
    <cfRule type="cellIs" dxfId="1671" priority="451" operator="equal">
      <formula>"None"</formula>
    </cfRule>
  </conditionalFormatting>
  <conditionalFormatting sqref="C47:D47">
    <cfRule type="cellIs" dxfId="1670" priority="354" operator="equal">
      <formula>"None"</formula>
    </cfRule>
  </conditionalFormatting>
  <conditionalFormatting sqref="K47">
    <cfRule type="containsText" dxfId="1669" priority="343" operator="containsText" text="PASS">
      <formula>NOT(ISERROR(SEARCH("PASS",K47)))</formula>
    </cfRule>
    <cfRule type="containsText" dxfId="1668" priority="344" operator="containsText" text="FAIL">
      <formula>NOT(ISERROR(SEARCH("FAIL",K47)))</formula>
    </cfRule>
  </conditionalFormatting>
  <conditionalFormatting sqref="J12:K12">
    <cfRule type="cellIs" dxfId="1667" priority="440" operator="equal">
      <formula>"None"</formula>
    </cfRule>
  </conditionalFormatting>
  <conditionalFormatting sqref="B46">
    <cfRule type="cellIs" dxfId="1666" priority="402" operator="equal">
      <formula>"None"</formula>
    </cfRule>
  </conditionalFormatting>
  <conditionalFormatting sqref="D47">
    <cfRule type="containsText" dxfId="1665" priority="355" operator="containsText" text="PASS">
      <formula>NOT(ISERROR(SEARCH("PASS",D47)))</formula>
    </cfRule>
    <cfRule type="containsText" dxfId="1664" priority="356" operator="containsText" text="FAIL">
      <formula>NOT(ISERROR(SEARCH("FAIL",D47)))</formula>
    </cfRule>
  </conditionalFormatting>
  <conditionalFormatting sqref="J28:K28">
    <cfRule type="cellIs" dxfId="1663" priority="436" operator="equal">
      <formula>"None"</formula>
    </cfRule>
  </conditionalFormatting>
  <conditionalFormatting sqref="I12">
    <cfRule type="cellIs" dxfId="1662" priority="443" operator="equal">
      <formula>"None"</formula>
    </cfRule>
  </conditionalFormatting>
  <conditionalFormatting sqref="K12">
    <cfRule type="containsText" dxfId="1661" priority="441" operator="containsText" text="PASS">
      <formula>NOT(ISERROR(SEARCH("PASS",K12)))</formula>
    </cfRule>
    <cfRule type="containsText" dxfId="1660" priority="442" operator="containsText" text="FAIL">
      <formula>NOT(ISERROR(SEARCH("FAIL",K12)))</formula>
    </cfRule>
  </conditionalFormatting>
  <conditionalFormatting sqref="K28">
    <cfRule type="containsText" dxfId="1659" priority="437" operator="containsText" text="PASS">
      <formula>NOT(ISERROR(SEARCH("PASS",K28)))</formula>
    </cfRule>
    <cfRule type="containsText" dxfId="1658" priority="438" operator="containsText" text="FAIL">
      <formula>NOT(ISERROR(SEARCH("FAIL",K28)))</formula>
    </cfRule>
  </conditionalFormatting>
  <conditionalFormatting sqref="I28">
    <cfRule type="cellIs" dxfId="1657" priority="439" operator="equal">
      <formula>"None"</formula>
    </cfRule>
  </conditionalFormatting>
  <conditionalFormatting sqref="F13">
    <cfRule type="containsText" dxfId="1656" priority="430" operator="containsText" text="PASS">
      <formula>NOT(ISERROR(SEARCH("PASS",F13)))</formula>
    </cfRule>
    <cfRule type="containsText" dxfId="1655" priority="431" operator="containsText" text="FAIL">
      <formula>NOT(ISERROR(SEARCH("FAIL",F13)))</formula>
    </cfRule>
  </conditionalFormatting>
  <conditionalFormatting sqref="E13:F13">
    <cfRule type="cellIs" dxfId="1654" priority="429" operator="equal">
      <formula>"None"</formula>
    </cfRule>
  </conditionalFormatting>
  <conditionalFormatting sqref="F29">
    <cfRule type="containsText" dxfId="1653" priority="427" operator="containsText" text="PASS">
      <formula>NOT(ISERROR(SEARCH("PASS",F29)))</formula>
    </cfRule>
    <cfRule type="containsText" dxfId="1652" priority="428" operator="containsText" text="FAIL">
      <formula>NOT(ISERROR(SEARCH("FAIL",F29)))</formula>
    </cfRule>
  </conditionalFormatting>
  <conditionalFormatting sqref="E29:F29">
    <cfRule type="cellIs" dxfId="1651" priority="426" operator="equal">
      <formula>"None"</formula>
    </cfRule>
  </conditionalFormatting>
  <conditionalFormatting sqref="F46">
    <cfRule type="containsText" dxfId="1650" priority="424" operator="containsText" text="PASS">
      <formula>NOT(ISERROR(SEARCH("PASS",F46)))</formula>
    </cfRule>
    <cfRule type="containsText" dxfId="1649" priority="425" operator="containsText" text="FAIL">
      <formula>NOT(ISERROR(SEARCH("FAIL",F46)))</formula>
    </cfRule>
  </conditionalFormatting>
  <conditionalFormatting sqref="E46:F46">
    <cfRule type="cellIs" dxfId="1648" priority="423" operator="equal">
      <formula>"None"</formula>
    </cfRule>
  </conditionalFormatting>
  <conditionalFormatting sqref="M13">
    <cfRule type="containsText" dxfId="1647" priority="421" operator="containsText" text="PASS">
      <formula>NOT(ISERROR(SEARCH("PASS",M13)))</formula>
    </cfRule>
    <cfRule type="containsText" dxfId="1646" priority="422" operator="containsText" text="FAIL">
      <formula>NOT(ISERROR(SEARCH("FAIL",M13)))</formula>
    </cfRule>
  </conditionalFormatting>
  <conditionalFormatting sqref="L13:M13">
    <cfRule type="cellIs" dxfId="1645" priority="420" operator="equal">
      <formula>"None"</formula>
    </cfRule>
  </conditionalFormatting>
  <conditionalFormatting sqref="M29">
    <cfRule type="containsText" dxfId="1644" priority="418" operator="containsText" text="PASS">
      <formula>NOT(ISERROR(SEARCH("PASS",M29)))</formula>
    </cfRule>
    <cfRule type="containsText" dxfId="1643" priority="419" operator="containsText" text="FAIL">
      <formula>NOT(ISERROR(SEARCH("FAIL",M29)))</formula>
    </cfRule>
  </conditionalFormatting>
  <conditionalFormatting sqref="L29:M29">
    <cfRule type="cellIs" dxfId="1642" priority="417" operator="equal">
      <formula>"None"</formula>
    </cfRule>
  </conditionalFormatting>
  <conditionalFormatting sqref="M46">
    <cfRule type="containsText" dxfId="1641" priority="415" operator="containsText" text="PASS">
      <formula>NOT(ISERROR(SEARCH("PASS",M46)))</formula>
    </cfRule>
    <cfRule type="containsText" dxfId="1640" priority="416" operator="containsText" text="FAIL">
      <formula>NOT(ISERROR(SEARCH("FAIL",M46)))</formula>
    </cfRule>
  </conditionalFormatting>
  <conditionalFormatting sqref="L46:M46">
    <cfRule type="cellIs" dxfId="1639" priority="414" operator="equal">
      <formula>"None"</formula>
    </cfRule>
  </conditionalFormatting>
  <conditionalFormatting sqref="J48:K48">
    <cfRule type="cellIs" dxfId="1638" priority="297" operator="equal">
      <formula>"None"</formula>
    </cfRule>
  </conditionalFormatting>
  <conditionalFormatting sqref="C29:D29">
    <cfRule type="cellIs" dxfId="1637" priority="403" operator="equal">
      <formula>"None"</formula>
    </cfRule>
  </conditionalFormatting>
  <conditionalFormatting sqref="C13:D13">
    <cfRule type="cellIs" dxfId="1636" priority="407" operator="equal">
      <formula>"None"</formula>
    </cfRule>
  </conditionalFormatting>
  <conditionalFormatting sqref="A13">
    <cfRule type="containsText" dxfId="1635" priority="412" operator="containsText" text="PASS">
      <formula>NOT(ISERROR(SEARCH("PASS",A13)))</formula>
    </cfRule>
    <cfRule type="containsText" dxfId="1634" priority="413" operator="containsText" text="FAIL">
      <formula>NOT(ISERROR(SEARCH("FAIL",A13)))</formula>
    </cfRule>
  </conditionalFormatting>
  <conditionalFormatting sqref="A13">
    <cfRule type="cellIs" dxfId="1633" priority="411" operator="equal">
      <formula>"None"</formula>
    </cfRule>
  </conditionalFormatting>
  <conditionalFormatting sqref="B15">
    <cfRule type="cellIs" dxfId="1632" priority="320" operator="equal">
      <formula>"None"</formula>
    </cfRule>
  </conditionalFormatting>
  <conditionalFormatting sqref="D14">
    <cfRule type="containsText" dxfId="1631" priority="363" operator="containsText" text="PASS">
      <formula>NOT(ISERROR(SEARCH("PASS",D14)))</formula>
    </cfRule>
    <cfRule type="containsText" dxfId="1630" priority="364" operator="containsText" text="FAIL">
      <formula>NOT(ISERROR(SEARCH("FAIL",D14)))</formula>
    </cfRule>
  </conditionalFormatting>
  <conditionalFormatting sqref="I46">
    <cfRule type="cellIs" dxfId="1629" priority="390" operator="equal">
      <formula>"None"</formula>
    </cfRule>
  </conditionalFormatting>
  <conditionalFormatting sqref="D29">
    <cfRule type="containsText" dxfId="1628" priority="404" operator="containsText" text="PASS">
      <formula>NOT(ISERROR(SEARCH("PASS",D29)))</formula>
    </cfRule>
    <cfRule type="containsText" dxfId="1627" priority="405" operator="containsText" text="FAIL">
      <formula>NOT(ISERROR(SEARCH("FAIL",D29)))</formula>
    </cfRule>
  </conditionalFormatting>
  <conditionalFormatting sqref="B29">
    <cfRule type="cellIs" dxfId="1626" priority="406" operator="equal">
      <formula>"None"</formula>
    </cfRule>
  </conditionalFormatting>
  <conditionalFormatting sqref="C48:D48">
    <cfRule type="cellIs" dxfId="1625" priority="309" operator="equal">
      <formula>"None"</formula>
    </cfRule>
  </conditionalFormatting>
  <conditionalFormatting sqref="K48">
    <cfRule type="containsText" dxfId="1624" priority="298" operator="containsText" text="PASS">
      <formula>NOT(ISERROR(SEARCH("PASS",K48)))</formula>
    </cfRule>
    <cfRule type="containsText" dxfId="1623" priority="299" operator="containsText" text="FAIL">
      <formula>NOT(ISERROR(SEARCH("FAIL",K48)))</formula>
    </cfRule>
  </conditionalFormatting>
  <conditionalFormatting sqref="J13:K13">
    <cfRule type="cellIs" dxfId="1622" priority="395" operator="equal">
      <formula>"None"</formula>
    </cfRule>
  </conditionalFormatting>
  <conditionalFormatting sqref="B47">
    <cfRule type="cellIs" dxfId="1621" priority="357" operator="equal">
      <formula>"None"</formula>
    </cfRule>
  </conditionalFormatting>
  <conditionalFormatting sqref="D48">
    <cfRule type="containsText" dxfId="1620" priority="310" operator="containsText" text="PASS">
      <formula>NOT(ISERROR(SEARCH("PASS",D48)))</formula>
    </cfRule>
    <cfRule type="containsText" dxfId="1619" priority="311" operator="containsText" text="FAIL">
      <formula>NOT(ISERROR(SEARCH("FAIL",D48)))</formula>
    </cfRule>
  </conditionalFormatting>
  <conditionalFormatting sqref="J29:K29">
    <cfRule type="cellIs" dxfId="1618" priority="391" operator="equal">
      <formula>"None"</formula>
    </cfRule>
  </conditionalFormatting>
  <conditionalFormatting sqref="I13">
    <cfRule type="cellIs" dxfId="1617" priority="398" operator="equal">
      <formula>"None"</formula>
    </cfRule>
  </conditionalFormatting>
  <conditionalFormatting sqref="K13">
    <cfRule type="containsText" dxfId="1616" priority="396" operator="containsText" text="PASS">
      <formula>NOT(ISERROR(SEARCH("PASS",K13)))</formula>
    </cfRule>
    <cfRule type="containsText" dxfId="1615" priority="397" operator="containsText" text="FAIL">
      <formula>NOT(ISERROR(SEARCH("FAIL",K13)))</formula>
    </cfRule>
  </conditionalFormatting>
  <conditionalFormatting sqref="K29">
    <cfRule type="containsText" dxfId="1614" priority="392" operator="containsText" text="PASS">
      <formula>NOT(ISERROR(SEARCH("PASS",K29)))</formula>
    </cfRule>
    <cfRule type="containsText" dxfId="1613" priority="393" operator="containsText" text="FAIL">
      <formula>NOT(ISERROR(SEARCH("FAIL",K29)))</formula>
    </cfRule>
  </conditionalFormatting>
  <conditionalFormatting sqref="I29">
    <cfRule type="cellIs" dxfId="1612" priority="394" operator="equal">
      <formula>"None"</formula>
    </cfRule>
  </conditionalFormatting>
  <conditionalFormatting sqref="F14">
    <cfRule type="containsText" dxfId="1611" priority="385" operator="containsText" text="PASS">
      <formula>NOT(ISERROR(SEARCH("PASS",F14)))</formula>
    </cfRule>
    <cfRule type="containsText" dxfId="1610" priority="386" operator="containsText" text="FAIL">
      <formula>NOT(ISERROR(SEARCH("FAIL",F14)))</formula>
    </cfRule>
  </conditionalFormatting>
  <conditionalFormatting sqref="E14:F14">
    <cfRule type="cellIs" dxfId="1609" priority="384" operator="equal">
      <formula>"None"</formula>
    </cfRule>
  </conditionalFormatting>
  <conditionalFormatting sqref="F30">
    <cfRule type="containsText" dxfId="1608" priority="382" operator="containsText" text="PASS">
      <formula>NOT(ISERROR(SEARCH("PASS",F30)))</formula>
    </cfRule>
    <cfRule type="containsText" dxfId="1607" priority="383" operator="containsText" text="FAIL">
      <formula>NOT(ISERROR(SEARCH("FAIL",F30)))</formula>
    </cfRule>
  </conditionalFormatting>
  <conditionalFormatting sqref="E30:F30">
    <cfRule type="cellIs" dxfId="1606" priority="381" operator="equal">
      <formula>"None"</formula>
    </cfRule>
  </conditionalFormatting>
  <conditionalFormatting sqref="F47">
    <cfRule type="containsText" dxfId="1605" priority="379" operator="containsText" text="PASS">
      <formula>NOT(ISERROR(SEARCH("PASS",F47)))</formula>
    </cfRule>
    <cfRule type="containsText" dxfId="1604" priority="380" operator="containsText" text="FAIL">
      <formula>NOT(ISERROR(SEARCH("FAIL",F47)))</formula>
    </cfRule>
  </conditionalFormatting>
  <conditionalFormatting sqref="E47:F47">
    <cfRule type="cellIs" dxfId="1603" priority="378" operator="equal">
      <formula>"None"</formula>
    </cfRule>
  </conditionalFormatting>
  <conditionalFormatting sqref="M14">
    <cfRule type="containsText" dxfId="1602" priority="376" operator="containsText" text="PASS">
      <formula>NOT(ISERROR(SEARCH("PASS",M14)))</formula>
    </cfRule>
    <cfRule type="containsText" dxfId="1601" priority="377" operator="containsText" text="FAIL">
      <formula>NOT(ISERROR(SEARCH("FAIL",M14)))</formula>
    </cfRule>
  </conditionalFormatting>
  <conditionalFormatting sqref="L14:M14">
    <cfRule type="cellIs" dxfId="1600" priority="375" operator="equal">
      <formula>"None"</formula>
    </cfRule>
  </conditionalFormatting>
  <conditionalFormatting sqref="M30">
    <cfRule type="containsText" dxfId="1599" priority="373" operator="containsText" text="PASS">
      <formula>NOT(ISERROR(SEARCH("PASS",M30)))</formula>
    </cfRule>
    <cfRule type="containsText" dxfId="1598" priority="374" operator="containsText" text="FAIL">
      <formula>NOT(ISERROR(SEARCH("FAIL",M30)))</formula>
    </cfRule>
  </conditionalFormatting>
  <conditionalFormatting sqref="L30:M30">
    <cfRule type="cellIs" dxfId="1597" priority="372" operator="equal">
      <formula>"None"</formula>
    </cfRule>
  </conditionalFormatting>
  <conditionalFormatting sqref="M47">
    <cfRule type="containsText" dxfId="1596" priority="370" operator="containsText" text="PASS">
      <formula>NOT(ISERROR(SEARCH("PASS",M47)))</formula>
    </cfRule>
    <cfRule type="containsText" dxfId="1595" priority="371" operator="containsText" text="FAIL">
      <formula>NOT(ISERROR(SEARCH("FAIL",M47)))</formula>
    </cfRule>
  </conditionalFormatting>
  <conditionalFormatting sqref="L47:M47">
    <cfRule type="cellIs" dxfId="1594" priority="369" operator="equal">
      <formula>"None"</formula>
    </cfRule>
  </conditionalFormatting>
  <conditionalFormatting sqref="J49:K49">
    <cfRule type="cellIs" dxfId="1593" priority="252" operator="equal">
      <formula>"None"</formula>
    </cfRule>
  </conditionalFormatting>
  <conditionalFormatting sqref="C30:D30">
    <cfRule type="cellIs" dxfId="1592" priority="358" operator="equal">
      <formula>"None"</formula>
    </cfRule>
  </conditionalFormatting>
  <conditionalFormatting sqref="C14:D14">
    <cfRule type="cellIs" dxfId="1591" priority="362" operator="equal">
      <formula>"None"</formula>
    </cfRule>
  </conditionalFormatting>
  <conditionalFormatting sqref="A14">
    <cfRule type="containsText" dxfId="1590" priority="367" operator="containsText" text="PASS">
      <formula>NOT(ISERROR(SEARCH("PASS",A14)))</formula>
    </cfRule>
    <cfRule type="containsText" dxfId="1589" priority="368" operator="containsText" text="FAIL">
      <formula>NOT(ISERROR(SEARCH("FAIL",A14)))</formula>
    </cfRule>
  </conditionalFormatting>
  <conditionalFormatting sqref="A14">
    <cfRule type="cellIs" dxfId="1588" priority="366" operator="equal">
      <formula>"None"</formula>
    </cfRule>
  </conditionalFormatting>
  <conditionalFormatting sqref="B16">
    <cfRule type="cellIs" dxfId="1587" priority="275" operator="equal">
      <formula>"None"</formula>
    </cfRule>
  </conditionalFormatting>
  <conditionalFormatting sqref="D15">
    <cfRule type="containsText" dxfId="1586" priority="318" operator="containsText" text="PASS">
      <formula>NOT(ISERROR(SEARCH("PASS",D15)))</formula>
    </cfRule>
    <cfRule type="containsText" dxfId="1585" priority="319" operator="containsText" text="FAIL">
      <formula>NOT(ISERROR(SEARCH("FAIL",D15)))</formula>
    </cfRule>
  </conditionalFormatting>
  <conditionalFormatting sqref="I47">
    <cfRule type="cellIs" dxfId="1584" priority="345" operator="equal">
      <formula>"None"</formula>
    </cfRule>
  </conditionalFormatting>
  <conditionalFormatting sqref="D30">
    <cfRule type="containsText" dxfId="1583" priority="359" operator="containsText" text="PASS">
      <formula>NOT(ISERROR(SEARCH("PASS",D30)))</formula>
    </cfRule>
    <cfRule type="containsText" dxfId="1582" priority="360" operator="containsText" text="FAIL">
      <formula>NOT(ISERROR(SEARCH("FAIL",D30)))</formula>
    </cfRule>
  </conditionalFormatting>
  <conditionalFormatting sqref="B30">
    <cfRule type="cellIs" dxfId="1581" priority="361" operator="equal">
      <formula>"None"</formula>
    </cfRule>
  </conditionalFormatting>
  <conditionalFormatting sqref="C49:D49">
    <cfRule type="cellIs" dxfId="1580" priority="264" operator="equal">
      <formula>"None"</formula>
    </cfRule>
  </conditionalFormatting>
  <conditionalFormatting sqref="K49">
    <cfRule type="containsText" dxfId="1579" priority="253" operator="containsText" text="PASS">
      <formula>NOT(ISERROR(SEARCH("PASS",K49)))</formula>
    </cfRule>
    <cfRule type="containsText" dxfId="1578" priority="254" operator="containsText" text="FAIL">
      <formula>NOT(ISERROR(SEARCH("FAIL",K49)))</formula>
    </cfRule>
  </conditionalFormatting>
  <conditionalFormatting sqref="J14:K14">
    <cfRule type="cellIs" dxfId="1577" priority="350" operator="equal">
      <formula>"None"</formula>
    </cfRule>
  </conditionalFormatting>
  <conditionalFormatting sqref="B48">
    <cfRule type="cellIs" dxfId="1576" priority="312" operator="equal">
      <formula>"None"</formula>
    </cfRule>
  </conditionalFormatting>
  <conditionalFormatting sqref="D49">
    <cfRule type="containsText" dxfId="1575" priority="265" operator="containsText" text="PASS">
      <formula>NOT(ISERROR(SEARCH("PASS",D49)))</formula>
    </cfRule>
    <cfRule type="containsText" dxfId="1574" priority="266" operator="containsText" text="FAIL">
      <formula>NOT(ISERROR(SEARCH("FAIL",D49)))</formula>
    </cfRule>
  </conditionalFormatting>
  <conditionalFormatting sqref="J30:K30">
    <cfRule type="cellIs" dxfId="1573" priority="346" operator="equal">
      <formula>"None"</formula>
    </cfRule>
  </conditionalFormatting>
  <conditionalFormatting sqref="I14">
    <cfRule type="cellIs" dxfId="1572" priority="353" operator="equal">
      <formula>"None"</formula>
    </cfRule>
  </conditionalFormatting>
  <conditionalFormatting sqref="K14">
    <cfRule type="containsText" dxfId="1571" priority="351" operator="containsText" text="PASS">
      <formula>NOT(ISERROR(SEARCH("PASS",K14)))</formula>
    </cfRule>
    <cfRule type="containsText" dxfId="1570" priority="352" operator="containsText" text="FAIL">
      <formula>NOT(ISERROR(SEARCH("FAIL",K14)))</formula>
    </cfRule>
  </conditionalFormatting>
  <conditionalFormatting sqref="K30">
    <cfRule type="containsText" dxfId="1569" priority="347" operator="containsText" text="PASS">
      <formula>NOT(ISERROR(SEARCH("PASS",K30)))</formula>
    </cfRule>
    <cfRule type="containsText" dxfId="1568" priority="348" operator="containsText" text="FAIL">
      <formula>NOT(ISERROR(SEARCH("FAIL",K30)))</formula>
    </cfRule>
  </conditionalFormatting>
  <conditionalFormatting sqref="I30">
    <cfRule type="cellIs" dxfId="1567" priority="349" operator="equal">
      <formula>"None"</formula>
    </cfRule>
  </conditionalFormatting>
  <conditionalFormatting sqref="F15">
    <cfRule type="containsText" dxfId="1566" priority="340" operator="containsText" text="PASS">
      <formula>NOT(ISERROR(SEARCH("PASS",F15)))</formula>
    </cfRule>
    <cfRule type="containsText" dxfId="1565" priority="341" operator="containsText" text="FAIL">
      <formula>NOT(ISERROR(SEARCH("FAIL",F15)))</formula>
    </cfRule>
  </conditionalFormatting>
  <conditionalFormatting sqref="E15:F15">
    <cfRule type="cellIs" dxfId="1564" priority="339" operator="equal">
      <formula>"None"</formula>
    </cfRule>
  </conditionalFormatting>
  <conditionalFormatting sqref="F31">
    <cfRule type="containsText" dxfId="1563" priority="337" operator="containsText" text="PASS">
      <formula>NOT(ISERROR(SEARCH("PASS",F31)))</formula>
    </cfRule>
    <cfRule type="containsText" dxfId="1562" priority="338" operator="containsText" text="FAIL">
      <formula>NOT(ISERROR(SEARCH("FAIL",F31)))</formula>
    </cfRule>
  </conditionalFormatting>
  <conditionalFormatting sqref="E31:F31">
    <cfRule type="cellIs" dxfId="1561" priority="336" operator="equal">
      <formula>"None"</formula>
    </cfRule>
  </conditionalFormatting>
  <conditionalFormatting sqref="F48">
    <cfRule type="containsText" dxfId="1560" priority="334" operator="containsText" text="PASS">
      <formula>NOT(ISERROR(SEARCH("PASS",F48)))</formula>
    </cfRule>
    <cfRule type="containsText" dxfId="1559" priority="335" operator="containsText" text="FAIL">
      <formula>NOT(ISERROR(SEARCH("FAIL",F48)))</formula>
    </cfRule>
  </conditionalFormatting>
  <conditionalFormatting sqref="E48:F48">
    <cfRule type="cellIs" dxfId="1558" priority="333" operator="equal">
      <formula>"None"</formula>
    </cfRule>
  </conditionalFormatting>
  <conditionalFormatting sqref="M15">
    <cfRule type="containsText" dxfId="1557" priority="331" operator="containsText" text="PASS">
      <formula>NOT(ISERROR(SEARCH("PASS",M15)))</formula>
    </cfRule>
    <cfRule type="containsText" dxfId="1556" priority="332" operator="containsText" text="FAIL">
      <formula>NOT(ISERROR(SEARCH("FAIL",M15)))</formula>
    </cfRule>
  </conditionalFormatting>
  <conditionalFormatting sqref="L15:M15">
    <cfRule type="cellIs" dxfId="1555" priority="330" operator="equal">
      <formula>"None"</formula>
    </cfRule>
  </conditionalFormatting>
  <conditionalFormatting sqref="M31">
    <cfRule type="containsText" dxfId="1554" priority="328" operator="containsText" text="PASS">
      <formula>NOT(ISERROR(SEARCH("PASS",M31)))</formula>
    </cfRule>
    <cfRule type="containsText" dxfId="1553" priority="329" operator="containsText" text="FAIL">
      <formula>NOT(ISERROR(SEARCH("FAIL",M31)))</formula>
    </cfRule>
  </conditionalFormatting>
  <conditionalFormatting sqref="L31:M31">
    <cfRule type="cellIs" dxfId="1552" priority="327" operator="equal">
      <formula>"None"</formula>
    </cfRule>
  </conditionalFormatting>
  <conditionalFormatting sqref="M48">
    <cfRule type="containsText" dxfId="1551" priority="325" operator="containsText" text="PASS">
      <formula>NOT(ISERROR(SEARCH("PASS",M48)))</formula>
    </cfRule>
    <cfRule type="containsText" dxfId="1550" priority="326" operator="containsText" text="FAIL">
      <formula>NOT(ISERROR(SEARCH("FAIL",M48)))</formula>
    </cfRule>
  </conditionalFormatting>
  <conditionalFormatting sqref="L48:M48">
    <cfRule type="cellIs" dxfId="1549" priority="324" operator="equal">
      <formula>"None"</formula>
    </cfRule>
  </conditionalFormatting>
  <conditionalFormatting sqref="H24:H26">
    <cfRule type="cellIs" dxfId="1548" priority="46" operator="equal">
      <formula>"None"</formula>
    </cfRule>
  </conditionalFormatting>
  <conditionalFormatting sqref="C31:D31">
    <cfRule type="cellIs" dxfId="1547" priority="313" operator="equal">
      <formula>"None"</formula>
    </cfRule>
  </conditionalFormatting>
  <conditionalFormatting sqref="C15:D15">
    <cfRule type="cellIs" dxfId="1546" priority="317" operator="equal">
      <formula>"None"</formula>
    </cfRule>
  </conditionalFormatting>
  <conditionalFormatting sqref="A15">
    <cfRule type="containsText" dxfId="1545" priority="322" operator="containsText" text="PASS">
      <formula>NOT(ISERROR(SEARCH("PASS",A15)))</formula>
    </cfRule>
    <cfRule type="containsText" dxfId="1544" priority="323" operator="containsText" text="FAIL">
      <formula>NOT(ISERROR(SEARCH("FAIL",A15)))</formula>
    </cfRule>
  </conditionalFormatting>
  <conditionalFormatting sqref="A15">
    <cfRule type="cellIs" dxfId="1543" priority="321" operator="equal">
      <formula>"None"</formula>
    </cfRule>
  </conditionalFormatting>
  <conditionalFormatting sqref="B17">
    <cfRule type="cellIs" dxfId="1542" priority="230" operator="equal">
      <formula>"None"</formula>
    </cfRule>
  </conditionalFormatting>
  <conditionalFormatting sqref="D16">
    <cfRule type="containsText" dxfId="1541" priority="273" operator="containsText" text="PASS">
      <formula>NOT(ISERROR(SEARCH("PASS",D16)))</formula>
    </cfRule>
    <cfRule type="containsText" dxfId="1540" priority="274" operator="containsText" text="FAIL">
      <formula>NOT(ISERROR(SEARCH("FAIL",D16)))</formula>
    </cfRule>
  </conditionalFormatting>
  <conditionalFormatting sqref="I48">
    <cfRule type="cellIs" dxfId="1539" priority="300" operator="equal">
      <formula>"None"</formula>
    </cfRule>
  </conditionalFormatting>
  <conditionalFormatting sqref="D31">
    <cfRule type="containsText" dxfId="1538" priority="314" operator="containsText" text="PASS">
      <formula>NOT(ISERROR(SEARCH("PASS",D31)))</formula>
    </cfRule>
    <cfRule type="containsText" dxfId="1537" priority="315" operator="containsText" text="FAIL">
      <formula>NOT(ISERROR(SEARCH("FAIL",D31)))</formula>
    </cfRule>
  </conditionalFormatting>
  <conditionalFormatting sqref="B31">
    <cfRule type="cellIs" dxfId="1536" priority="316" operator="equal">
      <formula>"None"</formula>
    </cfRule>
  </conditionalFormatting>
  <conditionalFormatting sqref="C50:D50">
    <cfRule type="cellIs" dxfId="1535" priority="219" operator="equal">
      <formula>"None"</formula>
    </cfRule>
  </conditionalFormatting>
  <conditionalFormatting sqref="H24:H26">
    <cfRule type="containsText" dxfId="1534" priority="47" operator="containsText" text="PASS">
      <formula>NOT(ISERROR(SEARCH("PASS",H24)))</formula>
    </cfRule>
    <cfRule type="containsText" dxfId="1533" priority="48" operator="containsText" text="FAIL">
      <formula>NOT(ISERROR(SEARCH("FAIL",H24)))</formula>
    </cfRule>
  </conditionalFormatting>
  <conditionalFormatting sqref="J15:K15">
    <cfRule type="cellIs" dxfId="1532" priority="305" operator="equal">
      <formula>"None"</formula>
    </cfRule>
  </conditionalFormatting>
  <conditionalFormatting sqref="B49">
    <cfRule type="cellIs" dxfId="1531" priority="267" operator="equal">
      <formula>"None"</formula>
    </cfRule>
  </conditionalFormatting>
  <conditionalFormatting sqref="D50">
    <cfRule type="containsText" dxfId="1530" priority="220" operator="containsText" text="PASS">
      <formula>NOT(ISERROR(SEARCH("PASS",D50)))</formula>
    </cfRule>
    <cfRule type="containsText" dxfId="1529" priority="221" operator="containsText" text="FAIL">
      <formula>NOT(ISERROR(SEARCH("FAIL",D50)))</formula>
    </cfRule>
  </conditionalFormatting>
  <conditionalFormatting sqref="J31:K31">
    <cfRule type="cellIs" dxfId="1528" priority="301" operator="equal">
      <formula>"None"</formula>
    </cfRule>
  </conditionalFormatting>
  <conditionalFormatting sqref="I15">
    <cfRule type="cellIs" dxfId="1527" priority="308" operator="equal">
      <formula>"None"</formula>
    </cfRule>
  </conditionalFormatting>
  <conditionalFormatting sqref="K15">
    <cfRule type="containsText" dxfId="1526" priority="306" operator="containsText" text="PASS">
      <formula>NOT(ISERROR(SEARCH("PASS",K15)))</formula>
    </cfRule>
    <cfRule type="containsText" dxfId="1525" priority="307" operator="containsText" text="FAIL">
      <formula>NOT(ISERROR(SEARCH("FAIL",K15)))</formula>
    </cfRule>
  </conditionalFormatting>
  <conditionalFormatting sqref="K31">
    <cfRule type="containsText" dxfId="1524" priority="302" operator="containsText" text="PASS">
      <formula>NOT(ISERROR(SEARCH("PASS",K31)))</formula>
    </cfRule>
    <cfRule type="containsText" dxfId="1523" priority="303" operator="containsText" text="FAIL">
      <formula>NOT(ISERROR(SEARCH("FAIL",K31)))</formula>
    </cfRule>
  </conditionalFormatting>
  <conditionalFormatting sqref="I31">
    <cfRule type="cellIs" dxfId="1522" priority="304" operator="equal">
      <formula>"None"</formula>
    </cfRule>
  </conditionalFormatting>
  <conditionalFormatting sqref="F16">
    <cfRule type="containsText" dxfId="1521" priority="295" operator="containsText" text="PASS">
      <formula>NOT(ISERROR(SEARCH("PASS",F16)))</formula>
    </cfRule>
    <cfRule type="containsText" dxfId="1520" priority="296" operator="containsText" text="FAIL">
      <formula>NOT(ISERROR(SEARCH("FAIL",F16)))</formula>
    </cfRule>
  </conditionalFormatting>
  <conditionalFormatting sqref="E16:F16">
    <cfRule type="cellIs" dxfId="1519" priority="294" operator="equal">
      <formula>"None"</formula>
    </cfRule>
  </conditionalFormatting>
  <conditionalFormatting sqref="F32">
    <cfRule type="containsText" dxfId="1518" priority="292" operator="containsText" text="PASS">
      <formula>NOT(ISERROR(SEARCH("PASS",F32)))</formula>
    </cfRule>
    <cfRule type="containsText" dxfId="1517" priority="293" operator="containsText" text="FAIL">
      <formula>NOT(ISERROR(SEARCH("FAIL",F32)))</formula>
    </cfRule>
  </conditionalFormatting>
  <conditionalFormatting sqref="E32:F32">
    <cfRule type="cellIs" dxfId="1516" priority="291" operator="equal">
      <formula>"None"</formula>
    </cfRule>
  </conditionalFormatting>
  <conditionalFormatting sqref="F49">
    <cfRule type="containsText" dxfId="1515" priority="289" operator="containsText" text="PASS">
      <formula>NOT(ISERROR(SEARCH("PASS",F49)))</formula>
    </cfRule>
    <cfRule type="containsText" dxfId="1514" priority="290" operator="containsText" text="FAIL">
      <formula>NOT(ISERROR(SEARCH("FAIL",F49)))</formula>
    </cfRule>
  </conditionalFormatting>
  <conditionalFormatting sqref="E49:F49">
    <cfRule type="cellIs" dxfId="1513" priority="288" operator="equal">
      <formula>"None"</formula>
    </cfRule>
  </conditionalFormatting>
  <conditionalFormatting sqref="M16">
    <cfRule type="containsText" dxfId="1512" priority="286" operator="containsText" text="PASS">
      <formula>NOT(ISERROR(SEARCH("PASS",M16)))</formula>
    </cfRule>
    <cfRule type="containsText" dxfId="1511" priority="287" operator="containsText" text="FAIL">
      <formula>NOT(ISERROR(SEARCH("FAIL",M16)))</formula>
    </cfRule>
  </conditionalFormatting>
  <conditionalFormatting sqref="L16:M16">
    <cfRule type="cellIs" dxfId="1510" priority="285" operator="equal">
      <formula>"None"</formula>
    </cfRule>
  </conditionalFormatting>
  <conditionalFormatting sqref="M32">
    <cfRule type="containsText" dxfId="1509" priority="283" operator="containsText" text="PASS">
      <formula>NOT(ISERROR(SEARCH("PASS",M32)))</formula>
    </cfRule>
    <cfRule type="containsText" dxfId="1508" priority="284" operator="containsText" text="FAIL">
      <formula>NOT(ISERROR(SEARCH("FAIL",M32)))</formula>
    </cfRule>
  </conditionalFormatting>
  <conditionalFormatting sqref="L32:M32">
    <cfRule type="cellIs" dxfId="1507" priority="282" operator="equal">
      <formula>"None"</formula>
    </cfRule>
  </conditionalFormatting>
  <conditionalFormatting sqref="M49">
    <cfRule type="containsText" dxfId="1506" priority="280" operator="containsText" text="PASS">
      <formula>NOT(ISERROR(SEARCH("PASS",M49)))</formula>
    </cfRule>
    <cfRule type="containsText" dxfId="1505" priority="281" operator="containsText" text="FAIL">
      <formula>NOT(ISERROR(SEARCH("FAIL",M49)))</formula>
    </cfRule>
  </conditionalFormatting>
  <conditionalFormatting sqref="L49:M49">
    <cfRule type="cellIs" dxfId="1504" priority="279" operator="equal">
      <formula>"None"</formula>
    </cfRule>
  </conditionalFormatting>
  <conditionalFormatting sqref="J50:K50">
    <cfRule type="cellIs" dxfId="1503" priority="207" operator="equal">
      <formula>"None"</formula>
    </cfRule>
  </conditionalFormatting>
  <conditionalFormatting sqref="C32:D32">
    <cfRule type="cellIs" dxfId="1502" priority="268" operator="equal">
      <formula>"None"</formula>
    </cfRule>
  </conditionalFormatting>
  <conditionalFormatting sqref="C16:D16">
    <cfRule type="cellIs" dxfId="1501" priority="272" operator="equal">
      <formula>"None"</formula>
    </cfRule>
  </conditionalFormatting>
  <conditionalFormatting sqref="A16">
    <cfRule type="containsText" dxfId="1500" priority="277" operator="containsText" text="PASS">
      <formula>NOT(ISERROR(SEARCH("PASS",A16)))</formula>
    </cfRule>
    <cfRule type="containsText" dxfId="1499" priority="278" operator="containsText" text="FAIL">
      <formula>NOT(ISERROR(SEARCH("FAIL",A16)))</formula>
    </cfRule>
  </conditionalFormatting>
  <conditionalFormatting sqref="A16">
    <cfRule type="cellIs" dxfId="1498" priority="276" operator="equal">
      <formula>"None"</formula>
    </cfRule>
  </conditionalFormatting>
  <conditionalFormatting sqref="D17">
    <cfRule type="containsText" dxfId="1497" priority="228" operator="containsText" text="PASS">
      <formula>NOT(ISERROR(SEARCH("PASS",D17)))</formula>
    </cfRule>
    <cfRule type="containsText" dxfId="1496" priority="229" operator="containsText" text="FAIL">
      <formula>NOT(ISERROR(SEARCH("FAIL",D17)))</formula>
    </cfRule>
  </conditionalFormatting>
  <conditionalFormatting sqref="I49">
    <cfRule type="cellIs" dxfId="1495" priority="255" operator="equal">
      <formula>"None"</formula>
    </cfRule>
  </conditionalFormatting>
  <conditionalFormatting sqref="D32">
    <cfRule type="containsText" dxfId="1494" priority="269" operator="containsText" text="PASS">
      <formula>NOT(ISERROR(SEARCH("PASS",D32)))</formula>
    </cfRule>
    <cfRule type="containsText" dxfId="1493" priority="270" operator="containsText" text="FAIL">
      <formula>NOT(ISERROR(SEARCH("FAIL",D32)))</formula>
    </cfRule>
  </conditionalFormatting>
  <conditionalFormatting sqref="B32">
    <cfRule type="cellIs" dxfId="1492" priority="271" operator="equal">
      <formula>"None"</formula>
    </cfRule>
  </conditionalFormatting>
  <conditionalFormatting sqref="H46">
    <cfRule type="cellIs" dxfId="1491" priority="13" operator="equal">
      <formula>"None"</formula>
    </cfRule>
  </conditionalFormatting>
  <conditionalFormatting sqref="K50">
    <cfRule type="containsText" dxfId="1490" priority="208" operator="containsText" text="PASS">
      <formula>NOT(ISERROR(SEARCH("PASS",K50)))</formula>
    </cfRule>
    <cfRule type="containsText" dxfId="1489" priority="209" operator="containsText" text="FAIL">
      <formula>NOT(ISERROR(SEARCH("FAIL",K50)))</formula>
    </cfRule>
  </conditionalFormatting>
  <conditionalFormatting sqref="J16:K16">
    <cfRule type="cellIs" dxfId="1488" priority="260" operator="equal">
      <formula>"None"</formula>
    </cfRule>
  </conditionalFormatting>
  <conditionalFormatting sqref="B50">
    <cfRule type="cellIs" dxfId="1487" priority="222" operator="equal">
      <formula>"None"</formula>
    </cfRule>
  </conditionalFormatting>
  <conditionalFormatting sqref="H46">
    <cfRule type="containsText" dxfId="1486" priority="14" operator="containsText" text="PASS">
      <formula>NOT(ISERROR(SEARCH("PASS",H46)))</formula>
    </cfRule>
    <cfRule type="containsText" dxfId="1485" priority="15" operator="containsText" text="FAIL">
      <formula>NOT(ISERROR(SEARCH("FAIL",H46)))</formula>
    </cfRule>
  </conditionalFormatting>
  <conditionalFormatting sqref="J32:K32">
    <cfRule type="cellIs" dxfId="1484" priority="256" operator="equal">
      <formula>"None"</formula>
    </cfRule>
  </conditionalFormatting>
  <conditionalFormatting sqref="I16">
    <cfRule type="cellIs" dxfId="1483" priority="263" operator="equal">
      <formula>"None"</formula>
    </cfRule>
  </conditionalFormatting>
  <conditionalFormatting sqref="K16">
    <cfRule type="containsText" dxfId="1482" priority="261" operator="containsText" text="PASS">
      <formula>NOT(ISERROR(SEARCH("PASS",K16)))</formula>
    </cfRule>
    <cfRule type="containsText" dxfId="1481" priority="262" operator="containsText" text="FAIL">
      <formula>NOT(ISERROR(SEARCH("FAIL",K16)))</formula>
    </cfRule>
  </conditionalFormatting>
  <conditionalFormatting sqref="K32">
    <cfRule type="containsText" dxfId="1480" priority="257" operator="containsText" text="PASS">
      <formula>NOT(ISERROR(SEARCH("PASS",K32)))</formula>
    </cfRule>
    <cfRule type="containsText" dxfId="1479" priority="258" operator="containsText" text="FAIL">
      <formula>NOT(ISERROR(SEARCH("FAIL",K32)))</formula>
    </cfRule>
  </conditionalFormatting>
  <conditionalFormatting sqref="I32">
    <cfRule type="cellIs" dxfId="1478" priority="259" operator="equal">
      <formula>"None"</formula>
    </cfRule>
  </conditionalFormatting>
  <conditionalFormatting sqref="F17">
    <cfRule type="containsText" dxfId="1477" priority="250" operator="containsText" text="PASS">
      <formula>NOT(ISERROR(SEARCH("PASS",F17)))</formula>
    </cfRule>
    <cfRule type="containsText" dxfId="1476" priority="251" operator="containsText" text="FAIL">
      <formula>NOT(ISERROR(SEARCH("FAIL",F17)))</formula>
    </cfRule>
  </conditionalFormatting>
  <conditionalFormatting sqref="E17:F17">
    <cfRule type="cellIs" dxfId="1475" priority="249" operator="equal">
      <formula>"None"</formula>
    </cfRule>
  </conditionalFormatting>
  <conditionalFormatting sqref="F33">
    <cfRule type="containsText" dxfId="1474" priority="247" operator="containsText" text="PASS">
      <formula>NOT(ISERROR(SEARCH("PASS",F33)))</formula>
    </cfRule>
    <cfRule type="containsText" dxfId="1473" priority="248" operator="containsText" text="FAIL">
      <formula>NOT(ISERROR(SEARCH("FAIL",F33)))</formula>
    </cfRule>
  </conditionalFormatting>
  <conditionalFormatting sqref="E33:F33">
    <cfRule type="cellIs" dxfId="1472" priority="246" operator="equal">
      <formula>"None"</formula>
    </cfRule>
  </conditionalFormatting>
  <conditionalFormatting sqref="F50">
    <cfRule type="containsText" dxfId="1471" priority="244" operator="containsText" text="PASS">
      <formula>NOT(ISERROR(SEARCH("PASS",F50)))</formula>
    </cfRule>
    <cfRule type="containsText" dxfId="1470" priority="245" operator="containsText" text="FAIL">
      <formula>NOT(ISERROR(SEARCH("FAIL",F50)))</formula>
    </cfRule>
  </conditionalFormatting>
  <conditionalFormatting sqref="E50:F50">
    <cfRule type="cellIs" dxfId="1469" priority="243" operator="equal">
      <formula>"None"</formula>
    </cfRule>
  </conditionalFormatting>
  <conditionalFormatting sqref="M17">
    <cfRule type="containsText" dxfId="1468" priority="241" operator="containsText" text="PASS">
      <formula>NOT(ISERROR(SEARCH("PASS",M17)))</formula>
    </cfRule>
    <cfRule type="containsText" dxfId="1467" priority="242" operator="containsText" text="FAIL">
      <formula>NOT(ISERROR(SEARCH("FAIL",M17)))</formula>
    </cfRule>
  </conditionalFormatting>
  <conditionalFormatting sqref="L17:M17">
    <cfRule type="cellIs" dxfId="1466" priority="240" operator="equal">
      <formula>"None"</formula>
    </cfRule>
  </conditionalFormatting>
  <conditionalFormatting sqref="M33">
    <cfRule type="containsText" dxfId="1465" priority="238" operator="containsText" text="PASS">
      <formula>NOT(ISERROR(SEARCH("PASS",M33)))</formula>
    </cfRule>
    <cfRule type="containsText" dxfId="1464" priority="239" operator="containsText" text="FAIL">
      <formula>NOT(ISERROR(SEARCH("FAIL",M33)))</formula>
    </cfRule>
  </conditionalFormatting>
  <conditionalFormatting sqref="L33:M33">
    <cfRule type="cellIs" dxfId="1463" priority="237" operator="equal">
      <formula>"None"</formula>
    </cfRule>
  </conditionalFormatting>
  <conditionalFormatting sqref="M50">
    <cfRule type="containsText" dxfId="1462" priority="235" operator="containsText" text="PASS">
      <formula>NOT(ISERROR(SEARCH("PASS",M50)))</formula>
    </cfRule>
    <cfRule type="containsText" dxfId="1461" priority="236" operator="containsText" text="FAIL">
      <formula>NOT(ISERROR(SEARCH("FAIL",M50)))</formula>
    </cfRule>
  </conditionalFormatting>
  <conditionalFormatting sqref="L50:M50">
    <cfRule type="cellIs" dxfId="1460" priority="234" operator="equal">
      <formula>"None"</formula>
    </cfRule>
  </conditionalFormatting>
  <conditionalFormatting sqref="H50">
    <cfRule type="cellIs" dxfId="1459" priority="1" operator="equal">
      <formula>"None"</formula>
    </cfRule>
  </conditionalFormatting>
  <conditionalFormatting sqref="C33:D33">
    <cfRule type="cellIs" dxfId="1458" priority="223" operator="equal">
      <formula>"None"</formula>
    </cfRule>
  </conditionalFormatting>
  <conditionalFormatting sqref="C17:D17">
    <cfRule type="cellIs" dxfId="1457" priority="227" operator="equal">
      <formula>"None"</formula>
    </cfRule>
  </conditionalFormatting>
  <conditionalFormatting sqref="A17">
    <cfRule type="containsText" dxfId="1456" priority="232" operator="containsText" text="PASS">
      <formula>NOT(ISERROR(SEARCH("PASS",A17)))</formula>
    </cfRule>
    <cfRule type="containsText" dxfId="1455" priority="233" operator="containsText" text="FAIL">
      <formula>NOT(ISERROR(SEARCH("FAIL",A17)))</formula>
    </cfRule>
  </conditionalFormatting>
  <conditionalFormatting sqref="A17">
    <cfRule type="cellIs" dxfId="1454" priority="231" operator="equal">
      <formula>"None"</formula>
    </cfRule>
  </conditionalFormatting>
  <conditionalFormatting sqref="I50">
    <cfRule type="cellIs" dxfId="1453" priority="210" operator="equal">
      <formula>"None"</formula>
    </cfRule>
  </conditionalFormatting>
  <conditionalFormatting sqref="D33">
    <cfRule type="containsText" dxfId="1452" priority="224" operator="containsText" text="PASS">
      <formula>NOT(ISERROR(SEARCH("PASS",D33)))</formula>
    </cfRule>
    <cfRule type="containsText" dxfId="1451" priority="225" operator="containsText" text="FAIL">
      <formula>NOT(ISERROR(SEARCH("FAIL",D33)))</formula>
    </cfRule>
  </conditionalFormatting>
  <conditionalFormatting sqref="B33">
    <cfRule type="cellIs" dxfId="1450" priority="226" operator="equal">
      <formula>"None"</formula>
    </cfRule>
  </conditionalFormatting>
  <conditionalFormatting sqref="H50">
    <cfRule type="containsText" dxfId="1449" priority="2" operator="containsText" text="PASS">
      <formula>NOT(ISERROR(SEARCH("PASS",H50)))</formula>
    </cfRule>
    <cfRule type="containsText" dxfId="1448" priority="3" operator="containsText" text="FAIL">
      <formula>NOT(ISERROR(SEARCH("FAIL",H50)))</formula>
    </cfRule>
  </conditionalFormatting>
  <conditionalFormatting sqref="J17:K17">
    <cfRule type="cellIs" dxfId="1447" priority="215" operator="equal">
      <formula>"None"</formula>
    </cfRule>
  </conditionalFormatting>
  <conditionalFormatting sqref="H45">
    <cfRule type="cellIs" dxfId="1446" priority="16" operator="equal">
      <formula>"None"</formula>
    </cfRule>
  </conditionalFormatting>
  <conditionalFormatting sqref="J33:K33">
    <cfRule type="cellIs" dxfId="1445" priority="211" operator="equal">
      <formula>"None"</formula>
    </cfRule>
  </conditionalFormatting>
  <conditionalFormatting sqref="I17">
    <cfRule type="cellIs" dxfId="1444" priority="218" operator="equal">
      <formula>"None"</formula>
    </cfRule>
  </conditionalFormatting>
  <conditionalFormatting sqref="K17">
    <cfRule type="containsText" dxfId="1443" priority="216" operator="containsText" text="PASS">
      <formula>NOT(ISERROR(SEARCH("PASS",K17)))</formula>
    </cfRule>
    <cfRule type="containsText" dxfId="1442" priority="217" operator="containsText" text="FAIL">
      <formula>NOT(ISERROR(SEARCH("FAIL",K17)))</formula>
    </cfRule>
  </conditionalFormatting>
  <conditionalFormatting sqref="K33">
    <cfRule type="containsText" dxfId="1441" priority="212" operator="containsText" text="PASS">
      <formula>NOT(ISERROR(SEARCH("PASS",K33)))</formula>
    </cfRule>
    <cfRule type="containsText" dxfId="1440" priority="213" operator="containsText" text="FAIL">
      <formula>NOT(ISERROR(SEARCH("FAIL",K33)))</formula>
    </cfRule>
  </conditionalFormatting>
  <conditionalFormatting sqref="I33">
    <cfRule type="cellIs" dxfId="1439" priority="214" operator="equal">
      <formula>"None"</formula>
    </cfRule>
  </conditionalFormatting>
  <conditionalFormatting sqref="D22">
    <cfRule type="cellIs" dxfId="1438" priority="755" stopIfTrue="1" operator="equal">
      <formula>"FAIL"</formula>
    </cfRule>
  </conditionalFormatting>
  <conditionalFormatting sqref="D22">
    <cfRule type="cellIs" dxfId="1437" priority="756" stopIfTrue="1" operator="equal">
      <formula>"PASS"</formula>
    </cfRule>
  </conditionalFormatting>
  <conditionalFormatting sqref="D22">
    <cfRule type="cellIs" dxfId="1436" priority="757" stopIfTrue="1" operator="equal">
      <formula>"None"</formula>
    </cfRule>
  </conditionalFormatting>
  <conditionalFormatting sqref="F22">
    <cfRule type="cellIs" dxfId="1435" priority="758" stopIfTrue="1" operator="equal">
      <formula>"FAIL"</formula>
    </cfRule>
  </conditionalFormatting>
  <conditionalFormatting sqref="F22">
    <cfRule type="cellIs" dxfId="1434" priority="759" stopIfTrue="1" operator="equal">
      <formula>"PASS"</formula>
    </cfRule>
  </conditionalFormatting>
  <conditionalFormatting sqref="F22">
    <cfRule type="cellIs" dxfId="1433" priority="760" stopIfTrue="1" operator="equal">
      <formula>"None"</formula>
    </cfRule>
  </conditionalFormatting>
  <conditionalFormatting sqref="D38">
    <cfRule type="cellIs" dxfId="1432" priority="761" stopIfTrue="1" operator="equal">
      <formula>"FAIL"</formula>
    </cfRule>
  </conditionalFormatting>
  <conditionalFormatting sqref="D38">
    <cfRule type="cellIs" dxfId="1431" priority="762" stopIfTrue="1" operator="equal">
      <formula>"PASS"</formula>
    </cfRule>
  </conditionalFormatting>
  <conditionalFormatting sqref="D38">
    <cfRule type="cellIs" dxfId="1430" priority="763" stopIfTrue="1" operator="equal">
      <formula>"None"</formula>
    </cfRule>
  </conditionalFormatting>
  <conditionalFormatting sqref="F38">
    <cfRule type="cellIs" dxfId="1429" priority="764" stopIfTrue="1" operator="equal">
      <formula>"FAIL"</formula>
    </cfRule>
  </conditionalFormatting>
  <conditionalFormatting sqref="F38">
    <cfRule type="cellIs" dxfId="1428" priority="765" stopIfTrue="1" operator="equal">
      <formula>"PASS"</formula>
    </cfRule>
  </conditionalFormatting>
  <conditionalFormatting sqref="F38">
    <cfRule type="cellIs" dxfId="1427" priority="766" stopIfTrue="1" operator="equal">
      <formula>"None"</formula>
    </cfRule>
  </conditionalFormatting>
  <conditionalFormatting sqref="D55">
    <cfRule type="cellIs" dxfId="1426" priority="767" stopIfTrue="1" operator="equal">
      <formula>"FAIL"</formula>
    </cfRule>
  </conditionalFormatting>
  <conditionalFormatting sqref="D55">
    <cfRule type="cellIs" dxfId="1425" priority="768" stopIfTrue="1" operator="equal">
      <formula>"PASS"</formula>
    </cfRule>
  </conditionalFormatting>
  <conditionalFormatting sqref="D55">
    <cfRule type="cellIs" dxfId="1424" priority="769" stopIfTrue="1" operator="equal">
      <formula>"None"</formula>
    </cfRule>
  </conditionalFormatting>
  <conditionalFormatting sqref="F55">
    <cfRule type="cellIs" dxfId="1423" priority="770" stopIfTrue="1" operator="equal">
      <formula>"FAIL"</formula>
    </cfRule>
  </conditionalFormatting>
  <conditionalFormatting sqref="F55">
    <cfRule type="cellIs" dxfId="1422" priority="771" stopIfTrue="1" operator="equal">
      <formula>"PASS"</formula>
    </cfRule>
  </conditionalFormatting>
  <conditionalFormatting sqref="F55">
    <cfRule type="cellIs" dxfId="1421" priority="772" stopIfTrue="1" operator="equal">
      <formula>"None"</formula>
    </cfRule>
  </conditionalFormatting>
  <conditionalFormatting sqref="K22">
    <cfRule type="cellIs" dxfId="1420" priority="773" stopIfTrue="1" operator="equal">
      <formula>"FAIL"</formula>
    </cfRule>
  </conditionalFormatting>
  <conditionalFormatting sqref="K22">
    <cfRule type="cellIs" dxfId="1419" priority="774" stopIfTrue="1" operator="equal">
      <formula>"PASS"</formula>
    </cfRule>
  </conditionalFormatting>
  <conditionalFormatting sqref="K22">
    <cfRule type="cellIs" dxfId="1418" priority="775" stopIfTrue="1" operator="equal">
      <formula>"None"</formula>
    </cfRule>
  </conditionalFormatting>
  <conditionalFormatting sqref="M22">
    <cfRule type="cellIs" dxfId="1417" priority="776" stopIfTrue="1" operator="equal">
      <formula>"FAIL"</formula>
    </cfRule>
  </conditionalFormatting>
  <conditionalFormatting sqref="M22">
    <cfRule type="cellIs" dxfId="1416" priority="777" stopIfTrue="1" operator="equal">
      <formula>"PASS"</formula>
    </cfRule>
  </conditionalFormatting>
  <conditionalFormatting sqref="M22">
    <cfRule type="cellIs" dxfId="1415" priority="778" stopIfTrue="1" operator="equal">
      <formula>"None"</formula>
    </cfRule>
  </conditionalFormatting>
  <conditionalFormatting sqref="K38">
    <cfRule type="cellIs" dxfId="1414" priority="779" stopIfTrue="1" operator="equal">
      <formula>"FAIL"</formula>
    </cfRule>
  </conditionalFormatting>
  <conditionalFormatting sqref="K38">
    <cfRule type="cellIs" dxfId="1413" priority="780" stopIfTrue="1" operator="equal">
      <formula>"PASS"</formula>
    </cfRule>
  </conditionalFormatting>
  <conditionalFormatting sqref="K38">
    <cfRule type="cellIs" dxfId="1412" priority="781" stopIfTrue="1" operator="equal">
      <formula>"None"</formula>
    </cfRule>
  </conditionalFormatting>
  <conditionalFormatting sqref="M38">
    <cfRule type="cellIs" dxfId="1411" priority="782" stopIfTrue="1" operator="equal">
      <formula>"FAIL"</formula>
    </cfRule>
  </conditionalFormatting>
  <conditionalFormatting sqref="M38">
    <cfRule type="cellIs" dxfId="1410" priority="783" stopIfTrue="1" operator="equal">
      <formula>"PASS"</formula>
    </cfRule>
  </conditionalFormatting>
  <conditionalFormatting sqref="M38">
    <cfRule type="cellIs" dxfId="1409" priority="784" stopIfTrue="1" operator="equal">
      <formula>"None"</formula>
    </cfRule>
  </conditionalFormatting>
  <conditionalFormatting sqref="K55">
    <cfRule type="cellIs" dxfId="1408" priority="785" stopIfTrue="1" operator="equal">
      <formula>"FAIL"</formula>
    </cfRule>
  </conditionalFormatting>
  <conditionalFormatting sqref="K55">
    <cfRule type="cellIs" dxfId="1407" priority="786" stopIfTrue="1" operator="equal">
      <formula>"PASS"</formula>
    </cfRule>
  </conditionalFormatting>
  <conditionalFormatting sqref="K55">
    <cfRule type="cellIs" dxfId="1406" priority="787" stopIfTrue="1" operator="equal">
      <formula>"None"</formula>
    </cfRule>
  </conditionalFormatting>
  <conditionalFormatting sqref="M55">
    <cfRule type="cellIs" dxfId="1405" priority="788" stopIfTrue="1" operator="equal">
      <formula>"FAIL"</formula>
    </cfRule>
  </conditionalFormatting>
  <conditionalFormatting sqref="M55">
    <cfRule type="cellIs" dxfId="1404" priority="789" stopIfTrue="1" operator="equal">
      <formula>"PASS"</formula>
    </cfRule>
  </conditionalFormatting>
  <conditionalFormatting sqref="M55">
    <cfRule type="cellIs" dxfId="1403" priority="790" stopIfTrue="1" operator="equal">
      <formula>"None"</formula>
    </cfRule>
  </conditionalFormatting>
  <conditionalFormatting sqref="H8:H10">
    <cfRule type="containsText" dxfId="1402" priority="71" operator="containsText" text="PASS">
      <formula>NOT(ISERROR(SEARCH("PASS",H8)))</formula>
    </cfRule>
    <cfRule type="containsText" dxfId="1401" priority="72" operator="containsText" text="FAIL">
      <formula>NOT(ISERROR(SEARCH("FAIL",H8)))</formula>
    </cfRule>
  </conditionalFormatting>
  <conditionalFormatting sqref="H8:H10">
    <cfRule type="cellIs" dxfId="1400" priority="70" operator="equal">
      <formula>"None"</formula>
    </cfRule>
  </conditionalFormatting>
  <conditionalFormatting sqref="H11">
    <cfRule type="containsText" dxfId="1399" priority="68" operator="containsText" text="PASS">
      <formula>NOT(ISERROR(SEARCH("PASS",H11)))</formula>
    </cfRule>
    <cfRule type="containsText" dxfId="1398" priority="69" operator="containsText" text="FAIL">
      <formula>NOT(ISERROR(SEARCH("FAIL",H11)))</formula>
    </cfRule>
  </conditionalFormatting>
  <conditionalFormatting sqref="H11">
    <cfRule type="cellIs" dxfId="1397" priority="67" operator="equal">
      <formula>"None"</formula>
    </cfRule>
  </conditionalFormatting>
  <conditionalFormatting sqref="H12">
    <cfRule type="containsText" dxfId="1396" priority="65" operator="containsText" text="PASS">
      <formula>NOT(ISERROR(SEARCH("PASS",H12)))</formula>
    </cfRule>
    <cfRule type="containsText" dxfId="1395" priority="66" operator="containsText" text="FAIL">
      <formula>NOT(ISERROR(SEARCH("FAIL",H12)))</formula>
    </cfRule>
  </conditionalFormatting>
  <conditionalFormatting sqref="H12">
    <cfRule type="cellIs" dxfId="1394" priority="64" operator="equal">
      <formula>"None"</formula>
    </cfRule>
  </conditionalFormatting>
  <conditionalFormatting sqref="H14">
    <cfRule type="containsText" dxfId="1393" priority="59" operator="containsText" text="PASS">
      <formula>NOT(ISERROR(SEARCH("PASS",H14)))</formula>
    </cfRule>
    <cfRule type="containsText" dxfId="1392" priority="60" operator="containsText" text="FAIL">
      <formula>NOT(ISERROR(SEARCH("FAIL",H14)))</formula>
    </cfRule>
  </conditionalFormatting>
  <conditionalFormatting sqref="H13">
    <cfRule type="cellIs" dxfId="1391" priority="61" operator="equal">
      <formula>"None"</formula>
    </cfRule>
  </conditionalFormatting>
  <conditionalFormatting sqref="H13">
    <cfRule type="containsText" dxfId="1390" priority="62" operator="containsText" text="PASS">
      <formula>NOT(ISERROR(SEARCH("PASS",H13)))</formula>
    </cfRule>
    <cfRule type="containsText" dxfId="1389" priority="63" operator="containsText" text="FAIL">
      <formula>NOT(ISERROR(SEARCH("FAIL",H13)))</formula>
    </cfRule>
  </conditionalFormatting>
  <conditionalFormatting sqref="H27">
    <cfRule type="cellIs" dxfId="1388" priority="43" operator="equal">
      <formula>"None"</formula>
    </cfRule>
  </conditionalFormatting>
  <conditionalFormatting sqref="H27">
    <cfRule type="containsText" dxfId="1387" priority="44" operator="containsText" text="PASS">
      <formula>NOT(ISERROR(SEARCH("PASS",H27)))</formula>
    </cfRule>
    <cfRule type="containsText" dxfId="1386" priority="45" operator="containsText" text="FAIL">
      <formula>NOT(ISERROR(SEARCH("FAIL",H27)))</formula>
    </cfRule>
  </conditionalFormatting>
  <conditionalFormatting sqref="H28">
    <cfRule type="containsText" dxfId="1385" priority="41" operator="containsText" text="PASS">
      <formula>NOT(ISERROR(SEARCH("PASS",H28)))</formula>
    </cfRule>
    <cfRule type="containsText" dxfId="1384" priority="42" operator="containsText" text="FAIL">
      <formula>NOT(ISERROR(SEARCH("FAIL",H28)))</formula>
    </cfRule>
  </conditionalFormatting>
  <conditionalFormatting sqref="H28">
    <cfRule type="cellIs" dxfId="1383" priority="40" operator="equal">
      <formula>"None"</formula>
    </cfRule>
  </conditionalFormatting>
  <conditionalFormatting sqref="H41:H43">
    <cfRule type="cellIs" dxfId="1382" priority="22" operator="equal">
      <formula>"None"</formula>
    </cfRule>
  </conditionalFormatting>
  <conditionalFormatting sqref="H41:H43">
    <cfRule type="containsText" dxfId="1381" priority="23" operator="containsText" text="PASS">
      <formula>NOT(ISERROR(SEARCH("PASS",H41)))</formula>
    </cfRule>
    <cfRule type="containsText" dxfId="1380" priority="24" operator="containsText" text="FAIL">
      <formula>NOT(ISERROR(SEARCH("FAIL",H41)))</formula>
    </cfRule>
  </conditionalFormatting>
  <conditionalFormatting sqref="H33">
    <cfRule type="cellIs" dxfId="1379" priority="25" operator="equal">
      <formula>"None"</formula>
    </cfRule>
  </conditionalFormatting>
  <conditionalFormatting sqref="H49">
    <cfRule type="cellIs" dxfId="1378" priority="4" operator="equal">
      <formula>"None"</formula>
    </cfRule>
  </conditionalFormatting>
  <conditionalFormatting sqref="A24:A26">
    <cfRule type="containsText" dxfId="1377" priority="119" operator="containsText" text="PASS">
      <formula>NOT(ISERROR(SEARCH("PASS",A24)))</formula>
    </cfRule>
    <cfRule type="containsText" dxfId="1376" priority="120" operator="containsText" text="FAIL">
      <formula>NOT(ISERROR(SEARCH("FAIL",A24)))</formula>
    </cfRule>
  </conditionalFormatting>
  <conditionalFormatting sqref="A24:A26">
    <cfRule type="cellIs" dxfId="1375" priority="118" operator="equal">
      <formula>"None"</formula>
    </cfRule>
  </conditionalFormatting>
  <conditionalFormatting sqref="A27">
    <cfRule type="containsText" dxfId="1374" priority="116" operator="containsText" text="PASS">
      <formula>NOT(ISERROR(SEARCH("PASS",A27)))</formula>
    </cfRule>
    <cfRule type="containsText" dxfId="1373" priority="117" operator="containsText" text="FAIL">
      <formula>NOT(ISERROR(SEARCH("FAIL",A27)))</formula>
    </cfRule>
  </conditionalFormatting>
  <conditionalFormatting sqref="A27">
    <cfRule type="cellIs" dxfId="1372" priority="115" operator="equal">
      <formula>"None"</formula>
    </cfRule>
  </conditionalFormatting>
  <conditionalFormatting sqref="A28">
    <cfRule type="containsText" dxfId="1371" priority="113" operator="containsText" text="PASS">
      <formula>NOT(ISERROR(SEARCH("PASS",A28)))</formula>
    </cfRule>
    <cfRule type="containsText" dxfId="1370" priority="114" operator="containsText" text="FAIL">
      <formula>NOT(ISERROR(SEARCH("FAIL",A28)))</formula>
    </cfRule>
  </conditionalFormatting>
  <conditionalFormatting sqref="A28">
    <cfRule type="cellIs" dxfId="1369" priority="112" operator="equal">
      <formula>"None"</formula>
    </cfRule>
  </conditionalFormatting>
  <conditionalFormatting sqref="A29">
    <cfRule type="containsText" dxfId="1368" priority="110" operator="containsText" text="PASS">
      <formula>NOT(ISERROR(SEARCH("PASS",A29)))</formula>
    </cfRule>
    <cfRule type="containsText" dxfId="1367" priority="111" operator="containsText" text="FAIL">
      <formula>NOT(ISERROR(SEARCH("FAIL",A29)))</formula>
    </cfRule>
  </conditionalFormatting>
  <conditionalFormatting sqref="A29">
    <cfRule type="cellIs" dxfId="1366" priority="109" operator="equal">
      <formula>"None"</formula>
    </cfRule>
  </conditionalFormatting>
  <conditionalFormatting sqref="A30">
    <cfRule type="containsText" dxfId="1365" priority="107" operator="containsText" text="PASS">
      <formula>NOT(ISERROR(SEARCH("PASS",A30)))</formula>
    </cfRule>
    <cfRule type="containsText" dxfId="1364" priority="108" operator="containsText" text="FAIL">
      <formula>NOT(ISERROR(SEARCH("FAIL",A30)))</formula>
    </cfRule>
  </conditionalFormatting>
  <conditionalFormatting sqref="A30">
    <cfRule type="cellIs" dxfId="1363" priority="106" operator="equal">
      <formula>"None"</formula>
    </cfRule>
  </conditionalFormatting>
  <conditionalFormatting sqref="A31">
    <cfRule type="containsText" dxfId="1362" priority="104" operator="containsText" text="PASS">
      <formula>NOT(ISERROR(SEARCH("PASS",A31)))</formula>
    </cfRule>
    <cfRule type="containsText" dxfId="1361" priority="105" operator="containsText" text="FAIL">
      <formula>NOT(ISERROR(SEARCH("FAIL",A31)))</formula>
    </cfRule>
  </conditionalFormatting>
  <conditionalFormatting sqref="A31">
    <cfRule type="cellIs" dxfId="1360" priority="103" operator="equal">
      <formula>"None"</formula>
    </cfRule>
  </conditionalFormatting>
  <conditionalFormatting sqref="A32">
    <cfRule type="containsText" dxfId="1359" priority="101" operator="containsText" text="PASS">
      <formula>NOT(ISERROR(SEARCH("PASS",A32)))</formula>
    </cfRule>
    <cfRule type="containsText" dxfId="1358" priority="102" operator="containsText" text="FAIL">
      <formula>NOT(ISERROR(SEARCH("FAIL",A32)))</formula>
    </cfRule>
  </conditionalFormatting>
  <conditionalFormatting sqref="A32">
    <cfRule type="cellIs" dxfId="1357" priority="100" operator="equal">
      <formula>"None"</formula>
    </cfRule>
  </conditionalFormatting>
  <conditionalFormatting sqref="A33">
    <cfRule type="containsText" dxfId="1356" priority="98" operator="containsText" text="PASS">
      <formula>NOT(ISERROR(SEARCH("PASS",A33)))</formula>
    </cfRule>
    <cfRule type="containsText" dxfId="1355" priority="99" operator="containsText" text="FAIL">
      <formula>NOT(ISERROR(SEARCH("FAIL",A33)))</formula>
    </cfRule>
  </conditionalFormatting>
  <conditionalFormatting sqref="A33">
    <cfRule type="cellIs" dxfId="1354" priority="97" operator="equal">
      <formula>"None"</formula>
    </cfRule>
  </conditionalFormatting>
  <conditionalFormatting sqref="A41:A43">
    <cfRule type="containsText" dxfId="1353" priority="95" operator="containsText" text="PASS">
      <formula>NOT(ISERROR(SEARCH("PASS",A41)))</formula>
    </cfRule>
    <cfRule type="containsText" dxfId="1352" priority="96" operator="containsText" text="FAIL">
      <formula>NOT(ISERROR(SEARCH("FAIL",A41)))</formula>
    </cfRule>
  </conditionalFormatting>
  <conditionalFormatting sqref="A41:A43">
    <cfRule type="cellIs" dxfId="1351" priority="94" operator="equal">
      <formula>"None"</formula>
    </cfRule>
  </conditionalFormatting>
  <conditionalFormatting sqref="A44">
    <cfRule type="containsText" dxfId="1350" priority="92" operator="containsText" text="PASS">
      <formula>NOT(ISERROR(SEARCH("PASS",A44)))</formula>
    </cfRule>
    <cfRule type="containsText" dxfId="1349" priority="93" operator="containsText" text="FAIL">
      <formula>NOT(ISERROR(SEARCH("FAIL",A44)))</formula>
    </cfRule>
  </conditionalFormatting>
  <conditionalFormatting sqref="A44">
    <cfRule type="cellIs" dxfId="1348" priority="91" operator="equal">
      <formula>"None"</formula>
    </cfRule>
  </conditionalFormatting>
  <conditionalFormatting sqref="A45">
    <cfRule type="containsText" dxfId="1347" priority="89" operator="containsText" text="PASS">
      <formula>NOT(ISERROR(SEARCH("PASS",A45)))</formula>
    </cfRule>
    <cfRule type="containsText" dxfId="1346" priority="90" operator="containsText" text="FAIL">
      <formula>NOT(ISERROR(SEARCH("FAIL",A45)))</formula>
    </cfRule>
  </conditionalFormatting>
  <conditionalFormatting sqref="A45">
    <cfRule type="cellIs" dxfId="1345" priority="88" operator="equal">
      <formula>"None"</formula>
    </cfRule>
  </conditionalFormatting>
  <conditionalFormatting sqref="A46">
    <cfRule type="containsText" dxfId="1344" priority="86" operator="containsText" text="PASS">
      <formula>NOT(ISERROR(SEARCH("PASS",A46)))</formula>
    </cfRule>
    <cfRule type="containsText" dxfId="1343" priority="87" operator="containsText" text="FAIL">
      <formula>NOT(ISERROR(SEARCH("FAIL",A46)))</formula>
    </cfRule>
  </conditionalFormatting>
  <conditionalFormatting sqref="A46">
    <cfRule type="cellIs" dxfId="1342" priority="85" operator="equal">
      <formula>"None"</formula>
    </cfRule>
  </conditionalFormatting>
  <conditionalFormatting sqref="A47">
    <cfRule type="containsText" dxfId="1341" priority="83" operator="containsText" text="PASS">
      <formula>NOT(ISERROR(SEARCH("PASS",A47)))</formula>
    </cfRule>
    <cfRule type="containsText" dxfId="1340" priority="84" operator="containsText" text="FAIL">
      <formula>NOT(ISERROR(SEARCH("FAIL",A47)))</formula>
    </cfRule>
  </conditionalFormatting>
  <conditionalFormatting sqref="A47">
    <cfRule type="cellIs" dxfId="1339" priority="82" operator="equal">
      <formula>"None"</formula>
    </cfRule>
  </conditionalFormatting>
  <conditionalFormatting sqref="A48">
    <cfRule type="containsText" dxfId="1338" priority="80" operator="containsText" text="PASS">
      <formula>NOT(ISERROR(SEARCH("PASS",A48)))</formula>
    </cfRule>
    <cfRule type="containsText" dxfId="1337" priority="81" operator="containsText" text="FAIL">
      <formula>NOT(ISERROR(SEARCH("FAIL",A48)))</formula>
    </cfRule>
  </conditionalFormatting>
  <conditionalFormatting sqref="A48">
    <cfRule type="cellIs" dxfId="1336" priority="79" operator="equal">
      <formula>"None"</formula>
    </cfRule>
  </conditionalFormatting>
  <conditionalFormatting sqref="A49">
    <cfRule type="containsText" dxfId="1335" priority="77" operator="containsText" text="PASS">
      <formula>NOT(ISERROR(SEARCH("PASS",A49)))</formula>
    </cfRule>
    <cfRule type="containsText" dxfId="1334" priority="78" operator="containsText" text="FAIL">
      <formula>NOT(ISERROR(SEARCH("FAIL",A49)))</formula>
    </cfRule>
  </conditionalFormatting>
  <conditionalFormatting sqref="A49">
    <cfRule type="cellIs" dxfId="1333" priority="76" operator="equal">
      <formula>"None"</formula>
    </cfRule>
  </conditionalFormatting>
  <conditionalFormatting sqref="A50">
    <cfRule type="containsText" dxfId="1332" priority="74" operator="containsText" text="PASS">
      <formula>NOT(ISERROR(SEARCH("PASS",A50)))</formula>
    </cfRule>
    <cfRule type="containsText" dxfId="1331" priority="75" operator="containsText" text="FAIL">
      <formula>NOT(ISERROR(SEARCH("FAIL",A50)))</formula>
    </cfRule>
  </conditionalFormatting>
  <conditionalFormatting sqref="A50">
    <cfRule type="cellIs" dxfId="1330" priority="73" operator="equal">
      <formula>"None"</formula>
    </cfRule>
  </conditionalFormatting>
  <conditionalFormatting sqref="H14">
    <cfRule type="cellIs" dxfId="1329" priority="58" operator="equal">
      <formula>"None"</formula>
    </cfRule>
  </conditionalFormatting>
  <conditionalFormatting sqref="H15">
    <cfRule type="containsText" dxfId="1328" priority="56" operator="containsText" text="PASS">
      <formula>NOT(ISERROR(SEARCH("PASS",H15)))</formula>
    </cfRule>
    <cfRule type="containsText" dxfId="1327" priority="57" operator="containsText" text="FAIL">
      <formula>NOT(ISERROR(SEARCH("FAIL",H15)))</formula>
    </cfRule>
  </conditionalFormatting>
  <conditionalFormatting sqref="H15">
    <cfRule type="cellIs" dxfId="1326" priority="55" operator="equal">
      <formula>"None"</formula>
    </cfRule>
  </conditionalFormatting>
  <conditionalFormatting sqref="H16">
    <cfRule type="containsText" dxfId="1325" priority="53" operator="containsText" text="PASS">
      <formula>NOT(ISERROR(SEARCH("PASS",H16)))</formula>
    </cfRule>
    <cfRule type="containsText" dxfId="1324" priority="54" operator="containsText" text="FAIL">
      <formula>NOT(ISERROR(SEARCH("FAIL",H16)))</formula>
    </cfRule>
  </conditionalFormatting>
  <conditionalFormatting sqref="H16">
    <cfRule type="cellIs" dxfId="1323" priority="52" operator="equal">
      <formula>"None"</formula>
    </cfRule>
  </conditionalFormatting>
  <conditionalFormatting sqref="H17">
    <cfRule type="containsText" dxfId="1322" priority="50" operator="containsText" text="PASS">
      <formula>NOT(ISERROR(SEARCH("PASS",H17)))</formula>
    </cfRule>
    <cfRule type="containsText" dxfId="1321" priority="51" operator="containsText" text="FAIL">
      <formula>NOT(ISERROR(SEARCH("FAIL",H17)))</formula>
    </cfRule>
  </conditionalFormatting>
  <conditionalFormatting sqref="H17">
    <cfRule type="cellIs" dxfId="1320" priority="49" operator="equal">
      <formula>"None"</formula>
    </cfRule>
  </conditionalFormatting>
  <conditionalFormatting sqref="H29">
    <cfRule type="containsText" dxfId="1319" priority="38" operator="containsText" text="PASS">
      <formula>NOT(ISERROR(SEARCH("PASS",H29)))</formula>
    </cfRule>
    <cfRule type="containsText" dxfId="1318" priority="39" operator="containsText" text="FAIL">
      <formula>NOT(ISERROR(SEARCH("FAIL",H29)))</formula>
    </cfRule>
  </conditionalFormatting>
  <conditionalFormatting sqref="H29">
    <cfRule type="cellIs" dxfId="1317" priority="37" operator="equal">
      <formula>"None"</formula>
    </cfRule>
  </conditionalFormatting>
  <conditionalFormatting sqref="H30">
    <cfRule type="containsText" dxfId="1316" priority="35" operator="containsText" text="PASS">
      <formula>NOT(ISERROR(SEARCH("PASS",H30)))</formula>
    </cfRule>
    <cfRule type="containsText" dxfId="1315" priority="36" operator="containsText" text="FAIL">
      <formula>NOT(ISERROR(SEARCH("FAIL",H30)))</formula>
    </cfRule>
  </conditionalFormatting>
  <conditionalFormatting sqref="H30">
    <cfRule type="cellIs" dxfId="1314" priority="34" operator="equal">
      <formula>"None"</formula>
    </cfRule>
  </conditionalFormatting>
  <conditionalFormatting sqref="H31">
    <cfRule type="containsText" dxfId="1313" priority="32" operator="containsText" text="PASS">
      <formula>NOT(ISERROR(SEARCH("PASS",H31)))</formula>
    </cfRule>
    <cfRule type="containsText" dxfId="1312" priority="33" operator="containsText" text="FAIL">
      <formula>NOT(ISERROR(SEARCH("FAIL",H31)))</formula>
    </cfRule>
  </conditionalFormatting>
  <conditionalFormatting sqref="H31">
    <cfRule type="cellIs" dxfId="1311" priority="31" operator="equal">
      <formula>"None"</formula>
    </cfRule>
  </conditionalFormatting>
  <conditionalFormatting sqref="H32">
    <cfRule type="containsText" dxfId="1310" priority="29" operator="containsText" text="PASS">
      <formula>NOT(ISERROR(SEARCH("PASS",H32)))</formula>
    </cfRule>
    <cfRule type="containsText" dxfId="1309" priority="30" operator="containsText" text="FAIL">
      <formula>NOT(ISERROR(SEARCH("FAIL",H32)))</formula>
    </cfRule>
  </conditionalFormatting>
  <conditionalFormatting sqref="H32">
    <cfRule type="cellIs" dxfId="1308" priority="28" operator="equal">
      <formula>"None"</formula>
    </cfRule>
  </conditionalFormatting>
  <conditionalFormatting sqref="H33">
    <cfRule type="containsText" dxfId="1307" priority="26" operator="containsText" text="PASS">
      <formula>NOT(ISERROR(SEARCH("PASS",H33)))</formula>
    </cfRule>
    <cfRule type="containsText" dxfId="1306" priority="27" operator="containsText" text="FAIL">
      <formula>NOT(ISERROR(SEARCH("FAIL",H33)))</formula>
    </cfRule>
  </conditionalFormatting>
  <conditionalFormatting sqref="H49">
    <cfRule type="containsText" dxfId="1305" priority="5" operator="containsText" text="PASS">
      <formula>NOT(ISERROR(SEARCH("PASS",H49)))</formula>
    </cfRule>
    <cfRule type="containsText" dxfId="1304" priority="6" operator="containsText" text="FAIL">
      <formula>NOT(ISERROR(SEARCH("FAIL",H49)))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data</vt:lpstr>
      <vt:lpstr>SCAN CHAIN(Y1)</vt:lpstr>
      <vt:lpstr>SCAN CHAIN FORCE(5mil)</vt:lpstr>
      <vt:lpstr>TMU</vt:lpstr>
      <vt:lpstr>TMU_others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2026-08-25T06:47:29Z</dcterms:modified>
</cp:coreProperties>
</file>