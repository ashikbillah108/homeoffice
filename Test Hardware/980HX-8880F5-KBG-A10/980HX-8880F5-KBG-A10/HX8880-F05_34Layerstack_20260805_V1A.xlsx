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ongoing\980HX-8880F5-KBG-A10\Ver.A1\Design\Layerstack\"/>
    </mc:Choice>
  </mc:AlternateContent>
  <bookViews>
    <workbookView xWindow="-28920" yWindow="-120" windowWidth="29040" windowHeight="16440"/>
  </bookViews>
  <sheets>
    <sheet name="34L" sheetId="33" r:id="rId1"/>
    <sheet name="check" sheetId="3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67" i="33" l="1"/>
  <c r="H39" i="34" l="1"/>
  <c r="I39" i="34"/>
  <c r="J39" i="34"/>
  <c r="H2" i="34"/>
  <c r="I2" i="34"/>
  <c r="J2" i="34"/>
  <c r="H3" i="34"/>
  <c r="I3" i="34"/>
  <c r="J3" i="34"/>
  <c r="H4" i="34"/>
  <c r="I4" i="34"/>
  <c r="J4" i="34"/>
  <c r="H5" i="34"/>
  <c r="I5" i="34"/>
  <c r="J5" i="34"/>
  <c r="H6" i="34"/>
  <c r="I6" i="34"/>
  <c r="J6" i="34"/>
  <c r="H7" i="34"/>
  <c r="I7" i="34"/>
  <c r="J7" i="34"/>
  <c r="H8" i="34"/>
  <c r="I8" i="34"/>
  <c r="J8" i="34"/>
  <c r="H9" i="34"/>
  <c r="I9" i="34"/>
  <c r="J9" i="34"/>
  <c r="H10" i="34"/>
  <c r="I10" i="34"/>
  <c r="J10" i="34"/>
  <c r="H11" i="34"/>
  <c r="I11" i="34"/>
  <c r="J11" i="34"/>
  <c r="H12" i="34"/>
  <c r="I12" i="34"/>
  <c r="J12" i="34"/>
  <c r="H13" i="34"/>
  <c r="I13" i="34"/>
  <c r="J13" i="34"/>
  <c r="H14" i="34"/>
  <c r="I14" i="34"/>
  <c r="J14" i="34"/>
  <c r="H15" i="34"/>
  <c r="I15" i="34"/>
  <c r="J15" i="34"/>
  <c r="H16" i="34"/>
  <c r="I16" i="34"/>
  <c r="J16" i="34"/>
  <c r="H17" i="34"/>
  <c r="I17" i="34"/>
  <c r="J17" i="34"/>
  <c r="H18" i="34"/>
  <c r="I18" i="34"/>
  <c r="J18" i="34"/>
  <c r="H19" i="34"/>
  <c r="I19" i="34"/>
  <c r="J19" i="34"/>
  <c r="H20" i="34"/>
  <c r="I20" i="34"/>
  <c r="J20" i="34"/>
  <c r="H21" i="34"/>
  <c r="I21" i="34"/>
  <c r="J21" i="34"/>
  <c r="H22" i="34"/>
  <c r="I22" i="34"/>
  <c r="J22" i="34"/>
  <c r="H23" i="34"/>
  <c r="I23" i="34"/>
  <c r="J23" i="34"/>
  <c r="H24" i="34"/>
  <c r="I24" i="34"/>
  <c r="J24" i="34"/>
  <c r="H25" i="34"/>
  <c r="I25" i="34"/>
  <c r="J25" i="34"/>
  <c r="H26" i="34"/>
  <c r="I26" i="34"/>
  <c r="J26" i="34"/>
  <c r="H27" i="34"/>
  <c r="I27" i="34"/>
  <c r="J27" i="34"/>
  <c r="H28" i="34"/>
  <c r="I28" i="34"/>
  <c r="J28" i="34"/>
  <c r="H29" i="34"/>
  <c r="I29" i="34"/>
  <c r="J29" i="34"/>
  <c r="H30" i="34"/>
  <c r="I30" i="34"/>
  <c r="J30" i="34"/>
  <c r="H31" i="34"/>
  <c r="I31" i="34"/>
  <c r="J31" i="34"/>
  <c r="H32" i="34"/>
  <c r="I32" i="34"/>
  <c r="J32" i="34"/>
  <c r="H33" i="34"/>
  <c r="I33" i="34"/>
  <c r="J33" i="34"/>
  <c r="H34" i="34"/>
  <c r="I34" i="34"/>
  <c r="J34" i="34"/>
  <c r="H35" i="34"/>
  <c r="I35" i="34"/>
  <c r="J35" i="34"/>
  <c r="H36" i="34"/>
  <c r="I36" i="34"/>
  <c r="J36" i="34"/>
  <c r="H37" i="34"/>
  <c r="I37" i="34"/>
  <c r="J37" i="34"/>
  <c r="H38" i="34"/>
  <c r="I38" i="34"/>
  <c r="J38" i="34"/>
  <c r="J1" i="34"/>
  <c r="I1" i="34"/>
  <c r="H1" i="34"/>
  <c r="G73" i="33" l="1"/>
  <c r="G75" i="33" s="1"/>
  <c r="G74" i="33" l="1"/>
</calcChain>
</file>

<file path=xl/sharedStrings.xml><?xml version="1.0" encoding="utf-8"?>
<sst xmlns="http://schemas.openxmlformats.org/spreadsheetml/2006/main" count="455" uniqueCount="65">
  <si>
    <t>silkscreen</t>
    <phoneticPr fontId="1" type="noConversion"/>
  </si>
  <si>
    <t>Thickness</t>
    <phoneticPr fontId="1" type="noConversion"/>
  </si>
  <si>
    <t>soldermask</t>
    <phoneticPr fontId="1" type="noConversion"/>
  </si>
  <si>
    <t>copper</t>
    <phoneticPr fontId="1" type="noConversion"/>
  </si>
  <si>
    <t>core</t>
    <phoneticPr fontId="1" type="noConversion"/>
  </si>
  <si>
    <t>pp</t>
    <phoneticPr fontId="1" type="noConversion"/>
  </si>
  <si>
    <t>Zimp</t>
    <phoneticPr fontId="2" type="noConversion"/>
  </si>
  <si>
    <t>W/Gap</t>
    <phoneticPr fontId="1" type="noConversion"/>
  </si>
  <si>
    <t>DGND</t>
    <phoneticPr fontId="1" type="noConversion"/>
  </si>
  <si>
    <t>Thickness(mil)</t>
    <phoneticPr fontId="1" type="noConversion"/>
  </si>
  <si>
    <t>Thickness(mm)</t>
    <phoneticPr fontId="1" type="noConversion"/>
  </si>
  <si>
    <t>Roughness</t>
  </si>
  <si>
    <t>Material</t>
  </si>
  <si>
    <t>Part Number</t>
  </si>
  <si>
    <t>DK</t>
  </si>
  <si>
    <t>DF</t>
  </si>
  <si>
    <t>W/S/Gap</t>
  </si>
  <si>
    <t>Zdiff</t>
  </si>
  <si>
    <t>BOTTOM</t>
    <phoneticPr fontId="1" type="noConversion"/>
  </si>
  <si>
    <t>Signal</t>
  </si>
  <si>
    <t>POWER</t>
    <phoneticPr fontId="1" type="noConversion"/>
  </si>
  <si>
    <t>TOP</t>
    <phoneticPr fontId="1" type="noConversion"/>
  </si>
  <si>
    <t>Signal</t>
    <phoneticPr fontId="1" type="noConversion"/>
  </si>
  <si>
    <t>TG180-FR4</t>
  </si>
  <si>
    <t>CBIT</t>
    <phoneticPr fontId="1" type="noConversion"/>
  </si>
  <si>
    <t>5V</t>
    <phoneticPr fontId="1" type="noConversion"/>
  </si>
  <si>
    <t>100Ω</t>
  </si>
  <si>
    <t>IT968G</t>
  </si>
  <si>
    <t>IT968G</t>
    <phoneticPr fontId="1" type="noConversion"/>
  </si>
  <si>
    <t>50Ω</t>
    <phoneticPr fontId="1" type="noConversion"/>
  </si>
  <si>
    <t>4.7/14.1</t>
    <phoneticPr fontId="1" type="noConversion"/>
  </si>
  <si>
    <t>90Ω</t>
    <phoneticPr fontId="1" type="noConversion"/>
  </si>
  <si>
    <t>85Ω</t>
    <phoneticPr fontId="1" type="noConversion"/>
  </si>
  <si>
    <t>42.5Ω</t>
    <phoneticPr fontId="1" type="noConversion"/>
  </si>
  <si>
    <t>45Ω</t>
    <phoneticPr fontId="1" type="noConversion"/>
  </si>
  <si>
    <t>6.5/19.5</t>
    <phoneticPr fontId="1" type="noConversion"/>
  </si>
  <si>
    <t>5.8/17.4</t>
    <phoneticPr fontId="1" type="noConversion"/>
  </si>
  <si>
    <t>5.8/9.8/29.4</t>
    <phoneticPr fontId="1" type="noConversion"/>
  </si>
  <si>
    <t>4.9/8/24</t>
    <phoneticPr fontId="1" type="noConversion"/>
  </si>
  <si>
    <t>3.4/6/18</t>
    <phoneticPr fontId="1" type="noConversion"/>
  </si>
  <si>
    <t>4/12</t>
    <phoneticPr fontId="1" type="noConversion"/>
  </si>
  <si>
    <t>3.5/10.5</t>
    <phoneticPr fontId="1" type="noConversion"/>
  </si>
  <si>
    <t>2.9/8.7</t>
    <phoneticPr fontId="1" type="noConversion"/>
  </si>
  <si>
    <t>3.9/5.8/17.4</t>
    <phoneticPr fontId="1" type="noConversion"/>
  </si>
  <si>
    <t>3.1/4/12</t>
    <phoneticPr fontId="1" type="noConversion"/>
  </si>
  <si>
    <t>2.8/5/15</t>
    <phoneticPr fontId="1" type="noConversion"/>
  </si>
  <si>
    <t>50Ω</t>
  </si>
  <si>
    <t>4.4/13.2</t>
    <phoneticPr fontId="1" type="noConversion"/>
  </si>
  <si>
    <t>3.1/9.3</t>
    <phoneticPr fontId="1" type="noConversion"/>
  </si>
  <si>
    <t>3.8/11.4</t>
    <phoneticPr fontId="1" type="noConversion"/>
  </si>
  <si>
    <t>2.8/4.5/13.5</t>
    <phoneticPr fontId="1" type="noConversion"/>
  </si>
  <si>
    <t>3.8/7.4/22.2</t>
    <phoneticPr fontId="1" type="noConversion"/>
  </si>
  <si>
    <t>4.3/7.8/23.4</t>
    <phoneticPr fontId="1" type="noConversion"/>
  </si>
  <si>
    <t>mil</t>
  </si>
  <si>
    <t>Top ring diameter = 26mil</t>
    <phoneticPr fontId="1" type="noConversion"/>
  </si>
  <si>
    <t>14mil</t>
    <phoneticPr fontId="1" type="noConversion"/>
  </si>
  <si>
    <t>28mil</t>
  </si>
  <si>
    <t>BTM pad diameter = 60mil</t>
    <phoneticPr fontId="1" type="noConversion"/>
  </si>
  <si>
    <t>Dimension : mils</t>
  </si>
  <si>
    <t>anti-pad diameter = 80mil(for L30 to L37)</t>
    <phoneticPr fontId="1" type="noConversion"/>
  </si>
  <si>
    <t>pad diameter = 40mil (for L30 to L37 ring)</t>
    <phoneticPr fontId="1" type="noConversion"/>
  </si>
  <si>
    <t>Inner ring diameter = 24mil(for L2 to L29 ring)</t>
    <phoneticPr fontId="1" type="noConversion"/>
  </si>
  <si>
    <t>anti-pad diameter = 54mil(for L2 to L29)</t>
    <phoneticPr fontId="1" type="noConversion"/>
  </si>
  <si>
    <t>背鑽</t>
    <phoneticPr fontId="1" type="noConversion"/>
  </si>
  <si>
    <t>Stub &lt; 12 mil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</si>
</sst>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m&quot;月&quot;d&quot;日&quot;"/>
    <numFmt numFmtId="178" formatCode="0.000_ "/>
  </numFmts>
  <fonts count="2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Arial Unicode MS"/>
      <family val="1"/>
      <charset val="136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細明體"/>
      <family val="3"/>
      <charset val="136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13"/>
        <bgColor indexed="34"/>
      </patternFill>
    </fill>
    <fill>
      <patternFill patternType="solid">
        <fgColor indexed="48"/>
        <bgColor indexed="3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7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1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</cellStyleXfs>
  <cellXfs count="97">
    <xf numFmtId="0" fontId="0" fillId="0" borderId="0" xfId="0"/>
    <xf numFmtId="0" fontId="21" fillId="0" borderId="0" xfId="0" applyFont="1"/>
    <xf numFmtId="0" fontId="22" fillId="0" borderId="0" xfId="0" applyFont="1" applyBorder="1" applyAlignment="1"/>
    <xf numFmtId="0" fontId="22" fillId="0" borderId="0" xfId="0" applyFont="1" applyBorder="1"/>
    <xf numFmtId="0" fontId="22" fillId="0" borderId="0" xfId="0" applyFont="1" applyAlignment="1"/>
    <xf numFmtId="0" fontId="22" fillId="0" borderId="0" xfId="0" applyFont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49" fontId="22" fillId="0" borderId="0" xfId="0" applyNumberFormat="1" applyFont="1"/>
    <xf numFmtId="0" fontId="22" fillId="25" borderId="0" xfId="0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25" borderId="12" xfId="0" applyFont="1" applyFill="1" applyBorder="1" applyAlignment="1">
      <alignment horizontal="center"/>
    </xf>
    <xf numFmtId="0" fontId="22" fillId="26" borderId="12" xfId="0" applyFont="1" applyFill="1" applyBorder="1"/>
    <xf numFmtId="0" fontId="22" fillId="27" borderId="12" xfId="0" applyFont="1" applyFill="1" applyBorder="1"/>
    <xf numFmtId="0" fontId="22" fillId="0" borderId="0" xfId="0" applyFont="1" applyFill="1"/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/>
    <xf numFmtId="49" fontId="22" fillId="0" borderId="0" xfId="0" applyNumberFormat="1" applyFont="1" applyBorder="1"/>
    <xf numFmtId="0" fontId="22" fillId="0" borderId="0" xfId="0" applyFont="1" applyBorder="1" applyAlignment="1">
      <alignment horizontal="left"/>
    </xf>
    <xf numFmtId="49" fontId="22" fillId="0" borderId="15" xfId="0" applyNumberFormat="1" applyFont="1" applyBorder="1"/>
    <xf numFmtId="0" fontId="22" fillId="0" borderId="15" xfId="0" applyFont="1" applyBorder="1"/>
    <xf numFmtId="0" fontId="22" fillId="0" borderId="15" xfId="0" applyFont="1" applyFill="1" applyBorder="1" applyAlignment="1">
      <alignment horizontal="left" vertical="top"/>
    </xf>
    <xf numFmtId="49" fontId="22" fillId="0" borderId="15" xfId="0" applyNumberFormat="1" applyFont="1" applyBorder="1" applyAlignment="1">
      <alignment horizontal="left"/>
    </xf>
    <xf numFmtId="0" fontId="22" fillId="0" borderId="15" xfId="0" applyFont="1" applyBorder="1" applyAlignment="1">
      <alignment horizontal="left" wrapText="1"/>
    </xf>
    <xf numFmtId="49" fontId="23" fillId="0" borderId="15" xfId="0" applyNumberFormat="1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4" fillId="0" borderId="15" xfId="42" applyFont="1" applyFill="1" applyBorder="1"/>
    <xf numFmtId="2" fontId="22" fillId="0" borderId="15" xfId="0" applyNumberFormat="1" applyFont="1" applyFill="1" applyBorder="1" applyAlignment="1">
      <alignment horizontal="left" vertical="top"/>
    </xf>
    <xf numFmtId="2" fontId="23" fillId="0" borderId="15" xfId="0" applyNumberFormat="1" applyFont="1" applyBorder="1" applyAlignment="1">
      <alignment horizontal="left" vertical="top"/>
    </xf>
    <xf numFmtId="176" fontId="22" fillId="0" borderId="0" xfId="0" applyNumberFormat="1" applyFont="1" applyBorder="1" applyAlignment="1">
      <alignment horizontal="left"/>
    </xf>
    <xf numFmtId="2" fontId="22" fillId="0" borderId="15" xfId="0" applyNumberFormat="1" applyFont="1" applyBorder="1" applyAlignment="1">
      <alignment horizontal="left"/>
    </xf>
    <xf numFmtId="0" fontId="22" fillId="30" borderId="0" xfId="43" applyFont="1" applyFill="1" applyBorder="1" applyAlignment="1">
      <alignment horizontal="center"/>
    </xf>
    <xf numFmtId="0" fontId="22" fillId="31" borderId="0" xfId="43" applyFont="1" applyFill="1" applyBorder="1" applyAlignment="1">
      <alignment horizontal="center"/>
    </xf>
    <xf numFmtId="0" fontId="22" fillId="32" borderId="0" xfId="43" applyFont="1" applyFill="1" applyBorder="1" applyAlignment="1">
      <alignment horizontal="center"/>
    </xf>
    <xf numFmtId="2" fontId="22" fillId="0" borderId="0" xfId="0" applyNumberFormat="1" applyFont="1" applyFill="1" applyAlignment="1">
      <alignment horizontal="left"/>
    </xf>
    <xf numFmtId="0" fontId="23" fillId="0" borderId="0" xfId="0" applyFont="1" applyAlignment="1"/>
    <xf numFmtId="178" fontId="22" fillId="0" borderId="0" xfId="0" applyNumberFormat="1" applyFont="1" applyAlignment="1"/>
    <xf numFmtId="49" fontId="22" fillId="0" borderId="0" xfId="0" applyNumberFormat="1" applyFont="1" applyAlignment="1"/>
    <xf numFmtId="177" fontId="22" fillId="35" borderId="15" xfId="0" applyNumberFormat="1" applyFont="1" applyFill="1" applyBorder="1" applyAlignment="1">
      <alignment horizontal="left" wrapText="1"/>
    </xf>
    <xf numFmtId="49" fontId="22" fillId="35" borderId="15" xfId="0" applyNumberFormat="1" applyFont="1" applyFill="1" applyBorder="1" applyAlignment="1"/>
    <xf numFmtId="0" fontId="22" fillId="25" borderId="0" xfId="0" applyFont="1" applyFill="1" applyBorder="1" applyAlignment="1">
      <alignment horizontal="center" vertical="center"/>
    </xf>
    <xf numFmtId="0" fontId="23" fillId="25" borderId="0" xfId="0" applyFont="1" applyFill="1" applyBorder="1" applyAlignment="1">
      <alignment horizontal="center"/>
    </xf>
    <xf numFmtId="0" fontId="23" fillId="36" borderId="0" xfId="0" applyFont="1" applyFill="1" applyBorder="1" applyAlignment="1">
      <alignment horizontal="center"/>
    </xf>
    <xf numFmtId="0" fontId="23" fillId="25" borderId="0" xfId="42" applyFont="1" applyFill="1" applyBorder="1" applyAlignment="1">
      <alignment horizontal="center"/>
    </xf>
    <xf numFmtId="0" fontId="22" fillId="37" borderId="0" xfId="0" applyFont="1" applyFill="1" applyBorder="1" applyAlignment="1">
      <alignment horizontal="center" vertical="center"/>
    </xf>
    <xf numFmtId="0" fontId="22" fillId="36" borderId="0" xfId="0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>
      <alignment horizontal="left" vertical="top"/>
    </xf>
    <xf numFmtId="0" fontId="23" fillId="24" borderId="10" xfId="0" applyFont="1" applyFill="1" applyBorder="1" applyAlignment="1"/>
    <xf numFmtId="0" fontId="23" fillId="24" borderId="11" xfId="0" applyFont="1" applyFill="1" applyBorder="1" applyAlignment="1">
      <alignment horizontal="center"/>
    </xf>
    <xf numFmtId="0" fontId="23" fillId="24" borderId="17" xfId="0" applyFont="1" applyFill="1" applyBorder="1" applyAlignment="1"/>
    <xf numFmtId="0" fontId="23" fillId="24" borderId="12" xfId="0" applyFont="1" applyFill="1" applyBorder="1" applyAlignment="1"/>
    <xf numFmtId="0" fontId="23" fillId="24" borderId="16" xfId="0" applyFont="1" applyFill="1" applyBorder="1" applyAlignment="1"/>
    <xf numFmtId="0" fontId="23" fillId="36" borderId="12" xfId="0" applyFont="1" applyFill="1" applyBorder="1" applyAlignment="1"/>
    <xf numFmtId="0" fontId="23" fillId="36" borderId="16" xfId="0" applyFont="1" applyFill="1" applyBorder="1" applyAlignment="1">
      <alignment horizontal="right"/>
    </xf>
    <xf numFmtId="0" fontId="23" fillId="25" borderId="12" xfId="0" applyFont="1" applyFill="1" applyBorder="1" applyAlignment="1">
      <alignment horizontal="center"/>
    </xf>
    <xf numFmtId="0" fontId="23" fillId="25" borderId="16" xfId="0" applyFont="1" applyFill="1" applyBorder="1" applyAlignment="1">
      <alignment horizontal="center"/>
    </xf>
    <xf numFmtId="0" fontId="23" fillId="37" borderId="12" xfId="0" applyFont="1" applyFill="1" applyBorder="1" applyAlignment="1"/>
    <xf numFmtId="0" fontId="23" fillId="37" borderId="16" xfId="0" applyFont="1" applyFill="1" applyBorder="1" applyAlignment="1"/>
    <xf numFmtId="0" fontId="23" fillId="36" borderId="16" xfId="0" applyFont="1" applyFill="1" applyBorder="1" applyAlignment="1"/>
    <xf numFmtId="0" fontId="22" fillId="26" borderId="16" xfId="0" applyFont="1" applyFill="1" applyBorder="1"/>
    <xf numFmtId="0" fontId="22" fillId="27" borderId="16" xfId="0" applyFont="1" applyFill="1" applyBorder="1" applyAlignment="1">
      <alignment horizontal="right"/>
    </xf>
    <xf numFmtId="0" fontId="22" fillId="25" borderId="16" xfId="0" applyFont="1" applyFill="1" applyBorder="1" applyAlignment="1">
      <alignment horizontal="center"/>
    </xf>
    <xf numFmtId="0" fontId="23" fillId="28" borderId="13" xfId="0" applyFont="1" applyFill="1" applyBorder="1" applyAlignment="1"/>
    <xf numFmtId="0" fontId="23" fillId="28" borderId="14" xfId="0" applyFont="1" applyFill="1" applyBorder="1" applyAlignment="1">
      <alignment horizontal="center"/>
    </xf>
    <xf numFmtId="0" fontId="23" fillId="28" borderId="18" xfId="0" applyFont="1" applyFill="1" applyBorder="1" applyAlignment="1"/>
    <xf numFmtId="0" fontId="22" fillId="33" borderId="0" xfId="0" applyFont="1" applyFill="1" applyBorder="1" applyAlignment="1">
      <alignment horizontal="center"/>
    </xf>
    <xf numFmtId="0" fontId="23" fillId="28" borderId="12" xfId="0" applyFont="1" applyFill="1" applyBorder="1" applyAlignment="1"/>
    <xf numFmtId="0" fontId="23" fillId="28" borderId="0" xfId="0" applyFont="1" applyFill="1" applyBorder="1" applyAlignment="1">
      <alignment horizontal="center"/>
    </xf>
    <xf numFmtId="0" fontId="23" fillId="28" borderId="16" xfId="0" applyFont="1" applyFill="1" applyBorder="1" applyAlignment="1"/>
    <xf numFmtId="177" fontId="22" fillId="38" borderId="15" xfId="0" applyNumberFormat="1" applyFont="1" applyFill="1" applyBorder="1" applyAlignment="1">
      <alignment horizontal="left" wrapText="1"/>
    </xf>
    <xf numFmtId="49" fontId="22" fillId="38" borderId="15" xfId="0" applyNumberFormat="1" applyFont="1" applyFill="1" applyBorder="1" applyAlignment="1"/>
    <xf numFmtId="49" fontId="22" fillId="35" borderId="15" xfId="0" applyNumberFormat="1" applyFont="1" applyFill="1" applyBorder="1"/>
    <xf numFmtId="49" fontId="22" fillId="38" borderId="15" xfId="0" applyNumberFormat="1" applyFont="1" applyFill="1" applyBorder="1"/>
    <xf numFmtId="49" fontId="22" fillId="38" borderId="15" xfId="0" applyNumberFormat="1" applyFont="1" applyFill="1" applyBorder="1" applyAlignment="1">
      <alignment horizontal="left" wrapText="1"/>
    </xf>
    <xf numFmtId="0" fontId="21" fillId="0" borderId="0" xfId="0" applyFont="1" applyBorder="1"/>
    <xf numFmtId="49" fontId="22" fillId="35" borderId="15" xfId="0" applyNumberFormat="1" applyFont="1" applyFill="1" applyBorder="1" applyAlignment="1">
      <alignment horizontal="left" wrapText="1"/>
    </xf>
    <xf numFmtId="0" fontId="22" fillId="34" borderId="0" xfId="0" applyFont="1" applyFill="1" applyBorder="1" applyAlignment="1">
      <alignment horizontal="center"/>
    </xf>
    <xf numFmtId="49" fontId="22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29" borderId="0" xfId="45" applyFont="1" applyFill="1" applyAlignment="1">
      <alignment horizontal="center"/>
    </xf>
    <xf numFmtId="0" fontId="22" fillId="25" borderId="0" xfId="0" applyFont="1" applyFill="1" applyAlignment="1">
      <alignment vertical="center"/>
    </xf>
    <xf numFmtId="0" fontId="22" fillId="39" borderId="0" xfId="0" applyFont="1" applyFill="1" applyBorder="1"/>
    <xf numFmtId="0" fontId="26" fillId="0" borderId="0" xfId="0" applyFont="1" applyAlignment="1">
      <alignment vertical="center"/>
    </xf>
    <xf numFmtId="0" fontId="22" fillId="29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2" fillId="0" borderId="0" xfId="45" applyFont="1" applyAlignment="1">
      <alignment horizontal="center"/>
    </xf>
    <xf numFmtId="2" fontId="22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2" fillId="29" borderId="0" xfId="0" applyFont="1" applyFill="1" applyAlignment="1"/>
    <xf numFmtId="0" fontId="25" fillId="0" borderId="0" xfId="0" applyFont="1" applyAlignment="1">
      <alignment horizontal="center"/>
    </xf>
    <xf numFmtId="0" fontId="22" fillId="40" borderId="0" xfId="0" applyFont="1" applyFill="1" applyAlignment="1"/>
    <xf numFmtId="0" fontId="0" fillId="0" borderId="0" xfId="0" applyAlignment="1"/>
    <xf numFmtId="0" fontId="22" fillId="40" borderId="0" xfId="0" applyFont="1" applyFill="1" applyAlignment="1">
      <alignment vertical="center"/>
    </xf>
    <xf numFmtId="0" fontId="22" fillId="25" borderId="13" xfId="0" applyFont="1" applyFill="1" applyBorder="1" applyAlignment="1">
      <alignment horizontal="center"/>
    </xf>
    <xf numFmtId="0" fontId="22" fillId="31" borderId="14" xfId="43" applyFont="1" applyFill="1" applyBorder="1" applyAlignment="1">
      <alignment horizontal="center"/>
    </xf>
    <xf numFmtId="0" fontId="22" fillId="25" borderId="18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</cellXfs>
  <cellStyles count="46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42"/>
    <cellStyle name="一般 3" xfId="43"/>
    <cellStyle name="一般 30" xfId="44"/>
    <cellStyle name="一般 5" xfId="45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3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447675</xdr:colOff>
      <xdr:row>2</xdr:row>
      <xdr:rowOff>9525</xdr:rowOff>
    </xdr:from>
    <xdr:to>
      <xdr:col>30</xdr:col>
      <xdr:colOff>19050</xdr:colOff>
      <xdr:row>2</xdr:row>
      <xdr:rowOff>9525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7CF34FD8-6397-4A43-8A4D-6D54539A83BE}"/>
            </a:ext>
          </a:extLst>
        </xdr:cNvPr>
        <xdr:cNvSpPr>
          <a:spLocks noChangeShapeType="1"/>
        </xdr:cNvSpPr>
      </xdr:nvSpPr>
      <xdr:spPr bwMode="auto">
        <a:xfrm>
          <a:off x="11525250" y="6381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0</xdr:colOff>
      <xdr:row>68</xdr:row>
      <xdr:rowOff>200025</xdr:rowOff>
    </xdr:from>
    <xdr:to>
      <xdr:col>38</xdr:col>
      <xdr:colOff>0</xdr:colOff>
      <xdr:row>68</xdr:row>
      <xdr:rowOff>200025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B328C7F-61BB-4AA1-85DC-0B40AF964640}"/>
            </a:ext>
          </a:extLst>
        </xdr:cNvPr>
        <xdr:cNvSpPr>
          <a:spLocks noChangeShapeType="1"/>
        </xdr:cNvSpPr>
      </xdr:nvSpPr>
      <xdr:spPr bwMode="auto">
        <a:xfrm>
          <a:off x="14697075" y="9963150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70</xdr:row>
      <xdr:rowOff>98602</xdr:rowOff>
    </xdr:from>
    <xdr:to>
      <xdr:col>40</xdr:col>
      <xdr:colOff>7327</xdr:colOff>
      <xdr:row>70</xdr:row>
      <xdr:rowOff>98602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7C4C376C-42CD-47BF-8FD9-F54194FA6E19}"/>
            </a:ext>
          </a:extLst>
        </xdr:cNvPr>
        <xdr:cNvCxnSpPr/>
      </xdr:nvCxnSpPr>
      <xdr:spPr>
        <a:xfrm>
          <a:off x="13639800" y="10280827"/>
          <a:ext cx="3236302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371475</xdr:colOff>
      <xdr:row>3</xdr:row>
      <xdr:rowOff>19050</xdr:rowOff>
    </xdr:from>
    <xdr:to>
      <xdr:col>36</xdr:col>
      <xdr:colOff>361950</xdr:colOff>
      <xdr:row>3</xdr:row>
      <xdr:rowOff>19050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F6B3D25E-8CB8-4781-B271-CB32342E94CE}"/>
            </a:ext>
          </a:extLst>
        </xdr:cNvPr>
        <xdr:cNvSpPr>
          <a:spLocks noChangeShapeType="1"/>
        </xdr:cNvSpPr>
      </xdr:nvSpPr>
      <xdr:spPr bwMode="auto">
        <a:xfrm>
          <a:off x="15068550" y="8477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678656</xdr:colOff>
      <xdr:row>1</xdr:row>
      <xdr:rowOff>130969</xdr:rowOff>
    </xdr:from>
    <xdr:to>
      <xdr:col>38</xdr:col>
      <xdr:colOff>365126</xdr:colOff>
      <xdr:row>1</xdr:row>
      <xdr:rowOff>130969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A5973A45-CA02-48B0-B6BD-85B15D9D5BED}"/>
            </a:ext>
          </a:extLst>
        </xdr:cNvPr>
        <xdr:cNvCxnSpPr/>
      </xdr:nvCxnSpPr>
      <xdr:spPr>
        <a:xfrm>
          <a:off x="14318456" y="550069"/>
          <a:ext cx="185817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1"/>
  <sheetViews>
    <sheetView tabSelected="1" zoomScale="70" zoomScaleNormal="70" workbookViewId="0">
      <pane xSplit="7" topLeftCell="Q1" activePane="topRight" state="frozen"/>
      <selection pane="topRight" activeCell="S35" sqref="S35"/>
    </sheetView>
  </sheetViews>
  <sheetFormatPr defaultColWidth="9" defaultRowHeight="16.5"/>
  <cols>
    <col min="1" max="3" width="14.625" style="3" customWidth="1"/>
    <col min="4" max="5" width="10.375" style="6" customWidth="1"/>
    <col min="6" max="6" width="16" style="6" bestFit="1" customWidth="1"/>
    <col min="7" max="7" width="13.125" style="14" customWidth="1"/>
    <col min="8" max="12" width="12.625" style="14" customWidth="1"/>
    <col min="13" max="13" width="11" style="6" customWidth="1"/>
    <col min="14" max="14" width="9.875" style="6" customWidth="1"/>
    <col min="15" max="15" width="11" style="6" customWidth="1"/>
    <col min="16" max="16" width="9.875" style="6" customWidth="1"/>
    <col min="17" max="17" width="11" style="6" customWidth="1"/>
    <col min="18" max="18" width="9.875" style="6" customWidth="1"/>
    <col min="19" max="19" width="14.625" style="6" customWidth="1"/>
    <col min="20" max="20" width="9.875" style="6" customWidth="1"/>
    <col min="21" max="21" width="14.625" style="6" customWidth="1"/>
    <col min="22" max="22" width="9.875" style="6" customWidth="1"/>
    <col min="23" max="23" width="14.625" style="6" customWidth="1"/>
    <col min="24" max="24" width="9.875" style="6" customWidth="1"/>
    <col min="25" max="25" width="3.125" style="6" customWidth="1"/>
    <col min="26" max="26" width="2.625" style="2" customWidth="1"/>
    <col min="27" max="27" width="3.5" style="6" customWidth="1"/>
    <col min="28" max="32" width="3.25" style="10" customWidth="1"/>
    <col min="33" max="33" width="9" style="1"/>
    <col min="34" max="34" width="9" style="10"/>
    <col min="35" max="39" width="4.875" style="10" customWidth="1"/>
    <col min="40" max="43" width="9" style="10"/>
    <col min="44" max="45" width="9" style="1"/>
    <col min="46" max="48" width="3.25" style="10" customWidth="1"/>
    <col min="49" max="49" width="13.5" style="10" bestFit="1" customWidth="1"/>
    <col min="50" max="16384" width="9" style="1"/>
  </cols>
  <sheetData>
    <row r="1" spans="1:49">
      <c r="G1" s="23" t="s">
        <v>58</v>
      </c>
      <c r="H1" s="23"/>
      <c r="I1" s="23"/>
      <c r="J1" s="23"/>
      <c r="K1" s="23"/>
      <c r="L1" s="23"/>
      <c r="M1" s="23"/>
      <c r="N1" s="24"/>
      <c r="O1" s="23"/>
      <c r="P1" s="24"/>
      <c r="Q1" s="23"/>
      <c r="R1" s="24"/>
      <c r="S1" s="23"/>
      <c r="T1" s="24"/>
      <c r="U1" s="23"/>
      <c r="V1" s="24"/>
      <c r="W1" s="23"/>
      <c r="X1" s="24"/>
    </row>
    <row r="2" spans="1:49" ht="18.75">
      <c r="A2" s="3" t="s">
        <v>0</v>
      </c>
      <c r="B2" s="5"/>
      <c r="C2" s="5"/>
      <c r="E2" s="7"/>
      <c r="G2" s="20" t="s">
        <v>1</v>
      </c>
      <c r="H2" s="26" t="s">
        <v>11</v>
      </c>
      <c r="I2" s="26" t="s">
        <v>12</v>
      </c>
      <c r="J2" s="26" t="s">
        <v>13</v>
      </c>
      <c r="K2" s="26" t="s">
        <v>14</v>
      </c>
      <c r="L2" s="26" t="s">
        <v>15</v>
      </c>
      <c r="M2" s="19" t="s">
        <v>7</v>
      </c>
      <c r="N2" s="19" t="s">
        <v>6</v>
      </c>
      <c r="O2" s="19" t="s">
        <v>7</v>
      </c>
      <c r="P2" s="19" t="s">
        <v>6</v>
      </c>
      <c r="Q2" s="19" t="s">
        <v>7</v>
      </c>
      <c r="R2" s="19" t="s">
        <v>6</v>
      </c>
      <c r="S2" s="22" t="s">
        <v>16</v>
      </c>
      <c r="T2" s="22" t="s">
        <v>17</v>
      </c>
      <c r="U2" s="22" t="s">
        <v>16</v>
      </c>
      <c r="V2" s="22" t="s">
        <v>17</v>
      </c>
      <c r="W2" s="22" t="s">
        <v>16</v>
      </c>
      <c r="X2" s="22" t="s">
        <v>17</v>
      </c>
      <c r="Y2" s="8"/>
      <c r="Z2" s="4"/>
      <c r="AC2" s="78"/>
      <c r="AD2" s="10">
        <v>10</v>
      </c>
      <c r="AE2" s="10" t="s">
        <v>53</v>
      </c>
      <c r="AJ2" s="78"/>
      <c r="AM2" s="82"/>
      <c r="AN2" s="77" t="s">
        <v>54</v>
      </c>
    </row>
    <row r="3" spans="1:49">
      <c r="A3" s="3" t="s">
        <v>2</v>
      </c>
      <c r="B3" s="5"/>
      <c r="C3" s="5"/>
      <c r="D3" s="47"/>
      <c r="E3" s="48"/>
      <c r="F3" s="49"/>
      <c r="G3" s="46">
        <v>1.4</v>
      </c>
      <c r="H3" s="21"/>
      <c r="I3" s="21"/>
      <c r="J3" s="21"/>
      <c r="K3" s="21"/>
      <c r="L3" s="21"/>
      <c r="M3" s="19"/>
      <c r="N3" s="19"/>
      <c r="O3" s="19"/>
      <c r="P3" s="19"/>
      <c r="Q3" s="19"/>
      <c r="R3" s="19"/>
      <c r="S3" s="22"/>
      <c r="T3" s="22"/>
      <c r="U3" s="22"/>
      <c r="V3" s="22"/>
      <c r="W3" s="22"/>
      <c r="X3" s="22"/>
      <c r="Y3" s="8"/>
      <c r="Z3" s="4"/>
      <c r="AB3" s="79"/>
      <c r="AC3" s="79"/>
      <c r="AE3" s="79"/>
      <c r="AF3" s="79"/>
      <c r="AI3" s="79"/>
      <c r="AJ3" s="79"/>
      <c r="AK3" s="77" t="s">
        <v>55</v>
      </c>
      <c r="AL3" s="79"/>
      <c r="AM3" s="79"/>
      <c r="AU3" s="87" t="s">
        <v>63</v>
      </c>
    </row>
    <row r="4" spans="1:49">
      <c r="A4" s="3" t="s">
        <v>3</v>
      </c>
      <c r="B4" s="5">
        <v>1</v>
      </c>
      <c r="C4" s="5" t="s">
        <v>21</v>
      </c>
      <c r="D4" s="50"/>
      <c r="E4" s="41"/>
      <c r="F4" s="51"/>
      <c r="G4" s="46">
        <v>2</v>
      </c>
      <c r="H4" s="27"/>
      <c r="I4" s="27"/>
      <c r="J4" s="27"/>
      <c r="K4" s="27"/>
      <c r="L4" s="27"/>
      <c r="M4" s="38" t="s">
        <v>35</v>
      </c>
      <c r="N4" s="39" t="s">
        <v>33</v>
      </c>
      <c r="O4" s="38" t="s">
        <v>36</v>
      </c>
      <c r="P4" s="39" t="s">
        <v>34</v>
      </c>
      <c r="Q4" s="69" t="s">
        <v>30</v>
      </c>
      <c r="R4" s="70" t="s">
        <v>29</v>
      </c>
      <c r="S4" s="71" t="s">
        <v>37</v>
      </c>
      <c r="T4" s="71" t="s">
        <v>32</v>
      </c>
      <c r="U4" s="72" t="s">
        <v>38</v>
      </c>
      <c r="V4" s="72" t="s">
        <v>31</v>
      </c>
      <c r="W4" s="72" t="s">
        <v>39</v>
      </c>
      <c r="X4" s="72" t="s">
        <v>26</v>
      </c>
      <c r="Y4" s="8"/>
      <c r="AC4" s="80"/>
      <c r="AE4" s="79"/>
      <c r="AJ4" s="80"/>
      <c r="AL4" s="79"/>
      <c r="AT4" s="83"/>
      <c r="AU4" s="83"/>
      <c r="AV4" s="83"/>
    </row>
    <row r="5" spans="1:49">
      <c r="A5" s="3" t="s">
        <v>5</v>
      </c>
      <c r="B5" s="5"/>
      <c r="C5" s="5"/>
      <c r="D5" s="52"/>
      <c r="E5" s="42" t="s">
        <v>28</v>
      </c>
      <c r="F5" s="53"/>
      <c r="G5" s="46">
        <v>2.56</v>
      </c>
      <c r="H5" s="28"/>
      <c r="I5" s="28"/>
      <c r="J5" s="28"/>
      <c r="K5" s="28">
        <v>2.88</v>
      </c>
      <c r="L5" s="28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8"/>
      <c r="AC5" s="80"/>
      <c r="AE5" s="79"/>
      <c r="AI5" s="83"/>
      <c r="AJ5" s="80"/>
      <c r="AL5" s="79"/>
      <c r="AM5" s="83"/>
      <c r="AQ5" s="82"/>
      <c r="AU5" s="83"/>
    </row>
    <row r="6" spans="1:49">
      <c r="A6" s="3" t="s">
        <v>3</v>
      </c>
      <c r="B6" s="5">
        <v>2</v>
      </c>
      <c r="C6" s="5" t="s">
        <v>8</v>
      </c>
      <c r="D6" s="54"/>
      <c r="E6" s="43"/>
      <c r="F6" s="55"/>
      <c r="G6" s="46">
        <v>0.62</v>
      </c>
      <c r="H6" s="28"/>
      <c r="I6" s="28"/>
      <c r="J6" s="28"/>
      <c r="K6" s="28"/>
      <c r="L6" s="2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8"/>
      <c r="AC6" s="80"/>
      <c r="AE6" s="79"/>
      <c r="AJ6" s="80"/>
      <c r="AL6" s="79"/>
      <c r="AM6" s="82"/>
      <c r="AU6" s="83"/>
    </row>
    <row r="7" spans="1:49">
      <c r="A7" s="3" t="s">
        <v>4</v>
      </c>
      <c r="B7" s="5"/>
      <c r="C7" s="5"/>
      <c r="D7" s="56"/>
      <c r="E7" s="44" t="s">
        <v>28</v>
      </c>
      <c r="F7" s="57"/>
      <c r="G7" s="46">
        <v>3</v>
      </c>
      <c r="H7" s="28"/>
      <c r="I7" s="28"/>
      <c r="J7" s="28"/>
      <c r="K7" s="28">
        <v>3.24</v>
      </c>
      <c r="L7" s="2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8"/>
      <c r="AC7" s="80"/>
      <c r="AE7" s="79"/>
      <c r="AJ7" s="80"/>
      <c r="AL7" s="79"/>
      <c r="AU7" s="83"/>
    </row>
    <row r="8" spans="1:49">
      <c r="A8" s="3" t="s">
        <v>3</v>
      </c>
      <c r="B8" s="5">
        <v>3</v>
      </c>
      <c r="C8" s="76" t="s">
        <v>22</v>
      </c>
      <c r="D8" s="52"/>
      <c r="E8" s="43"/>
      <c r="F8" s="58"/>
      <c r="G8" s="46">
        <v>0.62</v>
      </c>
      <c r="H8" s="28"/>
      <c r="I8" s="28"/>
      <c r="J8" s="28"/>
      <c r="K8" s="28"/>
      <c r="L8" s="28"/>
      <c r="M8" s="75" t="s">
        <v>40</v>
      </c>
      <c r="N8" s="39" t="s">
        <v>33</v>
      </c>
      <c r="O8" s="38" t="s">
        <v>41</v>
      </c>
      <c r="P8" s="39" t="s">
        <v>34</v>
      </c>
      <c r="Q8" s="73" t="s">
        <v>42</v>
      </c>
      <c r="R8" s="70" t="s">
        <v>29</v>
      </c>
      <c r="S8" s="71" t="s">
        <v>43</v>
      </c>
      <c r="T8" s="71" t="s">
        <v>32</v>
      </c>
      <c r="U8" s="72" t="s">
        <v>44</v>
      </c>
      <c r="V8" s="72" t="s">
        <v>31</v>
      </c>
      <c r="W8" s="72" t="s">
        <v>45</v>
      </c>
      <c r="X8" s="72" t="s">
        <v>26</v>
      </c>
      <c r="Y8" s="8"/>
      <c r="AC8" s="80"/>
      <c r="AE8" s="79"/>
      <c r="AJ8" s="80"/>
      <c r="AL8" s="79"/>
      <c r="AT8" s="88"/>
      <c r="AU8" s="88"/>
      <c r="AV8" s="88"/>
      <c r="AW8" s="89" t="s">
        <v>22</v>
      </c>
    </row>
    <row r="9" spans="1:49">
      <c r="A9" s="3" t="s">
        <v>5</v>
      </c>
      <c r="B9" s="5"/>
      <c r="C9" s="5"/>
      <c r="D9" s="52"/>
      <c r="E9" s="42" t="s">
        <v>28</v>
      </c>
      <c r="F9" s="53"/>
      <c r="G9" s="46">
        <v>3.47</v>
      </c>
      <c r="H9" s="28"/>
      <c r="I9" s="28"/>
      <c r="J9" s="28"/>
      <c r="K9" s="28">
        <v>2.99</v>
      </c>
      <c r="L9" s="28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8"/>
      <c r="AC9" s="80"/>
      <c r="AE9" s="79"/>
      <c r="AI9" s="84"/>
      <c r="AJ9" s="80"/>
      <c r="AL9" s="79"/>
      <c r="AM9" s="84"/>
      <c r="AQ9" s="82"/>
      <c r="AT9" s="4"/>
      <c r="AU9" s="88"/>
      <c r="AV9" s="4"/>
      <c r="AW9" s="96" t="s">
        <v>64</v>
      </c>
    </row>
    <row r="10" spans="1:49">
      <c r="A10" s="3" t="s">
        <v>3</v>
      </c>
      <c r="B10" s="5">
        <v>4</v>
      </c>
      <c r="C10" s="5" t="s">
        <v>8</v>
      </c>
      <c r="D10" s="54"/>
      <c r="E10" s="43"/>
      <c r="F10" s="55"/>
      <c r="G10" s="46">
        <v>0.62</v>
      </c>
      <c r="H10" s="28"/>
      <c r="I10" s="28"/>
      <c r="J10" s="28"/>
      <c r="K10" s="28"/>
      <c r="L10" s="28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8"/>
      <c r="AC10" s="80"/>
      <c r="AE10" s="79"/>
      <c r="AJ10" s="80"/>
      <c r="AL10" s="79"/>
      <c r="AM10" s="82"/>
      <c r="AT10" s="4"/>
      <c r="AU10" s="88"/>
      <c r="AV10" s="4"/>
      <c r="AW10" s="96"/>
    </row>
    <row r="11" spans="1:49">
      <c r="A11" s="3" t="s">
        <v>4</v>
      </c>
      <c r="B11" s="5"/>
      <c r="C11" s="5"/>
      <c r="D11" s="56"/>
      <c r="E11" s="44" t="s">
        <v>28</v>
      </c>
      <c r="F11" s="57"/>
      <c r="G11" s="46">
        <v>3</v>
      </c>
      <c r="H11" s="28"/>
      <c r="I11" s="28"/>
      <c r="J11" s="28"/>
      <c r="K11" s="28">
        <v>3.24</v>
      </c>
      <c r="L11" s="28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8"/>
      <c r="AC11" s="80"/>
      <c r="AE11" s="79"/>
      <c r="AJ11" s="80"/>
      <c r="AL11" s="79"/>
      <c r="AT11" s="4"/>
      <c r="AU11" s="88"/>
      <c r="AV11" s="4"/>
      <c r="AW11" s="96"/>
    </row>
    <row r="12" spans="1:49">
      <c r="A12" s="3" t="s">
        <v>3</v>
      </c>
      <c r="B12" s="5">
        <v>5</v>
      </c>
      <c r="C12" s="76" t="s">
        <v>22</v>
      </c>
      <c r="D12" s="52"/>
      <c r="E12" s="43"/>
      <c r="F12" s="58"/>
      <c r="G12" s="46">
        <v>0.62</v>
      </c>
      <c r="H12" s="28"/>
      <c r="I12" s="28"/>
      <c r="J12" s="28"/>
      <c r="K12" s="28"/>
      <c r="L12" s="28"/>
      <c r="M12" s="75" t="s">
        <v>40</v>
      </c>
      <c r="N12" s="39" t="s">
        <v>33</v>
      </c>
      <c r="O12" s="38" t="s">
        <v>41</v>
      </c>
      <c r="P12" s="39" t="s">
        <v>34</v>
      </c>
      <c r="Q12" s="73" t="s">
        <v>42</v>
      </c>
      <c r="R12" s="70" t="s">
        <v>29</v>
      </c>
      <c r="S12" s="71" t="s">
        <v>43</v>
      </c>
      <c r="T12" s="71" t="s">
        <v>32</v>
      </c>
      <c r="U12" s="72" t="s">
        <v>44</v>
      </c>
      <c r="V12" s="72" t="s">
        <v>31</v>
      </c>
      <c r="W12" s="72" t="s">
        <v>45</v>
      </c>
      <c r="X12" s="72" t="s">
        <v>26</v>
      </c>
      <c r="Y12" s="8"/>
      <c r="AC12" s="80"/>
      <c r="AE12" s="79"/>
      <c r="AJ12" s="80"/>
      <c r="AL12" s="79"/>
      <c r="AU12" s="92"/>
    </row>
    <row r="13" spans="1:49">
      <c r="A13" s="3" t="s">
        <v>5</v>
      </c>
      <c r="B13" s="5"/>
      <c r="C13" s="5"/>
      <c r="D13" s="52"/>
      <c r="E13" s="42" t="s">
        <v>28</v>
      </c>
      <c r="F13" s="53"/>
      <c r="G13" s="46">
        <v>3.47</v>
      </c>
      <c r="H13" s="28"/>
      <c r="I13" s="28"/>
      <c r="J13" s="28"/>
      <c r="K13" s="28">
        <v>2.99</v>
      </c>
      <c r="L13" s="28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8"/>
      <c r="AC13" s="80"/>
      <c r="AE13" s="79"/>
      <c r="AJ13" s="80"/>
      <c r="AL13" s="79"/>
      <c r="AU13" s="92"/>
    </row>
    <row r="14" spans="1:49">
      <c r="A14" s="3" t="s">
        <v>3</v>
      </c>
      <c r="B14" s="5">
        <v>6</v>
      </c>
      <c r="C14" s="5" t="s">
        <v>8</v>
      </c>
      <c r="D14" s="54"/>
      <c r="E14" s="43"/>
      <c r="F14" s="55"/>
      <c r="G14" s="46">
        <v>0.62</v>
      </c>
      <c r="H14" s="28"/>
      <c r="I14" s="28"/>
      <c r="J14" s="28"/>
      <c r="K14" s="28"/>
      <c r="L14" s="28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8"/>
      <c r="AC14" s="80"/>
      <c r="AE14" s="79"/>
      <c r="AJ14" s="80"/>
      <c r="AL14" s="79"/>
      <c r="AU14" s="92"/>
    </row>
    <row r="15" spans="1:49">
      <c r="A15" s="3" t="s">
        <v>4</v>
      </c>
      <c r="B15" s="5"/>
      <c r="C15" s="5"/>
      <c r="D15" s="56"/>
      <c r="E15" s="44" t="s">
        <v>28</v>
      </c>
      <c r="F15" s="57"/>
      <c r="G15" s="46">
        <v>3</v>
      </c>
      <c r="H15" s="28"/>
      <c r="I15" s="28"/>
      <c r="J15" s="28"/>
      <c r="K15" s="28">
        <v>3.24</v>
      </c>
      <c r="L15" s="28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8"/>
      <c r="AC15" s="80"/>
      <c r="AE15" s="79"/>
      <c r="AJ15" s="80"/>
      <c r="AL15" s="79"/>
      <c r="AN15" s="77" t="s">
        <v>61</v>
      </c>
      <c r="AU15" s="92"/>
    </row>
    <row r="16" spans="1:49">
      <c r="A16" s="3" t="s">
        <v>3</v>
      </c>
      <c r="B16" s="5">
        <v>7</v>
      </c>
      <c r="C16" s="76" t="s">
        <v>22</v>
      </c>
      <c r="D16" s="52"/>
      <c r="E16" s="43"/>
      <c r="F16" s="58"/>
      <c r="G16" s="46">
        <v>0.62</v>
      </c>
      <c r="H16" s="28"/>
      <c r="I16" s="28"/>
      <c r="J16" s="28"/>
      <c r="K16" s="28"/>
      <c r="L16" s="28"/>
      <c r="M16" s="75" t="s">
        <v>40</v>
      </c>
      <c r="N16" s="39" t="s">
        <v>33</v>
      </c>
      <c r="O16" s="38" t="s">
        <v>41</v>
      </c>
      <c r="P16" s="39" t="s">
        <v>34</v>
      </c>
      <c r="Q16" s="73" t="s">
        <v>42</v>
      </c>
      <c r="R16" s="70" t="s">
        <v>29</v>
      </c>
      <c r="S16" s="71" t="s">
        <v>43</v>
      </c>
      <c r="T16" s="71" t="s">
        <v>32</v>
      </c>
      <c r="U16" s="72" t="s">
        <v>44</v>
      </c>
      <c r="V16" s="72" t="s">
        <v>31</v>
      </c>
      <c r="W16" s="72" t="s">
        <v>45</v>
      </c>
      <c r="X16" s="72" t="s">
        <v>26</v>
      </c>
      <c r="Y16" s="8"/>
      <c r="AC16" s="80"/>
      <c r="AE16" s="79"/>
      <c r="AJ16" s="80"/>
      <c r="AL16" s="79"/>
      <c r="AN16" s="77" t="s">
        <v>62</v>
      </c>
      <c r="AU16" s="92"/>
    </row>
    <row r="17" spans="1:47">
      <c r="A17" s="3" t="s">
        <v>5</v>
      </c>
      <c r="B17" s="5"/>
      <c r="C17" s="5"/>
      <c r="D17" s="52"/>
      <c r="E17" s="42" t="s">
        <v>28</v>
      </c>
      <c r="F17" s="53"/>
      <c r="G17" s="46">
        <v>3.47</v>
      </c>
      <c r="H17" s="28"/>
      <c r="I17" s="28"/>
      <c r="J17" s="28"/>
      <c r="K17" s="28">
        <v>3.61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8"/>
      <c r="AC17" s="80"/>
      <c r="AE17" s="79"/>
      <c r="AJ17" s="80"/>
      <c r="AL17" s="79"/>
      <c r="AU17" s="92"/>
    </row>
    <row r="18" spans="1:47">
      <c r="A18" s="3" t="s">
        <v>3</v>
      </c>
      <c r="B18" s="5">
        <v>8</v>
      </c>
      <c r="C18" s="5" t="s">
        <v>8</v>
      </c>
      <c r="D18" s="11"/>
      <c r="E18" s="32"/>
      <c r="F18" s="61"/>
      <c r="G18" s="46">
        <v>0.62</v>
      </c>
      <c r="H18" s="28"/>
      <c r="I18" s="28"/>
      <c r="J18" s="28"/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8"/>
      <c r="AC18" s="80"/>
      <c r="AE18" s="79"/>
      <c r="AJ18" s="80"/>
      <c r="AL18" s="79"/>
      <c r="AU18" s="92"/>
    </row>
    <row r="19" spans="1:47">
      <c r="A19" s="3" t="s">
        <v>4</v>
      </c>
      <c r="B19" s="5"/>
      <c r="C19" s="5"/>
      <c r="D19" s="12"/>
      <c r="E19" s="33" t="s">
        <v>23</v>
      </c>
      <c r="F19" s="59"/>
      <c r="G19" s="46">
        <v>4.3</v>
      </c>
      <c r="H19" s="28"/>
      <c r="I19" s="28"/>
      <c r="J19" s="28"/>
      <c r="K19" s="28">
        <v>3.51</v>
      </c>
      <c r="L19" s="28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8"/>
      <c r="AC19" s="80"/>
      <c r="AE19" s="79"/>
      <c r="AJ19" s="80"/>
      <c r="AL19" s="79"/>
      <c r="AU19" s="92"/>
    </row>
    <row r="20" spans="1:47">
      <c r="A20" s="3" t="s">
        <v>3</v>
      </c>
      <c r="B20" s="5">
        <v>9</v>
      </c>
      <c r="C20" s="76" t="s">
        <v>19</v>
      </c>
      <c r="D20" s="13"/>
      <c r="E20" s="9"/>
      <c r="F20" s="60"/>
      <c r="G20" s="46">
        <v>0.62</v>
      </c>
      <c r="H20" s="28"/>
      <c r="I20" s="28"/>
      <c r="J20" s="28"/>
      <c r="K20" s="28"/>
      <c r="L20" s="28"/>
      <c r="M20" s="38" t="s">
        <v>47</v>
      </c>
      <c r="N20" s="39" t="s">
        <v>33</v>
      </c>
      <c r="O20" s="38" t="s">
        <v>49</v>
      </c>
      <c r="P20" s="39" t="s">
        <v>34</v>
      </c>
      <c r="Q20" s="73" t="s">
        <v>48</v>
      </c>
      <c r="R20" s="70" t="s">
        <v>46</v>
      </c>
      <c r="S20" s="71" t="s">
        <v>52</v>
      </c>
      <c r="T20" s="71" t="s">
        <v>32</v>
      </c>
      <c r="U20" s="72" t="s">
        <v>51</v>
      </c>
      <c r="V20" s="72" t="s">
        <v>31</v>
      </c>
      <c r="W20" s="72" t="s">
        <v>50</v>
      </c>
      <c r="X20" s="72" t="s">
        <v>26</v>
      </c>
      <c r="Y20" s="8"/>
      <c r="AC20" s="80"/>
      <c r="AE20" s="79"/>
      <c r="AJ20" s="80"/>
      <c r="AL20" s="79"/>
      <c r="AU20" s="92"/>
    </row>
    <row r="21" spans="1:47">
      <c r="A21" s="3" t="s">
        <v>5</v>
      </c>
      <c r="B21" s="5"/>
      <c r="C21" s="5"/>
      <c r="D21" s="13"/>
      <c r="E21" s="31" t="s">
        <v>23</v>
      </c>
      <c r="F21" s="60"/>
      <c r="G21" s="46">
        <v>3.13</v>
      </c>
      <c r="H21" s="28"/>
      <c r="I21" s="28"/>
      <c r="J21" s="28"/>
      <c r="K21" s="28">
        <v>3.61</v>
      </c>
      <c r="L21" s="28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8"/>
      <c r="AC21" s="80"/>
      <c r="AE21" s="79"/>
      <c r="AJ21" s="80"/>
      <c r="AL21" s="79"/>
      <c r="AU21" s="92"/>
    </row>
    <row r="22" spans="1:47">
      <c r="A22" s="3" t="s">
        <v>3</v>
      </c>
      <c r="B22" s="5">
        <v>10</v>
      </c>
      <c r="C22" s="5" t="s">
        <v>8</v>
      </c>
      <c r="D22" s="11"/>
      <c r="E22" s="32"/>
      <c r="F22" s="61"/>
      <c r="G22" s="46">
        <v>0.62</v>
      </c>
      <c r="H22" s="28"/>
      <c r="I22" s="28"/>
      <c r="J22" s="28"/>
      <c r="K22" s="28"/>
      <c r="L22" s="28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8"/>
      <c r="AC22" s="80"/>
      <c r="AE22" s="79"/>
      <c r="AJ22" s="80"/>
      <c r="AL22" s="79"/>
      <c r="AU22" s="92"/>
    </row>
    <row r="23" spans="1:47">
      <c r="A23" s="3" t="s">
        <v>4</v>
      </c>
      <c r="B23" s="5"/>
      <c r="C23" s="5"/>
      <c r="D23" s="12"/>
      <c r="E23" s="33" t="s">
        <v>23</v>
      </c>
      <c r="F23" s="59"/>
      <c r="G23" s="46">
        <v>4.3</v>
      </c>
      <c r="H23" s="28"/>
      <c r="I23" s="28"/>
      <c r="J23" s="28"/>
      <c r="K23" s="28">
        <v>3.51</v>
      </c>
      <c r="L23" s="28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8"/>
      <c r="AC23" s="80"/>
      <c r="AE23" s="79"/>
      <c r="AJ23" s="80"/>
      <c r="AL23" s="79"/>
      <c r="AU23" s="92"/>
    </row>
    <row r="24" spans="1:47">
      <c r="A24" s="3" t="s">
        <v>3</v>
      </c>
      <c r="B24" s="5">
        <v>11</v>
      </c>
      <c r="C24" s="65" t="s">
        <v>20</v>
      </c>
      <c r="D24" s="13"/>
      <c r="E24" s="9"/>
      <c r="F24" s="60"/>
      <c r="G24" s="46">
        <v>0.62</v>
      </c>
      <c r="H24" s="28"/>
      <c r="I24" s="28"/>
      <c r="J24" s="28"/>
      <c r="K24" s="28"/>
      <c r="L24" s="28"/>
      <c r="M24" s="38" t="s">
        <v>47</v>
      </c>
      <c r="N24" s="39" t="s">
        <v>33</v>
      </c>
      <c r="O24" s="38" t="s">
        <v>49</v>
      </c>
      <c r="P24" s="39" t="s">
        <v>34</v>
      </c>
      <c r="Q24" s="73" t="s">
        <v>48</v>
      </c>
      <c r="R24" s="70" t="s">
        <v>46</v>
      </c>
      <c r="S24" s="71" t="s">
        <v>52</v>
      </c>
      <c r="T24" s="71" t="s">
        <v>32</v>
      </c>
      <c r="U24" s="72" t="s">
        <v>51</v>
      </c>
      <c r="V24" s="72" t="s">
        <v>31</v>
      </c>
      <c r="W24" s="72" t="s">
        <v>50</v>
      </c>
      <c r="X24" s="72" t="s">
        <v>26</v>
      </c>
      <c r="Y24" s="8"/>
      <c r="AC24" s="80"/>
      <c r="AE24" s="79"/>
      <c r="AJ24" s="80"/>
      <c r="AL24" s="79"/>
      <c r="AU24" s="92"/>
    </row>
    <row r="25" spans="1:47">
      <c r="A25" s="3" t="s">
        <v>5</v>
      </c>
      <c r="B25" s="5"/>
      <c r="D25" s="13"/>
      <c r="E25" s="31" t="s">
        <v>23</v>
      </c>
      <c r="F25" s="60"/>
      <c r="G25" s="46">
        <v>3.13</v>
      </c>
      <c r="H25" s="28"/>
      <c r="I25" s="28"/>
      <c r="J25" s="28"/>
      <c r="K25" s="28">
        <v>3.61</v>
      </c>
      <c r="L25" s="28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8"/>
      <c r="AC25" s="80"/>
      <c r="AE25" s="79"/>
      <c r="AJ25" s="80"/>
      <c r="AL25" s="79"/>
      <c r="AU25" s="92"/>
    </row>
    <row r="26" spans="1:47">
      <c r="A26" s="3" t="s">
        <v>3</v>
      </c>
      <c r="B26" s="5">
        <v>12</v>
      </c>
      <c r="C26" s="5" t="s">
        <v>8</v>
      </c>
      <c r="D26" s="11"/>
      <c r="E26" s="32"/>
      <c r="F26" s="61"/>
      <c r="G26" s="46">
        <v>0.62</v>
      </c>
      <c r="H26" s="28"/>
      <c r="I26" s="28"/>
      <c r="J26" s="28"/>
      <c r="K26" s="28"/>
      <c r="L26" s="28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8"/>
      <c r="AC26" s="80"/>
      <c r="AE26" s="79"/>
      <c r="AJ26" s="80"/>
      <c r="AL26" s="79"/>
      <c r="AU26" s="92"/>
    </row>
    <row r="27" spans="1:47">
      <c r="A27" s="3" t="s">
        <v>4</v>
      </c>
      <c r="B27" s="5"/>
      <c r="C27" s="5"/>
      <c r="D27" s="12"/>
      <c r="E27" s="33" t="s">
        <v>23</v>
      </c>
      <c r="F27" s="59"/>
      <c r="G27" s="46">
        <v>4.3</v>
      </c>
      <c r="H27" s="28"/>
      <c r="I27" s="28"/>
      <c r="J27" s="28"/>
      <c r="K27" s="28"/>
      <c r="L27" s="28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8"/>
      <c r="AC27" s="80"/>
      <c r="AE27" s="79"/>
      <c r="AJ27" s="80"/>
      <c r="AL27" s="79"/>
      <c r="AU27" s="92"/>
    </row>
    <row r="28" spans="1:47">
      <c r="A28" s="3" t="s">
        <v>3</v>
      </c>
      <c r="B28" s="5">
        <v>13</v>
      </c>
      <c r="C28" s="65" t="s">
        <v>20</v>
      </c>
      <c r="D28" s="13"/>
      <c r="E28" s="9"/>
      <c r="F28" s="60"/>
      <c r="G28" s="46">
        <v>0.62</v>
      </c>
      <c r="H28" s="28"/>
      <c r="I28" s="28"/>
      <c r="J28" s="28"/>
      <c r="K28" s="28"/>
      <c r="L28" s="28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8"/>
      <c r="AC28" s="80"/>
      <c r="AE28" s="79"/>
      <c r="AJ28" s="80"/>
      <c r="AL28" s="79"/>
      <c r="AU28" s="92"/>
    </row>
    <row r="29" spans="1:47">
      <c r="A29" s="3" t="s">
        <v>5</v>
      </c>
      <c r="B29" s="5"/>
      <c r="D29" s="13"/>
      <c r="E29" s="31" t="s">
        <v>23</v>
      </c>
      <c r="F29" s="60"/>
      <c r="G29" s="46">
        <v>3.13</v>
      </c>
      <c r="H29" s="28"/>
      <c r="I29" s="28"/>
      <c r="J29" s="28"/>
      <c r="K29" s="28"/>
      <c r="L29" s="28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8"/>
      <c r="AC29" s="80"/>
      <c r="AE29" s="79"/>
      <c r="AJ29" s="80"/>
      <c r="AL29" s="79"/>
      <c r="AQ29" s="82"/>
      <c r="AU29" s="92"/>
    </row>
    <row r="30" spans="1:47">
      <c r="A30" s="3" t="s">
        <v>3</v>
      </c>
      <c r="B30" s="5">
        <v>14</v>
      </c>
      <c r="C30" s="5" t="s">
        <v>8</v>
      </c>
      <c r="D30" s="11"/>
      <c r="E30" s="32"/>
      <c r="F30" s="61"/>
      <c r="G30" s="46">
        <v>0.62</v>
      </c>
      <c r="H30" s="28"/>
      <c r="I30" s="28"/>
      <c r="J30" s="28"/>
      <c r="K30" s="28"/>
      <c r="L30" s="28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8"/>
      <c r="AC30" s="80"/>
      <c r="AE30" s="79"/>
      <c r="AJ30" s="80"/>
      <c r="AL30" s="79"/>
      <c r="AU30" s="92"/>
    </row>
    <row r="31" spans="1:47">
      <c r="A31" s="3" t="s">
        <v>4</v>
      </c>
      <c r="B31" s="5"/>
      <c r="C31" s="5"/>
      <c r="D31" s="12"/>
      <c r="E31" s="33" t="s">
        <v>23</v>
      </c>
      <c r="F31" s="59"/>
      <c r="G31" s="46">
        <v>10</v>
      </c>
      <c r="H31" s="28"/>
      <c r="I31" s="28"/>
      <c r="J31" s="28"/>
      <c r="K31" s="28"/>
      <c r="L31" s="28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8"/>
      <c r="AC31" s="80"/>
      <c r="AE31" s="79"/>
      <c r="AJ31" s="80"/>
      <c r="AL31" s="79"/>
      <c r="AQ31" s="82"/>
      <c r="AU31" s="92"/>
    </row>
    <row r="32" spans="1:47">
      <c r="A32" s="3" t="s">
        <v>3</v>
      </c>
      <c r="B32" s="5">
        <v>15</v>
      </c>
      <c r="C32" s="65" t="s">
        <v>20</v>
      </c>
      <c r="D32" s="13"/>
      <c r="E32" s="9"/>
      <c r="F32" s="60"/>
      <c r="G32" s="46">
        <v>0.62</v>
      </c>
      <c r="H32" s="28"/>
      <c r="I32" s="28"/>
      <c r="J32" s="28"/>
      <c r="K32" s="28"/>
      <c r="L32" s="28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8"/>
      <c r="AB32" s="1"/>
      <c r="AC32" s="80"/>
      <c r="AE32" s="79"/>
      <c r="AJ32" s="80"/>
      <c r="AL32" s="79"/>
      <c r="AM32" s="1"/>
      <c r="AN32" s="1"/>
      <c r="AO32" s="1"/>
      <c r="AP32" s="1"/>
      <c r="AQ32" s="1"/>
      <c r="AU32" s="92"/>
    </row>
    <row r="33" spans="1:49">
      <c r="A33" s="3" t="s">
        <v>5</v>
      </c>
      <c r="B33" s="5"/>
      <c r="D33" s="13"/>
      <c r="E33" s="31" t="s">
        <v>23</v>
      </c>
      <c r="F33" s="60"/>
      <c r="G33" s="46">
        <v>3.13</v>
      </c>
      <c r="H33" s="28"/>
      <c r="I33" s="28"/>
      <c r="J33" s="28"/>
      <c r="K33" s="28"/>
      <c r="L33" s="2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8"/>
      <c r="AB33" s="1"/>
      <c r="AC33" s="80"/>
      <c r="AE33" s="79"/>
      <c r="AJ33" s="80"/>
      <c r="AL33" s="79"/>
      <c r="AM33" s="1"/>
      <c r="AN33" s="1"/>
      <c r="AO33" s="1"/>
      <c r="AP33" s="1"/>
      <c r="AQ33" s="1"/>
      <c r="AU33" s="92"/>
    </row>
    <row r="34" spans="1:49">
      <c r="A34" s="3" t="s">
        <v>3</v>
      </c>
      <c r="B34" s="5">
        <v>16</v>
      </c>
      <c r="C34" s="5" t="s">
        <v>8</v>
      </c>
      <c r="D34" s="13"/>
      <c r="E34" s="9"/>
      <c r="F34" s="60"/>
      <c r="G34" s="46">
        <v>0.62</v>
      </c>
      <c r="H34" s="28"/>
      <c r="I34" s="28"/>
      <c r="J34" s="28"/>
      <c r="K34" s="28"/>
      <c r="L34" s="2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8"/>
      <c r="AB34" s="1"/>
      <c r="AC34" s="80"/>
      <c r="AE34" s="79"/>
      <c r="AJ34" s="80"/>
      <c r="AL34" s="79"/>
      <c r="AM34" s="1"/>
      <c r="AN34" s="1"/>
      <c r="AO34" s="1"/>
      <c r="AP34" s="1"/>
      <c r="AQ34" s="1"/>
      <c r="AU34" s="92"/>
    </row>
    <row r="35" spans="1:49">
      <c r="A35" s="3" t="s">
        <v>4</v>
      </c>
      <c r="B35" s="5"/>
      <c r="C35" s="5"/>
      <c r="D35" s="12"/>
      <c r="E35" s="33" t="s">
        <v>23</v>
      </c>
      <c r="F35" s="59"/>
      <c r="G35" s="46">
        <v>4.3</v>
      </c>
      <c r="H35" s="28"/>
      <c r="I35" s="28"/>
      <c r="J35" s="28"/>
      <c r="K35" s="28"/>
      <c r="L35" s="2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8"/>
      <c r="AB35" s="1"/>
      <c r="AC35" s="80"/>
      <c r="AE35" s="79"/>
      <c r="AJ35" s="80"/>
      <c r="AL35" s="79"/>
      <c r="AM35" s="1"/>
      <c r="AN35" s="1"/>
      <c r="AO35" s="1"/>
      <c r="AP35" s="1"/>
      <c r="AQ35" s="1"/>
      <c r="AU35" s="92"/>
    </row>
    <row r="36" spans="1:49">
      <c r="A36" s="3" t="s">
        <v>3</v>
      </c>
      <c r="B36" s="5">
        <v>17</v>
      </c>
      <c r="C36" s="65" t="s">
        <v>25</v>
      </c>
      <c r="D36" s="13"/>
      <c r="E36" s="9"/>
      <c r="F36" s="60"/>
      <c r="G36" s="46">
        <v>0.62</v>
      </c>
      <c r="H36" s="28"/>
      <c r="I36" s="28"/>
      <c r="J36" s="28"/>
      <c r="K36" s="28"/>
      <c r="L36" s="2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8"/>
      <c r="AB36" s="1"/>
      <c r="AC36" s="80"/>
      <c r="AE36" s="79"/>
      <c r="AJ36" s="80"/>
      <c r="AL36" s="79"/>
      <c r="AM36" s="1"/>
      <c r="AN36" s="1"/>
      <c r="AO36" s="1"/>
      <c r="AP36" s="1"/>
      <c r="AQ36" s="1"/>
      <c r="AT36" s="1"/>
      <c r="AU36" s="92"/>
      <c r="AV36" s="1"/>
      <c r="AW36" s="1"/>
    </row>
    <row r="37" spans="1:49">
      <c r="A37" s="81" t="s">
        <v>5</v>
      </c>
      <c r="B37" s="5"/>
      <c r="D37" s="13"/>
      <c r="E37" s="31" t="s">
        <v>23</v>
      </c>
      <c r="F37" s="60"/>
      <c r="G37" s="46">
        <v>29.98</v>
      </c>
      <c r="H37" s="28"/>
      <c r="I37" s="28"/>
      <c r="J37" s="28"/>
      <c r="K37" s="28"/>
      <c r="L37" s="2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8"/>
      <c r="AB37" s="1"/>
      <c r="AC37" s="80"/>
      <c r="AE37" s="79"/>
      <c r="AJ37" s="80"/>
      <c r="AL37" s="79"/>
      <c r="AM37" s="1"/>
      <c r="AN37" s="1"/>
      <c r="AO37" s="1"/>
      <c r="AP37" s="1"/>
      <c r="AQ37" s="1"/>
      <c r="AT37" s="1"/>
      <c r="AU37" s="92"/>
      <c r="AV37" s="1"/>
      <c r="AW37" s="1"/>
    </row>
    <row r="38" spans="1:49">
      <c r="A38" s="3" t="s">
        <v>3</v>
      </c>
      <c r="B38" s="5">
        <v>18</v>
      </c>
      <c r="C38" s="65" t="s">
        <v>24</v>
      </c>
      <c r="D38" s="11"/>
      <c r="E38" s="32"/>
      <c r="F38" s="61"/>
      <c r="G38" s="46">
        <v>0.62</v>
      </c>
      <c r="H38" s="28"/>
      <c r="I38" s="28"/>
      <c r="J38" s="28"/>
      <c r="K38" s="28"/>
      <c r="L38" s="2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8"/>
      <c r="AB38" s="1"/>
      <c r="AC38" s="80"/>
      <c r="AE38" s="79"/>
      <c r="AJ38" s="80"/>
      <c r="AL38" s="79"/>
      <c r="AM38" s="1"/>
      <c r="AN38" s="1"/>
      <c r="AO38" s="1"/>
      <c r="AP38" s="1"/>
      <c r="AQ38" s="1"/>
      <c r="AT38" s="1"/>
      <c r="AU38" s="92"/>
      <c r="AV38" s="1"/>
      <c r="AW38" s="1"/>
    </row>
    <row r="39" spans="1:49">
      <c r="A39" s="3" t="s">
        <v>4</v>
      </c>
      <c r="B39" s="5"/>
      <c r="D39" s="12"/>
      <c r="E39" s="33" t="s">
        <v>23</v>
      </c>
      <c r="F39" s="59"/>
      <c r="G39" s="46">
        <v>4.3</v>
      </c>
      <c r="H39" s="28"/>
      <c r="I39" s="28"/>
      <c r="J39" s="28"/>
      <c r="K39" s="28"/>
      <c r="L39" s="28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8"/>
      <c r="AB39" s="1"/>
      <c r="AC39" s="80"/>
      <c r="AE39" s="79"/>
      <c r="AJ39" s="80"/>
      <c r="AL39" s="79"/>
      <c r="AM39" s="1"/>
      <c r="AN39" s="1"/>
      <c r="AO39" s="1"/>
      <c r="AP39" s="1"/>
      <c r="AQ39" s="1"/>
      <c r="AT39" s="1"/>
      <c r="AU39" s="92"/>
      <c r="AV39" s="1"/>
      <c r="AW39" s="1"/>
    </row>
    <row r="40" spans="1:49">
      <c r="A40" s="3" t="s">
        <v>3</v>
      </c>
      <c r="B40" s="5">
        <v>19</v>
      </c>
      <c r="C40" s="5" t="s">
        <v>8</v>
      </c>
      <c r="D40" s="13"/>
      <c r="E40" s="9"/>
      <c r="F40" s="60"/>
      <c r="G40" s="46">
        <v>0.62</v>
      </c>
      <c r="H40" s="28"/>
      <c r="I40" s="28"/>
      <c r="J40" s="28"/>
      <c r="K40" s="28"/>
      <c r="L40" s="2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8"/>
      <c r="AB40" s="1"/>
      <c r="AC40" s="80"/>
      <c r="AE40" s="79"/>
      <c r="AJ40" s="80"/>
      <c r="AL40" s="79"/>
      <c r="AM40" s="1"/>
      <c r="AN40" s="1"/>
      <c r="AO40" s="1"/>
      <c r="AP40" s="1"/>
      <c r="AQ40" s="1"/>
      <c r="AT40" s="4"/>
      <c r="AU40" s="92"/>
      <c r="AV40" s="4"/>
      <c r="AW40" s="91"/>
    </row>
    <row r="41" spans="1:49">
      <c r="A41" s="3" t="s">
        <v>5</v>
      </c>
      <c r="B41" s="5"/>
      <c r="D41" s="13"/>
      <c r="E41" s="31" t="s">
        <v>23</v>
      </c>
      <c r="F41" s="60"/>
      <c r="G41" s="46">
        <v>3.13</v>
      </c>
      <c r="H41" s="28"/>
      <c r="I41" s="28"/>
      <c r="J41" s="28"/>
      <c r="K41" s="28"/>
      <c r="L41" s="2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8"/>
      <c r="AB41" s="1"/>
      <c r="AC41" s="80"/>
      <c r="AE41" s="79"/>
      <c r="AJ41" s="80"/>
      <c r="AL41" s="79"/>
      <c r="AM41" s="1"/>
      <c r="AN41" s="1"/>
      <c r="AO41" s="1"/>
      <c r="AP41" s="1"/>
      <c r="AQ41" s="1"/>
      <c r="AT41" s="4"/>
      <c r="AU41" s="90"/>
      <c r="AV41" s="4"/>
      <c r="AW41" s="91"/>
    </row>
    <row r="42" spans="1:49">
      <c r="A42" s="3" t="s">
        <v>3</v>
      </c>
      <c r="B42" s="5">
        <v>20</v>
      </c>
      <c r="C42" s="65" t="s">
        <v>20</v>
      </c>
      <c r="D42" s="13"/>
      <c r="E42" s="9"/>
      <c r="F42" s="60"/>
      <c r="G42" s="46">
        <v>0.62</v>
      </c>
      <c r="H42" s="28"/>
      <c r="I42" s="28"/>
      <c r="J42" s="28"/>
      <c r="K42" s="28"/>
      <c r="L42" s="2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8"/>
      <c r="AB42" s="1"/>
      <c r="AC42" s="80"/>
      <c r="AE42" s="79"/>
      <c r="AJ42" s="80"/>
      <c r="AL42" s="79"/>
      <c r="AM42" s="1"/>
      <c r="AN42" s="1"/>
      <c r="AO42" s="1"/>
      <c r="AP42" s="1"/>
      <c r="AQ42" s="1"/>
      <c r="AT42" s="4"/>
      <c r="AU42" s="90"/>
      <c r="AV42" s="4"/>
      <c r="AW42" s="91"/>
    </row>
    <row r="43" spans="1:49">
      <c r="A43" s="3" t="s">
        <v>4</v>
      </c>
      <c r="B43" s="5"/>
      <c r="C43" s="5"/>
      <c r="D43" s="12"/>
      <c r="E43" s="33" t="s">
        <v>23</v>
      </c>
      <c r="F43" s="59"/>
      <c r="G43" s="46">
        <v>10</v>
      </c>
      <c r="H43" s="28"/>
      <c r="I43" s="28"/>
      <c r="J43" s="28"/>
      <c r="K43" s="28"/>
      <c r="L43" s="2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8"/>
      <c r="AB43" s="1"/>
      <c r="AC43" s="80"/>
      <c r="AE43" s="79"/>
      <c r="AJ43" s="80"/>
      <c r="AL43" s="79"/>
      <c r="AM43" s="1"/>
      <c r="AN43" s="1"/>
      <c r="AO43" s="1"/>
      <c r="AP43" s="1"/>
      <c r="AQ43" s="1"/>
      <c r="AT43" s="4"/>
      <c r="AU43" s="90"/>
      <c r="AV43" s="4"/>
      <c r="AW43" s="91"/>
    </row>
    <row r="44" spans="1:49">
      <c r="A44" s="3" t="s">
        <v>3</v>
      </c>
      <c r="B44" s="5">
        <v>21</v>
      </c>
      <c r="C44" s="5" t="s">
        <v>8</v>
      </c>
      <c r="D44" s="13"/>
      <c r="E44" s="9"/>
      <c r="F44" s="60"/>
      <c r="G44" s="46">
        <v>0.62</v>
      </c>
      <c r="H44" s="28"/>
      <c r="I44" s="28"/>
      <c r="J44" s="28"/>
      <c r="K44" s="28"/>
      <c r="L44" s="2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8"/>
      <c r="AB44" s="1"/>
      <c r="AC44" s="80"/>
      <c r="AE44" s="79"/>
      <c r="AJ44" s="80"/>
      <c r="AL44" s="79"/>
      <c r="AM44" s="1"/>
      <c r="AN44" s="1"/>
      <c r="AO44" s="1"/>
      <c r="AP44" s="1"/>
      <c r="AQ44" s="1"/>
      <c r="AT44" s="4"/>
      <c r="AU44" s="90"/>
      <c r="AV44" s="4"/>
      <c r="AW44" s="91"/>
    </row>
    <row r="45" spans="1:49">
      <c r="A45" s="3" t="s">
        <v>5</v>
      </c>
      <c r="B45" s="5"/>
      <c r="D45" s="13"/>
      <c r="E45" s="31" t="s">
        <v>23</v>
      </c>
      <c r="F45" s="60"/>
      <c r="G45" s="46">
        <v>3.13</v>
      </c>
      <c r="H45" s="28"/>
      <c r="I45" s="28"/>
      <c r="J45" s="28"/>
      <c r="K45" s="28"/>
      <c r="L45" s="28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8"/>
      <c r="AB45" s="1"/>
      <c r="AC45" s="80"/>
      <c r="AE45" s="79"/>
      <c r="AJ45" s="80"/>
      <c r="AL45" s="79"/>
      <c r="AM45" s="1"/>
      <c r="AN45" s="1"/>
      <c r="AO45" s="1"/>
      <c r="AP45" s="1"/>
      <c r="AQ45" s="1"/>
      <c r="AT45" s="4"/>
      <c r="AU45" s="90"/>
      <c r="AV45" s="4"/>
      <c r="AW45" s="91"/>
    </row>
    <row r="46" spans="1:49">
      <c r="A46" s="3" t="s">
        <v>3</v>
      </c>
      <c r="B46" s="5">
        <v>22</v>
      </c>
      <c r="C46" s="65" t="s">
        <v>20</v>
      </c>
      <c r="D46" s="13"/>
      <c r="E46" s="9"/>
      <c r="F46" s="60"/>
      <c r="G46" s="46">
        <v>0.62</v>
      </c>
      <c r="H46" s="28"/>
      <c r="I46" s="28"/>
      <c r="J46" s="28"/>
      <c r="K46" s="28"/>
      <c r="L46" s="28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8"/>
      <c r="AB46" s="1"/>
      <c r="AC46" s="80"/>
      <c r="AE46" s="79"/>
      <c r="AJ46" s="80"/>
      <c r="AL46" s="79"/>
      <c r="AM46" s="1"/>
      <c r="AN46" s="1"/>
      <c r="AO46" s="1"/>
      <c r="AP46" s="1"/>
      <c r="AQ46" s="1"/>
      <c r="AT46" s="1"/>
      <c r="AU46" s="90"/>
      <c r="AV46" s="1"/>
      <c r="AW46" s="91"/>
    </row>
    <row r="47" spans="1:49">
      <c r="A47" s="3" t="s">
        <v>4</v>
      </c>
      <c r="B47" s="5"/>
      <c r="D47" s="13"/>
      <c r="E47" s="31" t="s">
        <v>23</v>
      </c>
      <c r="F47" s="60"/>
      <c r="G47" s="46">
        <v>4.3</v>
      </c>
      <c r="H47" s="28"/>
      <c r="I47" s="28"/>
      <c r="J47" s="28"/>
      <c r="K47" s="28"/>
      <c r="L47" s="28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8"/>
      <c r="AB47" s="1"/>
      <c r="AC47" s="80"/>
      <c r="AE47" s="79"/>
      <c r="AJ47" s="80"/>
      <c r="AL47" s="79"/>
      <c r="AM47" s="1"/>
      <c r="AN47" s="1"/>
      <c r="AO47" s="1"/>
      <c r="AP47" s="1"/>
      <c r="AQ47" s="1"/>
      <c r="AU47" s="90"/>
    </row>
    <row r="48" spans="1:49">
      <c r="A48" s="3" t="s">
        <v>3</v>
      </c>
      <c r="B48" s="5">
        <v>23</v>
      </c>
      <c r="C48" s="5" t="s">
        <v>8</v>
      </c>
      <c r="D48" s="13"/>
      <c r="E48" s="9"/>
      <c r="F48" s="60"/>
      <c r="G48" s="46">
        <v>0.62</v>
      </c>
      <c r="H48" s="28"/>
      <c r="I48" s="28"/>
      <c r="J48" s="28"/>
      <c r="K48" s="28"/>
      <c r="L48" s="2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8"/>
      <c r="AC48" s="80"/>
      <c r="AE48" s="79"/>
      <c r="AJ48" s="80"/>
      <c r="AL48" s="79"/>
      <c r="AU48" s="90"/>
    </row>
    <row r="49" spans="1:47">
      <c r="A49" s="3" t="s">
        <v>5</v>
      </c>
      <c r="B49" s="5"/>
      <c r="D49" s="13"/>
      <c r="E49" s="31" t="s">
        <v>23</v>
      </c>
      <c r="F49" s="60"/>
      <c r="G49" s="46">
        <v>3.13</v>
      </c>
      <c r="H49" s="28"/>
      <c r="I49" s="28"/>
      <c r="J49" s="28"/>
      <c r="K49" s="28"/>
      <c r="L49" s="28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8"/>
      <c r="AC49" s="80"/>
      <c r="AE49" s="79"/>
      <c r="AJ49" s="80"/>
      <c r="AL49" s="79"/>
      <c r="AU49" s="90"/>
    </row>
    <row r="50" spans="1:47">
      <c r="A50" s="3" t="s">
        <v>3</v>
      </c>
      <c r="B50" s="5">
        <v>24</v>
      </c>
      <c r="C50" s="65" t="s">
        <v>20</v>
      </c>
      <c r="D50" s="11"/>
      <c r="E50" s="32"/>
      <c r="F50" s="61"/>
      <c r="G50" s="46">
        <v>0.62</v>
      </c>
      <c r="H50" s="28"/>
      <c r="I50" s="28"/>
      <c r="J50" s="28"/>
      <c r="K50" s="28"/>
      <c r="L50" s="28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8"/>
      <c r="AC50" s="80"/>
      <c r="AE50" s="79"/>
      <c r="AJ50" s="80"/>
      <c r="AL50" s="79"/>
      <c r="AU50" s="90"/>
    </row>
    <row r="51" spans="1:47">
      <c r="A51" s="3" t="s">
        <v>4</v>
      </c>
      <c r="B51" s="5"/>
      <c r="D51" s="12"/>
      <c r="E51" s="33" t="s">
        <v>23</v>
      </c>
      <c r="F51" s="59"/>
      <c r="G51" s="46">
        <v>4.3</v>
      </c>
      <c r="H51" s="28"/>
      <c r="I51" s="28"/>
      <c r="J51" s="28"/>
      <c r="K51" s="28"/>
      <c r="L51" s="28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8"/>
      <c r="AC51" s="80"/>
      <c r="AE51" s="79"/>
      <c r="AJ51" s="80"/>
      <c r="AL51" s="79"/>
      <c r="AU51" s="90"/>
    </row>
    <row r="52" spans="1:47">
      <c r="A52" s="3" t="s">
        <v>3</v>
      </c>
      <c r="B52" s="5">
        <v>25</v>
      </c>
      <c r="C52" s="5" t="s">
        <v>8</v>
      </c>
      <c r="D52" s="13"/>
      <c r="E52" s="9"/>
      <c r="F52" s="60"/>
      <c r="G52" s="46">
        <v>0.62</v>
      </c>
      <c r="H52" s="28"/>
      <c r="I52" s="28"/>
      <c r="J52" s="28"/>
      <c r="K52" s="28"/>
      <c r="L52" s="28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8"/>
      <c r="AC52" s="80"/>
      <c r="AE52" s="79"/>
      <c r="AH52" s="83"/>
      <c r="AI52" s="83"/>
      <c r="AJ52" s="80"/>
      <c r="AL52" s="79"/>
      <c r="AM52" s="83"/>
      <c r="AN52" s="83"/>
      <c r="AU52" s="90"/>
    </row>
    <row r="53" spans="1:47">
      <c r="A53" s="3" t="s">
        <v>5</v>
      </c>
      <c r="B53" s="5"/>
      <c r="D53" s="13"/>
      <c r="E53" s="31" t="s">
        <v>23</v>
      </c>
      <c r="F53" s="60"/>
      <c r="G53" s="46">
        <v>3.13</v>
      </c>
      <c r="H53" s="28"/>
      <c r="I53" s="28"/>
      <c r="J53" s="28"/>
      <c r="K53" s="28">
        <v>3.61</v>
      </c>
      <c r="L53" s="28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8"/>
      <c r="AC53" s="80"/>
      <c r="AE53" s="79"/>
      <c r="AJ53" s="80"/>
      <c r="AL53" s="79"/>
      <c r="AN53" s="82"/>
      <c r="AU53" s="90"/>
    </row>
    <row r="54" spans="1:47">
      <c r="A54" s="3" t="s">
        <v>3</v>
      </c>
      <c r="B54" s="5">
        <v>26</v>
      </c>
      <c r="C54" s="76" t="s">
        <v>22</v>
      </c>
      <c r="D54" s="13"/>
      <c r="E54" s="9"/>
      <c r="F54" s="60"/>
      <c r="G54" s="46">
        <v>0.62</v>
      </c>
      <c r="H54" s="28"/>
      <c r="I54" s="28"/>
      <c r="J54" s="28"/>
      <c r="K54" s="28"/>
      <c r="L54" s="28"/>
      <c r="M54" s="38" t="s">
        <v>47</v>
      </c>
      <c r="N54" s="39" t="s">
        <v>33</v>
      </c>
      <c r="O54" s="38" t="s">
        <v>49</v>
      </c>
      <c r="P54" s="39" t="s">
        <v>34</v>
      </c>
      <c r="Q54" s="73" t="s">
        <v>48</v>
      </c>
      <c r="R54" s="70" t="s">
        <v>46</v>
      </c>
      <c r="S54" s="71" t="s">
        <v>52</v>
      </c>
      <c r="T54" s="71" t="s">
        <v>32</v>
      </c>
      <c r="U54" s="72" t="s">
        <v>51</v>
      </c>
      <c r="V54" s="72" t="s">
        <v>31</v>
      </c>
      <c r="W54" s="72" t="s">
        <v>50</v>
      </c>
      <c r="X54" s="72" t="s">
        <v>26</v>
      </c>
      <c r="Y54" s="8"/>
      <c r="AC54" s="80"/>
      <c r="AE54" s="79"/>
      <c r="AH54" s="83"/>
      <c r="AI54" s="83"/>
      <c r="AJ54" s="83"/>
      <c r="AL54" s="79"/>
      <c r="AM54" s="83"/>
      <c r="AN54" s="83"/>
      <c r="AU54" s="90"/>
    </row>
    <row r="55" spans="1:47">
      <c r="A55" s="3" t="s">
        <v>4</v>
      </c>
      <c r="B55" s="5"/>
      <c r="C55" s="5"/>
      <c r="D55" s="12"/>
      <c r="E55" s="33" t="s">
        <v>23</v>
      </c>
      <c r="F55" s="59"/>
      <c r="G55" s="46">
        <v>4.3</v>
      </c>
      <c r="H55" s="28"/>
      <c r="I55" s="28"/>
      <c r="J55" s="28"/>
      <c r="K55" s="28">
        <v>3.51</v>
      </c>
      <c r="L55" s="28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8"/>
      <c r="AC55" s="80"/>
      <c r="AE55" s="79"/>
      <c r="AI55" s="83"/>
      <c r="AL55" s="85"/>
      <c r="AM55" s="83"/>
      <c r="AU55" s="90"/>
    </row>
    <row r="56" spans="1:47">
      <c r="A56" s="3" t="s">
        <v>3</v>
      </c>
      <c r="B56" s="5">
        <v>27</v>
      </c>
      <c r="C56" s="5" t="s">
        <v>8</v>
      </c>
      <c r="D56" s="13"/>
      <c r="E56" s="9"/>
      <c r="F56" s="60"/>
      <c r="G56" s="46">
        <v>0.62</v>
      </c>
      <c r="H56" s="28"/>
      <c r="I56" s="28"/>
      <c r="J56" s="28"/>
      <c r="K56" s="28"/>
      <c r="L56" s="28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8"/>
      <c r="AB56" s="1"/>
      <c r="AC56" s="80"/>
      <c r="AE56" s="79"/>
      <c r="AH56" s="1"/>
      <c r="AI56" s="83"/>
      <c r="AL56" s="1"/>
      <c r="AM56" s="79"/>
      <c r="AN56" s="1"/>
      <c r="AP56" s="1"/>
      <c r="AQ56" s="1"/>
      <c r="AU56" s="90"/>
    </row>
    <row r="57" spans="1:47">
      <c r="A57" s="3" t="s">
        <v>5</v>
      </c>
      <c r="B57" s="5"/>
      <c r="C57" s="5"/>
      <c r="D57" s="52"/>
      <c r="E57" s="45" t="s">
        <v>28</v>
      </c>
      <c r="F57" s="53"/>
      <c r="G57" s="46">
        <v>3.47</v>
      </c>
      <c r="H57" s="28"/>
      <c r="I57" s="28"/>
      <c r="J57" s="28"/>
      <c r="K57" s="28">
        <v>2.99</v>
      </c>
      <c r="L57" s="2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8"/>
      <c r="AB57" s="1"/>
      <c r="AC57" s="80"/>
      <c r="AE57" s="79"/>
      <c r="AH57" s="1"/>
      <c r="AI57" s="83"/>
      <c r="AL57" s="85"/>
      <c r="AM57" s="83"/>
      <c r="AN57" s="1"/>
      <c r="AP57" s="1"/>
      <c r="AQ57" s="1"/>
      <c r="AU57" s="90"/>
    </row>
    <row r="58" spans="1:47">
      <c r="A58" s="3" t="s">
        <v>3</v>
      </c>
      <c r="B58" s="5">
        <v>28</v>
      </c>
      <c r="C58" s="76" t="s">
        <v>22</v>
      </c>
      <c r="D58" s="52"/>
      <c r="E58" s="40"/>
      <c r="F58" s="58"/>
      <c r="G58" s="46">
        <v>0.62</v>
      </c>
      <c r="H58" s="28"/>
      <c r="I58" s="28"/>
      <c r="J58" s="28"/>
      <c r="K58" s="28"/>
      <c r="L58" s="28"/>
      <c r="M58" s="75" t="s">
        <v>40</v>
      </c>
      <c r="N58" s="39" t="s">
        <v>33</v>
      </c>
      <c r="O58" s="38" t="s">
        <v>41</v>
      </c>
      <c r="P58" s="39" t="s">
        <v>34</v>
      </c>
      <c r="Q58" s="73" t="s">
        <v>42</v>
      </c>
      <c r="R58" s="70" t="s">
        <v>29</v>
      </c>
      <c r="S58" s="71" t="s">
        <v>43</v>
      </c>
      <c r="T58" s="71" t="s">
        <v>32</v>
      </c>
      <c r="U58" s="72" t="s">
        <v>44</v>
      </c>
      <c r="V58" s="72" t="s">
        <v>31</v>
      </c>
      <c r="W58" s="72" t="s">
        <v>45</v>
      </c>
      <c r="X58" s="72" t="s">
        <v>26</v>
      </c>
      <c r="Y58" s="8"/>
      <c r="AB58" s="1"/>
      <c r="AC58" s="80"/>
      <c r="AE58" s="79"/>
      <c r="AH58" s="1"/>
      <c r="AI58" s="83"/>
      <c r="AL58" s="85"/>
      <c r="AM58" s="83"/>
      <c r="AN58" s="1"/>
      <c r="AP58" s="1"/>
      <c r="AQ58" s="1"/>
      <c r="AU58" s="90"/>
    </row>
    <row r="59" spans="1:47">
      <c r="A59" s="3" t="s">
        <v>4</v>
      </c>
      <c r="B59" s="5"/>
      <c r="C59" s="5"/>
      <c r="D59" s="56"/>
      <c r="E59" s="44" t="s">
        <v>27</v>
      </c>
      <c r="F59" s="57"/>
      <c r="G59" s="46">
        <v>3</v>
      </c>
      <c r="H59" s="28"/>
      <c r="I59" s="28"/>
      <c r="J59" s="28"/>
      <c r="K59" s="28">
        <v>3.24</v>
      </c>
      <c r="L59" s="28"/>
      <c r="M59" s="22"/>
      <c r="N59" s="22"/>
      <c r="O59" s="22"/>
      <c r="P59" s="22"/>
      <c r="Q59" s="22"/>
      <c r="R59" s="22"/>
      <c r="S59" s="19"/>
      <c r="T59" s="19"/>
      <c r="U59" s="19"/>
      <c r="V59" s="19"/>
      <c r="W59" s="19"/>
      <c r="X59" s="19"/>
      <c r="Y59" s="8"/>
      <c r="AB59" s="1"/>
      <c r="AC59" s="80"/>
      <c r="AE59" s="79"/>
      <c r="AH59" s="1"/>
      <c r="AI59" s="83"/>
      <c r="AL59" s="85"/>
      <c r="AM59" s="83"/>
      <c r="AN59" s="1"/>
      <c r="AP59" s="1"/>
      <c r="AQ59" s="1"/>
      <c r="AU59" s="90"/>
    </row>
    <row r="60" spans="1:47">
      <c r="A60" s="3" t="s">
        <v>3</v>
      </c>
      <c r="B60" s="5">
        <v>29</v>
      </c>
      <c r="C60" s="5" t="s">
        <v>8</v>
      </c>
      <c r="D60" s="54"/>
      <c r="E60" s="40"/>
      <c r="F60" s="55"/>
      <c r="G60" s="46">
        <v>0.62</v>
      </c>
      <c r="H60" s="28"/>
      <c r="I60" s="28"/>
      <c r="J60" s="28"/>
      <c r="K60" s="28"/>
      <c r="L60" s="28"/>
      <c r="M60" s="22"/>
      <c r="N60" s="22"/>
      <c r="O60" s="22"/>
      <c r="P60" s="22"/>
      <c r="Q60" s="22"/>
      <c r="R60" s="22"/>
      <c r="S60" s="19"/>
      <c r="T60" s="19"/>
      <c r="U60" s="19"/>
      <c r="V60" s="19"/>
      <c r="W60" s="19"/>
      <c r="X60" s="19"/>
      <c r="Y60" s="8"/>
      <c r="AC60" s="80"/>
      <c r="AE60" s="79"/>
      <c r="AI60" s="83"/>
      <c r="AL60" s="85"/>
      <c r="AM60" s="83"/>
      <c r="AU60" s="90"/>
    </row>
    <row r="61" spans="1:47">
      <c r="A61" s="3" t="s">
        <v>5</v>
      </c>
      <c r="B61" s="5"/>
      <c r="C61" s="5"/>
      <c r="D61" s="52"/>
      <c r="E61" s="45" t="s">
        <v>28</v>
      </c>
      <c r="F61" s="53"/>
      <c r="G61" s="46">
        <v>3.47</v>
      </c>
      <c r="H61" s="28"/>
      <c r="I61" s="28"/>
      <c r="J61" s="28"/>
      <c r="K61" s="28">
        <v>2.99</v>
      </c>
      <c r="L61" s="28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8"/>
      <c r="AC61" s="80"/>
      <c r="AE61" s="79"/>
      <c r="AI61" s="83"/>
      <c r="AL61" s="1"/>
      <c r="AM61" s="79"/>
      <c r="AU61" s="90"/>
    </row>
    <row r="62" spans="1:47">
      <c r="A62" s="3" t="s">
        <v>3</v>
      </c>
      <c r="B62" s="5">
        <v>30</v>
      </c>
      <c r="C62" s="76" t="s">
        <v>22</v>
      </c>
      <c r="D62" s="52"/>
      <c r="E62" s="40"/>
      <c r="F62" s="58"/>
      <c r="G62" s="46">
        <v>0.62</v>
      </c>
      <c r="H62" s="28"/>
      <c r="I62" s="28"/>
      <c r="J62" s="28"/>
      <c r="K62" s="28"/>
      <c r="L62" s="28"/>
      <c r="M62" s="75" t="s">
        <v>40</v>
      </c>
      <c r="N62" s="39" t="s">
        <v>33</v>
      </c>
      <c r="O62" s="38" t="s">
        <v>41</v>
      </c>
      <c r="P62" s="39" t="s">
        <v>34</v>
      </c>
      <c r="Q62" s="73" t="s">
        <v>42</v>
      </c>
      <c r="R62" s="70" t="s">
        <v>29</v>
      </c>
      <c r="S62" s="71" t="s">
        <v>43</v>
      </c>
      <c r="T62" s="71" t="s">
        <v>32</v>
      </c>
      <c r="U62" s="72" t="s">
        <v>44</v>
      </c>
      <c r="V62" s="72" t="s">
        <v>31</v>
      </c>
      <c r="W62" s="72" t="s">
        <v>45</v>
      </c>
      <c r="X62" s="72" t="s">
        <v>26</v>
      </c>
      <c r="Y62" s="8"/>
      <c r="AC62" s="80"/>
      <c r="AE62" s="79"/>
      <c r="AH62" s="1"/>
      <c r="AI62" s="83"/>
      <c r="AL62" s="85"/>
      <c r="AM62" s="83"/>
      <c r="AN62" s="1"/>
      <c r="AO62" s="1"/>
      <c r="AU62" s="90"/>
    </row>
    <row r="63" spans="1:47">
      <c r="A63" s="3" t="s">
        <v>4</v>
      </c>
      <c r="B63" s="5"/>
      <c r="C63" s="5"/>
      <c r="D63" s="56"/>
      <c r="E63" s="44" t="s">
        <v>27</v>
      </c>
      <c r="F63" s="57"/>
      <c r="G63" s="46">
        <v>3</v>
      </c>
      <c r="H63" s="28"/>
      <c r="I63" s="28"/>
      <c r="J63" s="28"/>
      <c r="K63" s="28">
        <v>3.24</v>
      </c>
      <c r="L63" s="28"/>
      <c r="M63" s="22"/>
      <c r="N63" s="22"/>
      <c r="O63" s="22"/>
      <c r="P63" s="22"/>
      <c r="Q63" s="22"/>
      <c r="R63" s="22"/>
      <c r="S63" s="19"/>
      <c r="T63" s="19"/>
      <c r="U63" s="19"/>
      <c r="V63" s="19"/>
      <c r="W63" s="19"/>
      <c r="X63" s="19"/>
      <c r="Y63" s="8"/>
      <c r="AC63" s="80"/>
      <c r="AE63" s="79"/>
      <c r="AH63" s="1"/>
      <c r="AI63" s="83"/>
      <c r="AL63" s="85"/>
      <c r="AM63" s="83"/>
      <c r="AN63" s="1"/>
      <c r="AO63" s="1"/>
      <c r="AU63" s="90"/>
    </row>
    <row r="64" spans="1:47">
      <c r="A64" s="3" t="s">
        <v>3</v>
      </c>
      <c r="B64" s="5">
        <v>31</v>
      </c>
      <c r="C64" s="5" t="s">
        <v>8</v>
      </c>
      <c r="D64" s="54"/>
      <c r="E64" s="40"/>
      <c r="F64" s="55"/>
      <c r="G64" s="46">
        <v>0.62</v>
      </c>
      <c r="H64" s="28"/>
      <c r="I64" s="28"/>
      <c r="J64" s="28"/>
      <c r="K64" s="28"/>
      <c r="L64" s="28"/>
      <c r="M64" s="22"/>
      <c r="N64" s="22"/>
      <c r="O64" s="22"/>
      <c r="P64" s="22"/>
      <c r="Q64" s="22"/>
      <c r="R64" s="22"/>
      <c r="S64" s="19"/>
      <c r="T64" s="19"/>
      <c r="U64" s="19"/>
      <c r="V64" s="19"/>
      <c r="W64" s="19"/>
      <c r="X64" s="19"/>
      <c r="Y64" s="8"/>
      <c r="AC64" s="80"/>
      <c r="AE64" s="79"/>
      <c r="AH64" s="1"/>
      <c r="AI64" s="83"/>
      <c r="AL64" s="85"/>
      <c r="AM64" s="83"/>
      <c r="AN64" s="1"/>
      <c r="AO64" s="1"/>
      <c r="AU64" s="90"/>
    </row>
    <row r="65" spans="1:48">
      <c r="A65" s="3" t="s">
        <v>5</v>
      </c>
      <c r="B65" s="5"/>
      <c r="C65" s="5"/>
      <c r="D65" s="52"/>
      <c r="E65" s="45" t="s">
        <v>28</v>
      </c>
      <c r="F65" s="53"/>
      <c r="G65" s="46">
        <v>3.47</v>
      </c>
      <c r="H65" s="28"/>
      <c r="I65" s="28"/>
      <c r="J65" s="28"/>
      <c r="K65" s="28">
        <v>2.99</v>
      </c>
      <c r="L65" s="28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8"/>
      <c r="AC65" s="80"/>
      <c r="AE65" s="79"/>
      <c r="AI65" s="83"/>
      <c r="AL65" s="85"/>
      <c r="AM65" s="83"/>
      <c r="AO65" s="77" t="s">
        <v>59</v>
      </c>
      <c r="AU65" s="90"/>
    </row>
    <row r="66" spans="1:48">
      <c r="A66" s="3" t="s">
        <v>3</v>
      </c>
      <c r="B66" s="5">
        <v>32</v>
      </c>
      <c r="C66" s="76" t="s">
        <v>22</v>
      </c>
      <c r="D66" s="52"/>
      <c r="E66" s="40"/>
      <c r="F66" s="58"/>
      <c r="G66" s="46">
        <v>0.62</v>
      </c>
      <c r="H66" s="28"/>
      <c r="I66" s="28"/>
      <c r="J66" s="28"/>
      <c r="K66" s="28"/>
      <c r="L66" s="28"/>
      <c r="M66" s="75" t="s">
        <v>40</v>
      </c>
      <c r="N66" s="39" t="s">
        <v>33</v>
      </c>
      <c r="O66" s="38" t="s">
        <v>41</v>
      </c>
      <c r="P66" s="39" t="s">
        <v>34</v>
      </c>
      <c r="Q66" s="73" t="s">
        <v>42</v>
      </c>
      <c r="R66" s="70" t="s">
        <v>29</v>
      </c>
      <c r="S66" s="71" t="s">
        <v>43</v>
      </c>
      <c r="T66" s="71" t="s">
        <v>32</v>
      </c>
      <c r="U66" s="72" t="s">
        <v>44</v>
      </c>
      <c r="V66" s="72" t="s">
        <v>31</v>
      </c>
      <c r="W66" s="72" t="s">
        <v>45</v>
      </c>
      <c r="X66" s="72" t="s">
        <v>26</v>
      </c>
      <c r="Y66" s="8"/>
      <c r="AC66" s="80"/>
      <c r="AE66" s="79"/>
      <c r="AI66" s="83"/>
      <c r="AL66" s="85"/>
      <c r="AM66" s="83"/>
      <c r="AO66" s="77" t="s">
        <v>60</v>
      </c>
      <c r="AU66" s="90"/>
    </row>
    <row r="67" spans="1:48">
      <c r="A67" s="3" t="s">
        <v>4</v>
      </c>
      <c r="B67" s="5"/>
      <c r="C67" s="5"/>
      <c r="D67" s="56"/>
      <c r="E67" s="44" t="s">
        <v>27</v>
      </c>
      <c r="F67" s="57"/>
      <c r="G67" s="46">
        <v>3</v>
      </c>
      <c r="H67" s="28"/>
      <c r="I67" s="28"/>
      <c r="J67" s="28"/>
      <c r="K67" s="28">
        <v>3.24</v>
      </c>
      <c r="L67" s="28"/>
      <c r="M67" s="22"/>
      <c r="N67" s="22"/>
      <c r="O67" s="22"/>
      <c r="P67" s="22"/>
      <c r="Q67" s="22"/>
      <c r="R67" s="22"/>
      <c r="S67" s="19"/>
      <c r="T67" s="19"/>
      <c r="U67" s="19"/>
      <c r="V67" s="19"/>
      <c r="W67" s="19"/>
      <c r="X67" s="19"/>
      <c r="Y67" s="8"/>
      <c r="AC67" s="80"/>
      <c r="AE67" s="79"/>
      <c r="AI67" s="83"/>
      <c r="AL67" s="85"/>
      <c r="AM67" s="83"/>
      <c r="AN67" s="86">
        <f>30</f>
        <v>30</v>
      </c>
      <c r="AU67" s="90"/>
    </row>
    <row r="68" spans="1:48">
      <c r="A68" s="3" t="s">
        <v>3</v>
      </c>
      <c r="B68" s="5">
        <v>33</v>
      </c>
      <c r="C68" s="5" t="s">
        <v>8</v>
      </c>
      <c r="D68" s="54"/>
      <c r="E68" s="40"/>
      <c r="F68" s="55"/>
      <c r="G68" s="46">
        <v>0.62</v>
      </c>
      <c r="H68" s="28"/>
      <c r="I68" s="28"/>
      <c r="J68" s="28"/>
      <c r="K68" s="28"/>
      <c r="L68" s="28"/>
      <c r="M68" s="22"/>
      <c r="N68" s="22"/>
      <c r="O68" s="22"/>
      <c r="P68" s="22"/>
      <c r="Q68" s="22"/>
      <c r="R68" s="22"/>
      <c r="S68" s="19"/>
      <c r="T68" s="19"/>
      <c r="U68" s="19"/>
      <c r="V68" s="19"/>
      <c r="W68" s="19"/>
      <c r="X68" s="19"/>
      <c r="Y68" s="8"/>
      <c r="AC68" s="80"/>
      <c r="AE68" s="79"/>
      <c r="AI68" s="83"/>
      <c r="AL68" s="85"/>
      <c r="AM68" s="83"/>
      <c r="AU68" s="90"/>
    </row>
    <row r="69" spans="1:48">
      <c r="A69" s="3" t="s">
        <v>5</v>
      </c>
      <c r="B69" s="5"/>
      <c r="C69" s="5"/>
      <c r="D69" s="52"/>
      <c r="E69" s="45" t="s">
        <v>27</v>
      </c>
      <c r="F69" s="53"/>
      <c r="G69" s="46">
        <v>2.56</v>
      </c>
      <c r="H69" s="28"/>
      <c r="I69" s="28"/>
      <c r="J69" s="28"/>
      <c r="K69" s="28">
        <v>2.88</v>
      </c>
      <c r="L69" s="28"/>
      <c r="M69" s="22"/>
      <c r="N69" s="22"/>
      <c r="O69" s="22"/>
      <c r="P69" s="22"/>
      <c r="Q69" s="22"/>
      <c r="R69" s="22"/>
      <c r="S69" s="19"/>
      <c r="T69" s="19"/>
      <c r="U69" s="19"/>
      <c r="V69" s="19"/>
      <c r="W69" s="19"/>
      <c r="X69" s="19"/>
      <c r="Y69" s="8"/>
      <c r="AC69" s="80"/>
      <c r="AE69" s="79"/>
      <c r="AI69" s="83"/>
      <c r="AL69" s="85"/>
      <c r="AM69" s="83"/>
      <c r="AU69" s="90"/>
    </row>
    <row r="70" spans="1:48">
      <c r="A70" s="3" t="s">
        <v>3</v>
      </c>
      <c r="B70" s="5">
        <v>34</v>
      </c>
      <c r="C70" s="5" t="s">
        <v>18</v>
      </c>
      <c r="D70" s="50"/>
      <c r="E70" s="41"/>
      <c r="F70" s="51"/>
      <c r="G70" s="46">
        <v>2</v>
      </c>
      <c r="H70" s="28"/>
      <c r="I70" s="28"/>
      <c r="J70" s="28"/>
      <c r="K70" s="28"/>
      <c r="L70" s="28"/>
      <c r="M70" s="38" t="s">
        <v>35</v>
      </c>
      <c r="N70" s="39" t="s">
        <v>33</v>
      </c>
      <c r="O70" s="38" t="s">
        <v>36</v>
      </c>
      <c r="P70" s="39" t="s">
        <v>34</v>
      </c>
      <c r="Q70" s="69" t="s">
        <v>30</v>
      </c>
      <c r="R70" s="70" t="s">
        <v>29</v>
      </c>
      <c r="S70" s="71" t="s">
        <v>37</v>
      </c>
      <c r="T70" s="71" t="s">
        <v>32</v>
      </c>
      <c r="U70" s="72" t="s">
        <v>38</v>
      </c>
      <c r="V70" s="72" t="s">
        <v>31</v>
      </c>
      <c r="W70" s="72" t="s">
        <v>39</v>
      </c>
      <c r="X70" s="72" t="s">
        <v>26</v>
      </c>
      <c r="Y70" s="8"/>
      <c r="AB70" s="80"/>
      <c r="AC70" s="80"/>
      <c r="AE70" s="79"/>
      <c r="AF70" s="79"/>
      <c r="AH70" s="83"/>
      <c r="AI70" s="80"/>
      <c r="AK70" s="77" t="s">
        <v>56</v>
      </c>
      <c r="AL70" s="85"/>
      <c r="AM70" s="79"/>
      <c r="AN70" s="83"/>
      <c r="AT70" s="88"/>
      <c r="AU70" s="90"/>
      <c r="AV70" s="88"/>
    </row>
    <row r="71" spans="1:48">
      <c r="A71" s="3" t="s">
        <v>2</v>
      </c>
      <c r="B71" s="5"/>
      <c r="C71" s="5"/>
      <c r="D71" s="62"/>
      <c r="E71" s="63"/>
      <c r="F71" s="64"/>
      <c r="G71" s="46">
        <v>1.4</v>
      </c>
      <c r="H71" s="28"/>
      <c r="I71" s="28"/>
      <c r="J71" s="28"/>
      <c r="K71" s="28"/>
      <c r="L71" s="28"/>
      <c r="M71" s="22"/>
      <c r="N71" s="22"/>
      <c r="O71" s="22"/>
      <c r="P71" s="22"/>
      <c r="Q71" s="22"/>
      <c r="R71" s="22"/>
      <c r="S71" s="19"/>
      <c r="T71" s="19"/>
      <c r="U71" s="19"/>
      <c r="V71" s="19"/>
      <c r="W71" s="19"/>
      <c r="X71" s="19"/>
      <c r="Y71" s="8"/>
      <c r="AN71" s="82"/>
      <c r="AO71" s="77" t="s">
        <v>57</v>
      </c>
    </row>
    <row r="72" spans="1:48">
      <c r="A72" s="3" t="s">
        <v>0</v>
      </c>
      <c r="B72" s="5"/>
      <c r="C72" s="5"/>
      <c r="E72" s="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8"/>
      <c r="Z72" s="4"/>
      <c r="AB72" s="1"/>
      <c r="AC72" s="1"/>
      <c r="AD72" s="1"/>
      <c r="AE72" s="1"/>
      <c r="AF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8">
      <c r="A73" s="74"/>
      <c r="B73" s="74"/>
      <c r="C73" s="74"/>
      <c r="E73" s="7"/>
      <c r="F73" s="20" t="s">
        <v>9</v>
      </c>
      <c r="G73" s="25">
        <f>SUM(G3:G71)</f>
        <v>180.00000000000009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8"/>
    </row>
    <row r="74" spans="1:48">
      <c r="A74" s="5"/>
      <c r="B74" s="5"/>
      <c r="C74" s="5"/>
      <c r="E74" s="7"/>
      <c r="F74" s="20" t="s">
        <v>10</v>
      </c>
      <c r="G74" s="30">
        <f>G73/39.37</f>
        <v>4.5720091440182902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8"/>
    </row>
    <row r="75" spans="1:48">
      <c r="G75" s="34">
        <f>G73/10</f>
        <v>18.000000000000007</v>
      </c>
    </row>
    <row r="76" spans="1:48">
      <c r="A76" s="74"/>
      <c r="B76" s="74"/>
      <c r="C76" s="74"/>
      <c r="F76" s="35"/>
      <c r="G76" s="36"/>
      <c r="H76" s="37"/>
    </row>
    <row r="78" spans="1:48">
      <c r="H78" s="18"/>
      <c r="I78" s="18"/>
      <c r="J78" s="18"/>
      <c r="K78" s="18"/>
      <c r="L78" s="18"/>
    </row>
    <row r="79" spans="1:48">
      <c r="H79" s="18"/>
      <c r="I79" s="18"/>
      <c r="J79" s="29"/>
      <c r="K79" s="29"/>
      <c r="L79" s="29"/>
    </row>
    <row r="80" spans="1:48">
      <c r="H80" s="18"/>
      <c r="I80" s="18"/>
      <c r="J80" s="16"/>
      <c r="K80" s="16"/>
      <c r="L80" s="16"/>
    </row>
    <row r="81" spans="1:49">
      <c r="H81" s="18"/>
      <c r="I81" s="18"/>
    </row>
    <row r="82" spans="1:49">
      <c r="H82" s="18"/>
      <c r="I82" s="18"/>
    </row>
    <row r="83" spans="1:49">
      <c r="H83" s="18"/>
      <c r="I83" s="18"/>
    </row>
    <row r="84" spans="1:49" s="2" customFormat="1" ht="15.75">
      <c r="A84" s="3"/>
      <c r="B84" s="3"/>
      <c r="C84" s="3"/>
      <c r="D84" s="6"/>
      <c r="E84" s="6"/>
      <c r="F84" s="6"/>
      <c r="G84" s="14"/>
      <c r="H84" s="18"/>
      <c r="I84" s="18"/>
      <c r="J84" s="15"/>
      <c r="K84" s="15"/>
      <c r="L84" s="29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AA84" s="6"/>
      <c r="AB84" s="10"/>
      <c r="AC84" s="10"/>
      <c r="AD84" s="10"/>
      <c r="AE84" s="10"/>
      <c r="AF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T84" s="10"/>
      <c r="AU84" s="10"/>
      <c r="AV84" s="10"/>
      <c r="AW84" s="10"/>
    </row>
    <row r="85" spans="1:49">
      <c r="H85" s="18"/>
      <c r="I85" s="18"/>
    </row>
    <row r="86" spans="1:49">
      <c r="I86" s="18"/>
    </row>
    <row r="88" spans="1:49" s="2" customFormat="1" ht="15.75">
      <c r="A88" s="5"/>
      <c r="B88" s="5"/>
      <c r="C88" s="5"/>
      <c r="D88" s="3"/>
      <c r="E88" s="5"/>
      <c r="F88" s="3"/>
      <c r="G88" s="16"/>
      <c r="H88" s="14"/>
      <c r="I88" s="14"/>
      <c r="J88" s="14"/>
      <c r="K88" s="14"/>
      <c r="L88" s="14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AA88" s="6"/>
      <c r="AB88" s="10"/>
      <c r="AC88" s="10"/>
      <c r="AD88" s="10"/>
      <c r="AE88" s="10"/>
      <c r="AF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T88" s="10"/>
      <c r="AU88" s="10"/>
      <c r="AV88" s="10"/>
      <c r="AW88" s="10"/>
    </row>
    <row r="89" spans="1:49" s="2" customFormat="1" ht="15.75">
      <c r="A89" s="5"/>
      <c r="B89" s="5"/>
      <c r="C89" s="5"/>
      <c r="D89" s="6"/>
      <c r="E89" s="7"/>
      <c r="F89" s="6"/>
      <c r="G89" s="14"/>
      <c r="H89" s="14"/>
      <c r="I89" s="14"/>
      <c r="J89" s="14"/>
      <c r="K89" s="14"/>
      <c r="L89" s="14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AA89" s="6"/>
      <c r="AB89" s="10"/>
      <c r="AC89" s="10"/>
      <c r="AD89" s="10"/>
      <c r="AE89" s="10"/>
      <c r="AF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T89" s="10"/>
      <c r="AU89" s="10"/>
      <c r="AV89" s="10"/>
      <c r="AW89" s="10"/>
    </row>
    <row r="96" spans="1:49" s="2" customFormat="1" ht="15.75">
      <c r="A96" s="3"/>
      <c r="B96" s="3"/>
      <c r="C96" s="3"/>
      <c r="D96" s="6"/>
      <c r="E96" s="6"/>
      <c r="F96" s="6"/>
      <c r="G96" s="14"/>
      <c r="H96" s="16"/>
      <c r="I96" s="16"/>
      <c r="J96" s="16"/>
      <c r="K96" s="16"/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AA96" s="6"/>
      <c r="AB96" s="10"/>
      <c r="AC96" s="10"/>
      <c r="AD96" s="10"/>
      <c r="AE96" s="10"/>
      <c r="AF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T96" s="10"/>
      <c r="AU96" s="10"/>
      <c r="AV96" s="10"/>
      <c r="AW96" s="10"/>
    </row>
    <row r="99" spans="1:49" s="2" customFormat="1" ht="15.75">
      <c r="A99" s="5"/>
      <c r="B99" s="5"/>
      <c r="C99" s="5"/>
      <c r="D99" s="6"/>
      <c r="E99" s="7"/>
      <c r="F99" s="6"/>
      <c r="G99" s="14"/>
      <c r="H99" s="14"/>
      <c r="I99" s="14"/>
      <c r="J99" s="14"/>
      <c r="K99" s="14"/>
      <c r="L99" s="14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AA99" s="6"/>
      <c r="AB99" s="10"/>
      <c r="AC99" s="10"/>
      <c r="AD99" s="10"/>
      <c r="AE99" s="10"/>
      <c r="AF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T99" s="10"/>
      <c r="AU99" s="10"/>
      <c r="AV99" s="10"/>
      <c r="AW99" s="10"/>
    </row>
    <row r="100" spans="1:49" s="2" customFormat="1" ht="15.75">
      <c r="A100" s="5"/>
      <c r="B100" s="5"/>
      <c r="C100" s="5"/>
      <c r="D100" s="6"/>
      <c r="E100" s="7"/>
      <c r="F100" s="6"/>
      <c r="G100" s="14"/>
      <c r="H100" s="14"/>
      <c r="I100" s="14"/>
      <c r="J100" s="14"/>
      <c r="K100" s="14"/>
      <c r="L100" s="14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AA100" s="6"/>
      <c r="AB100" s="10"/>
      <c r="AC100" s="10"/>
      <c r="AD100" s="10"/>
      <c r="AE100" s="10"/>
      <c r="AF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T100" s="10"/>
      <c r="AU100" s="10"/>
      <c r="AV100" s="10"/>
      <c r="AW100" s="10"/>
    </row>
    <row r="101" spans="1:49" s="2" customFormat="1" ht="15.75">
      <c r="A101" s="3"/>
      <c r="B101" s="3"/>
      <c r="C101" s="3"/>
      <c r="D101" s="6"/>
      <c r="E101" s="6"/>
      <c r="F101" s="6"/>
      <c r="G101" s="14"/>
      <c r="H101" s="14"/>
      <c r="I101" s="14"/>
      <c r="J101" s="14"/>
      <c r="K101" s="14"/>
      <c r="L101" s="14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AA101" s="6"/>
      <c r="AB101" s="10"/>
      <c r="AC101" s="10"/>
      <c r="AD101" s="10"/>
      <c r="AE101" s="10"/>
      <c r="AF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T101" s="10"/>
      <c r="AU101" s="10"/>
      <c r="AV101" s="10"/>
      <c r="AW101" s="10"/>
    </row>
  </sheetData>
  <mergeCells count="1">
    <mergeCell ref="AW9:AW11"/>
  </mergeCells>
  <phoneticPr fontId="1" type="noConversion"/>
  <conditionalFormatting sqref="F70">
    <cfRule type="containsText" dxfId="35" priority="60" operator="containsText" text="tiger">
      <formula>NOT(ISERROR(SEARCH("tiger",F70)))</formula>
    </cfRule>
  </conditionalFormatting>
  <conditionalFormatting sqref="D3:F4">
    <cfRule type="containsText" dxfId="34" priority="74" operator="containsText" text="tiger">
      <formula>NOT(ISERROR(SEARCH("tiger",D3)))</formula>
    </cfRule>
  </conditionalFormatting>
  <conditionalFormatting sqref="D71:F71">
    <cfRule type="containsText" dxfId="33" priority="72" operator="containsText" text="tiger">
      <formula>NOT(ISERROR(SEARCH("tiger",D71)))</formula>
    </cfRule>
  </conditionalFormatting>
  <conditionalFormatting sqref="D68:F68">
    <cfRule type="containsText" dxfId="32" priority="73" operator="containsText" text="tiger">
      <formula>NOT(ISERROR(SEARCH("tiger",D68)))</formula>
    </cfRule>
  </conditionalFormatting>
  <conditionalFormatting sqref="D71:F71">
    <cfRule type="containsText" dxfId="31" priority="71" operator="containsText" text="tiger">
      <formula>NOT(ISERROR(SEARCH("tiger",D71)))</formula>
    </cfRule>
  </conditionalFormatting>
  <conditionalFormatting sqref="D71:F71">
    <cfRule type="containsText" dxfId="30" priority="70" operator="containsText" text="tiger">
      <formula>NOT(ISERROR(SEARCH("tiger",D71)))</formula>
    </cfRule>
  </conditionalFormatting>
  <conditionalFormatting sqref="D71:F71">
    <cfRule type="containsText" dxfId="29" priority="69" operator="containsText" text="tiger">
      <formula>NOT(ISERROR(SEARCH("tiger",D71)))</formula>
    </cfRule>
  </conditionalFormatting>
  <conditionalFormatting sqref="E70">
    <cfRule type="containsText" dxfId="28" priority="68" operator="containsText" text="tiger">
      <formula>NOT(ISERROR(SEARCH("tiger",E70)))</formula>
    </cfRule>
  </conditionalFormatting>
  <conditionalFormatting sqref="D70">
    <cfRule type="containsText" dxfId="27" priority="66" operator="containsText" text="tiger">
      <formula>NOT(ISERROR(SEARCH("tiger",D70)))</formula>
    </cfRule>
  </conditionalFormatting>
  <conditionalFormatting sqref="D70">
    <cfRule type="containsText" dxfId="26" priority="67" operator="containsText" text="tiger">
      <formula>NOT(ISERROR(SEARCH("tiger",D70)))</formula>
    </cfRule>
  </conditionalFormatting>
  <conditionalFormatting sqref="D70">
    <cfRule type="containsText" dxfId="25" priority="65" operator="containsText" text="tiger">
      <formula>NOT(ISERROR(SEARCH("tiger",D70)))</formula>
    </cfRule>
  </conditionalFormatting>
  <conditionalFormatting sqref="D70">
    <cfRule type="containsText" dxfId="24" priority="64" operator="containsText" text="tiger">
      <formula>NOT(ISERROR(SEARCH("tiger",D70)))</formula>
    </cfRule>
  </conditionalFormatting>
  <conditionalFormatting sqref="F70">
    <cfRule type="containsText" dxfId="23" priority="62" operator="containsText" text="tiger">
      <formula>NOT(ISERROR(SEARCH("tiger",F70)))</formula>
    </cfRule>
  </conditionalFormatting>
  <conditionalFormatting sqref="F70">
    <cfRule type="containsText" dxfId="22" priority="63" operator="containsText" text="tiger">
      <formula>NOT(ISERROR(SEARCH("tiger",F70)))</formula>
    </cfRule>
  </conditionalFormatting>
  <conditionalFormatting sqref="F70">
    <cfRule type="containsText" dxfId="21" priority="61" operator="containsText" text="tiger">
      <formula>NOT(ISERROR(SEARCH("tiger",F70)))</formula>
    </cfRule>
  </conditionalFormatting>
  <conditionalFormatting sqref="D64:F64">
    <cfRule type="containsText" dxfId="20" priority="59" operator="containsText" text="tiger">
      <formula>NOT(ISERROR(SEARCH("tiger",D64)))</formula>
    </cfRule>
  </conditionalFormatting>
  <conditionalFormatting sqref="D60:F60">
    <cfRule type="containsText" dxfId="19" priority="57" operator="containsText" text="tiger">
      <formula>NOT(ISERROR(SEARCH("tiger",D60)))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L46" sqref="L46"/>
    </sheetView>
  </sheetViews>
  <sheetFormatPr defaultRowHeight="16.5"/>
  <cols>
    <col min="1" max="1" width="11.25" bestFit="1" customWidth="1"/>
  </cols>
  <sheetData>
    <row r="1" spans="1:18">
      <c r="A1" s="3" t="s">
        <v>2</v>
      </c>
      <c r="B1" s="5"/>
      <c r="C1" s="5"/>
      <c r="D1" s="47"/>
      <c r="E1" s="48"/>
      <c r="F1" s="49"/>
      <c r="G1" s="46">
        <v>1.4</v>
      </c>
      <c r="H1" t="b">
        <f>A1=L1</f>
        <v>1</v>
      </c>
      <c r="I1" t="b">
        <f>E1=P1</f>
        <v>1</v>
      </c>
      <c r="J1" t="b">
        <f>G1=R1</f>
        <v>1</v>
      </c>
      <c r="K1">
        <v>38</v>
      </c>
      <c r="L1" s="3" t="s">
        <v>2</v>
      </c>
      <c r="M1" s="5"/>
      <c r="N1" s="5"/>
      <c r="O1" s="66"/>
      <c r="P1" s="67"/>
      <c r="Q1" s="68"/>
      <c r="R1" s="46">
        <v>1.4</v>
      </c>
    </row>
    <row r="2" spans="1:18">
      <c r="A2" s="3" t="s">
        <v>3</v>
      </c>
      <c r="B2" s="5">
        <v>1</v>
      </c>
      <c r="C2" s="5" t="s">
        <v>21</v>
      </c>
      <c r="D2" s="50"/>
      <c r="E2" s="41"/>
      <c r="F2" s="51"/>
      <c r="G2" s="46">
        <v>2</v>
      </c>
      <c r="H2" t="b">
        <f t="shared" ref="H2:H38" si="0">A2=L2</f>
        <v>1</v>
      </c>
      <c r="I2" t="b">
        <f t="shared" ref="I2:I38" si="1">E2=P2</f>
        <v>1</v>
      </c>
      <c r="J2" t="b">
        <f t="shared" ref="J2:J38" si="2">G2=R2</f>
        <v>1</v>
      </c>
      <c r="K2">
        <v>37</v>
      </c>
      <c r="L2" s="3" t="s">
        <v>3</v>
      </c>
      <c r="M2" s="5">
        <v>38</v>
      </c>
      <c r="N2" s="5" t="s">
        <v>18</v>
      </c>
      <c r="O2" s="50"/>
      <c r="P2" s="41"/>
      <c r="Q2" s="51"/>
      <c r="R2" s="46">
        <v>2</v>
      </c>
    </row>
    <row r="3" spans="1:18">
      <c r="A3" s="3" t="s">
        <v>5</v>
      </c>
      <c r="B3" s="5"/>
      <c r="C3" s="5"/>
      <c r="D3" s="52"/>
      <c r="E3" s="42" t="s">
        <v>28</v>
      </c>
      <c r="F3" s="53"/>
      <c r="G3" s="46">
        <v>2.56</v>
      </c>
      <c r="H3" t="b">
        <f t="shared" si="0"/>
        <v>1</v>
      </c>
      <c r="I3" t="b">
        <f t="shared" si="1"/>
        <v>1</v>
      </c>
      <c r="J3" t="b">
        <f t="shared" si="2"/>
        <v>1</v>
      </c>
      <c r="K3">
        <v>36</v>
      </c>
      <c r="L3" s="3" t="s">
        <v>5</v>
      </c>
      <c r="M3" s="5"/>
      <c r="N3" s="5"/>
      <c r="O3" s="52"/>
      <c r="P3" s="45" t="s">
        <v>27</v>
      </c>
      <c r="Q3" s="53"/>
      <c r="R3" s="46">
        <v>2.56</v>
      </c>
    </row>
    <row r="4" spans="1:18">
      <c r="A4" s="3" t="s">
        <v>3</v>
      </c>
      <c r="B4" s="5">
        <v>2</v>
      </c>
      <c r="C4" s="5" t="s">
        <v>8</v>
      </c>
      <c r="D4" s="54"/>
      <c r="E4" s="43"/>
      <c r="F4" s="55"/>
      <c r="G4" s="46">
        <v>0.62</v>
      </c>
      <c r="H4" t="b">
        <f t="shared" si="0"/>
        <v>1</v>
      </c>
      <c r="I4" t="b">
        <f t="shared" si="1"/>
        <v>1</v>
      </c>
      <c r="J4" t="b">
        <f t="shared" si="2"/>
        <v>1</v>
      </c>
      <c r="K4">
        <v>35</v>
      </c>
      <c r="L4" s="3" t="s">
        <v>3</v>
      </c>
      <c r="M4" s="5">
        <v>37</v>
      </c>
      <c r="N4" s="5" t="s">
        <v>8</v>
      </c>
      <c r="O4" s="54"/>
      <c r="P4" s="40"/>
      <c r="Q4" s="55"/>
      <c r="R4" s="46">
        <v>0.62</v>
      </c>
    </row>
    <row r="5" spans="1:18">
      <c r="A5" s="3" t="s">
        <v>4</v>
      </c>
      <c r="B5" s="5"/>
      <c r="C5" s="5"/>
      <c r="D5" s="56"/>
      <c r="E5" s="44" t="s">
        <v>28</v>
      </c>
      <c r="F5" s="57"/>
      <c r="G5" s="46">
        <v>3</v>
      </c>
      <c r="H5" t="b">
        <f t="shared" si="0"/>
        <v>1</v>
      </c>
      <c r="I5" t="b">
        <f t="shared" si="1"/>
        <v>1</v>
      </c>
      <c r="J5" t="b">
        <f t="shared" si="2"/>
        <v>1</v>
      </c>
      <c r="K5">
        <v>34</v>
      </c>
      <c r="L5" s="3" t="s">
        <v>4</v>
      </c>
      <c r="M5" s="5"/>
      <c r="N5" s="5"/>
      <c r="O5" s="56"/>
      <c r="P5" s="44" t="s">
        <v>27</v>
      </c>
      <c r="Q5" s="57"/>
      <c r="R5" s="46">
        <v>3</v>
      </c>
    </row>
    <row r="6" spans="1:18">
      <c r="A6" s="3" t="s">
        <v>3</v>
      </c>
      <c r="B6" s="5">
        <v>3</v>
      </c>
      <c r="C6" s="76" t="s">
        <v>22</v>
      </c>
      <c r="D6" s="52"/>
      <c r="E6" s="43"/>
      <c r="F6" s="58"/>
      <c r="G6" s="46">
        <v>0.62</v>
      </c>
      <c r="H6" t="b">
        <f t="shared" si="0"/>
        <v>1</v>
      </c>
      <c r="I6" t="b">
        <f t="shared" si="1"/>
        <v>1</v>
      </c>
      <c r="J6" t="b">
        <f t="shared" si="2"/>
        <v>1</v>
      </c>
      <c r="K6">
        <v>33</v>
      </c>
      <c r="L6" s="3" t="s">
        <v>3</v>
      </c>
      <c r="M6" s="5">
        <v>36</v>
      </c>
      <c r="N6" s="76" t="s">
        <v>22</v>
      </c>
      <c r="O6" s="52"/>
      <c r="P6" s="40"/>
      <c r="Q6" s="58"/>
      <c r="R6" s="46">
        <v>0.62</v>
      </c>
    </row>
    <row r="7" spans="1:18">
      <c r="A7" s="3" t="s">
        <v>5</v>
      </c>
      <c r="B7" s="5"/>
      <c r="C7" s="5"/>
      <c r="D7" s="52"/>
      <c r="E7" s="42" t="s">
        <v>28</v>
      </c>
      <c r="F7" s="53"/>
      <c r="G7" s="46">
        <v>3.47</v>
      </c>
      <c r="H7" t="b">
        <f t="shared" si="0"/>
        <v>1</v>
      </c>
      <c r="I7" t="b">
        <f t="shared" si="1"/>
        <v>1</v>
      </c>
      <c r="J7" t="b">
        <f t="shared" si="2"/>
        <v>1</v>
      </c>
      <c r="K7">
        <v>32</v>
      </c>
      <c r="L7" s="3" t="s">
        <v>5</v>
      </c>
      <c r="M7" s="5"/>
      <c r="N7" s="5"/>
      <c r="O7" s="52"/>
      <c r="P7" s="45" t="s">
        <v>28</v>
      </c>
      <c r="Q7" s="53"/>
      <c r="R7" s="46">
        <v>3.47</v>
      </c>
    </row>
    <row r="8" spans="1:18">
      <c r="A8" s="3" t="s">
        <v>3</v>
      </c>
      <c r="B8" s="5">
        <v>4</v>
      </c>
      <c r="C8" s="5" t="s">
        <v>8</v>
      </c>
      <c r="D8" s="54"/>
      <c r="E8" s="43"/>
      <c r="F8" s="55"/>
      <c r="G8" s="46">
        <v>0.62</v>
      </c>
      <c r="H8" t="b">
        <f t="shared" si="0"/>
        <v>1</v>
      </c>
      <c r="I8" t="b">
        <f t="shared" si="1"/>
        <v>1</v>
      </c>
      <c r="J8" t="b">
        <f t="shared" si="2"/>
        <v>1</v>
      </c>
      <c r="K8">
        <v>31</v>
      </c>
      <c r="L8" s="3" t="s">
        <v>3</v>
      </c>
      <c r="M8" s="5">
        <v>35</v>
      </c>
      <c r="N8" s="5" t="s">
        <v>8</v>
      </c>
      <c r="O8" s="54"/>
      <c r="P8" s="40"/>
      <c r="Q8" s="55"/>
      <c r="R8" s="46">
        <v>0.62</v>
      </c>
    </row>
    <row r="9" spans="1:18">
      <c r="A9" s="3" t="s">
        <v>4</v>
      </c>
      <c r="B9" s="5"/>
      <c r="C9" s="5"/>
      <c r="D9" s="56"/>
      <c r="E9" s="44" t="s">
        <v>28</v>
      </c>
      <c r="F9" s="57"/>
      <c r="G9" s="46">
        <v>3</v>
      </c>
      <c r="H9" t="b">
        <f t="shared" si="0"/>
        <v>1</v>
      </c>
      <c r="I9" t="b">
        <f t="shared" si="1"/>
        <v>1</v>
      </c>
      <c r="J9" t="b">
        <f t="shared" si="2"/>
        <v>1</v>
      </c>
      <c r="K9">
        <v>30</v>
      </c>
      <c r="L9" s="3" t="s">
        <v>4</v>
      </c>
      <c r="M9" s="5"/>
      <c r="N9" s="5"/>
      <c r="O9" s="56"/>
      <c r="P9" s="44" t="s">
        <v>27</v>
      </c>
      <c r="Q9" s="57"/>
      <c r="R9" s="46">
        <v>3</v>
      </c>
    </row>
    <row r="10" spans="1:18">
      <c r="A10" s="3" t="s">
        <v>3</v>
      </c>
      <c r="B10" s="5">
        <v>5</v>
      </c>
      <c r="C10" s="76" t="s">
        <v>22</v>
      </c>
      <c r="D10" s="52"/>
      <c r="E10" s="43"/>
      <c r="F10" s="58"/>
      <c r="G10" s="46">
        <v>0.62</v>
      </c>
      <c r="H10" t="b">
        <f t="shared" si="0"/>
        <v>1</v>
      </c>
      <c r="I10" t="b">
        <f t="shared" si="1"/>
        <v>1</v>
      </c>
      <c r="J10" t="b">
        <f t="shared" si="2"/>
        <v>1</v>
      </c>
      <c r="K10">
        <v>29</v>
      </c>
      <c r="L10" s="3" t="s">
        <v>3</v>
      </c>
      <c r="M10" s="5">
        <v>34</v>
      </c>
      <c r="N10" s="76" t="s">
        <v>22</v>
      </c>
      <c r="O10" s="52"/>
      <c r="P10" s="40"/>
      <c r="Q10" s="58"/>
      <c r="R10" s="46">
        <v>0.62</v>
      </c>
    </row>
    <row r="11" spans="1:18">
      <c r="A11" s="3" t="s">
        <v>5</v>
      </c>
      <c r="B11" s="5"/>
      <c r="C11" s="5"/>
      <c r="D11" s="52"/>
      <c r="E11" s="42" t="s">
        <v>28</v>
      </c>
      <c r="F11" s="53"/>
      <c r="G11" s="46">
        <v>3.47</v>
      </c>
      <c r="H11" t="b">
        <f t="shared" si="0"/>
        <v>1</v>
      </c>
      <c r="I11" t="b">
        <f t="shared" si="1"/>
        <v>1</v>
      </c>
      <c r="J11" t="b">
        <f t="shared" si="2"/>
        <v>1</v>
      </c>
      <c r="K11">
        <v>28</v>
      </c>
      <c r="L11" s="3" t="s">
        <v>5</v>
      </c>
      <c r="M11" s="5"/>
      <c r="N11" s="5"/>
      <c r="O11" s="52"/>
      <c r="P11" s="45" t="s">
        <v>28</v>
      </c>
      <c r="Q11" s="53"/>
      <c r="R11" s="46">
        <v>3.47</v>
      </c>
    </row>
    <row r="12" spans="1:18">
      <c r="A12" s="3" t="s">
        <v>3</v>
      </c>
      <c r="B12" s="5">
        <v>6</v>
      </c>
      <c r="C12" s="5" t="s">
        <v>8</v>
      </c>
      <c r="D12" s="54"/>
      <c r="E12" s="43"/>
      <c r="F12" s="55"/>
      <c r="G12" s="46">
        <v>0.62</v>
      </c>
      <c r="H12" t="b">
        <f t="shared" si="0"/>
        <v>1</v>
      </c>
      <c r="I12" t="b">
        <f t="shared" si="1"/>
        <v>1</v>
      </c>
      <c r="J12" t="b">
        <f t="shared" si="2"/>
        <v>1</v>
      </c>
      <c r="K12">
        <v>27</v>
      </c>
      <c r="L12" s="3" t="s">
        <v>3</v>
      </c>
      <c r="M12" s="5">
        <v>33</v>
      </c>
      <c r="N12" s="5" t="s">
        <v>8</v>
      </c>
      <c r="O12" s="54"/>
      <c r="P12" s="40"/>
      <c r="Q12" s="55"/>
      <c r="R12" s="46">
        <v>0.62</v>
      </c>
    </row>
    <row r="13" spans="1:18">
      <c r="A13" s="3" t="s">
        <v>4</v>
      </c>
      <c r="B13" s="5"/>
      <c r="C13" s="5"/>
      <c r="D13" s="56"/>
      <c r="E13" s="44" t="s">
        <v>28</v>
      </c>
      <c r="F13" s="57"/>
      <c r="G13" s="46">
        <v>3</v>
      </c>
      <c r="H13" t="b">
        <f t="shared" si="0"/>
        <v>1</v>
      </c>
      <c r="I13" t="b">
        <f t="shared" si="1"/>
        <v>1</v>
      </c>
      <c r="J13" t="b">
        <f t="shared" si="2"/>
        <v>1</v>
      </c>
      <c r="K13">
        <v>26</v>
      </c>
      <c r="L13" s="3" t="s">
        <v>4</v>
      </c>
      <c r="M13" s="5"/>
      <c r="N13" s="5"/>
      <c r="O13" s="56"/>
      <c r="P13" s="44" t="s">
        <v>27</v>
      </c>
      <c r="Q13" s="57"/>
      <c r="R13" s="46">
        <v>3</v>
      </c>
    </row>
    <row r="14" spans="1:18">
      <c r="A14" s="3" t="s">
        <v>3</v>
      </c>
      <c r="B14" s="5">
        <v>7</v>
      </c>
      <c r="C14" s="76" t="s">
        <v>22</v>
      </c>
      <c r="D14" s="52"/>
      <c r="E14" s="43"/>
      <c r="F14" s="58"/>
      <c r="G14" s="46">
        <v>0.62</v>
      </c>
      <c r="H14" t="b">
        <f t="shared" si="0"/>
        <v>1</v>
      </c>
      <c r="I14" t="b">
        <f t="shared" si="1"/>
        <v>1</v>
      </c>
      <c r="J14" t="b">
        <f t="shared" si="2"/>
        <v>1</v>
      </c>
      <c r="K14">
        <v>25</v>
      </c>
      <c r="L14" s="3" t="s">
        <v>3</v>
      </c>
      <c r="M14" s="5">
        <v>32</v>
      </c>
      <c r="N14" s="76" t="s">
        <v>22</v>
      </c>
      <c r="O14" s="52"/>
      <c r="P14" s="40"/>
      <c r="Q14" s="58"/>
      <c r="R14" s="46">
        <v>0.62</v>
      </c>
    </row>
    <row r="15" spans="1:18">
      <c r="A15" s="3" t="s">
        <v>5</v>
      </c>
      <c r="B15" s="5"/>
      <c r="C15" s="5"/>
      <c r="D15" s="52"/>
      <c r="E15" s="42" t="s">
        <v>28</v>
      </c>
      <c r="F15" s="53"/>
      <c r="G15" s="46">
        <v>3.47</v>
      </c>
      <c r="H15" t="b">
        <f t="shared" si="0"/>
        <v>1</v>
      </c>
      <c r="I15" t="b">
        <f t="shared" si="1"/>
        <v>1</v>
      </c>
      <c r="J15" t="b">
        <f t="shared" si="2"/>
        <v>1</v>
      </c>
      <c r="K15">
        <v>24</v>
      </c>
      <c r="L15" s="3" t="s">
        <v>5</v>
      </c>
      <c r="M15" s="5"/>
      <c r="N15" s="5"/>
      <c r="O15" s="52"/>
      <c r="P15" s="45" t="s">
        <v>28</v>
      </c>
      <c r="Q15" s="53"/>
      <c r="R15" s="46">
        <v>3.47</v>
      </c>
    </row>
    <row r="16" spans="1:18">
      <c r="A16" s="3" t="s">
        <v>3</v>
      </c>
      <c r="B16" s="5">
        <v>8</v>
      </c>
      <c r="C16" s="5" t="s">
        <v>8</v>
      </c>
      <c r="D16" s="54"/>
      <c r="E16" s="43"/>
      <c r="F16" s="55"/>
      <c r="G16" s="46">
        <v>0.62</v>
      </c>
      <c r="H16" t="b">
        <f t="shared" si="0"/>
        <v>1</v>
      </c>
      <c r="I16" t="b">
        <f t="shared" si="1"/>
        <v>1</v>
      </c>
      <c r="J16" t="b">
        <f t="shared" si="2"/>
        <v>1</v>
      </c>
      <c r="K16">
        <v>23</v>
      </c>
      <c r="L16" s="3" t="s">
        <v>3</v>
      </c>
      <c r="M16" s="5">
        <v>31</v>
      </c>
      <c r="N16" s="5" t="s">
        <v>8</v>
      </c>
      <c r="O16" s="54"/>
      <c r="P16" s="40"/>
      <c r="Q16" s="55"/>
      <c r="R16" s="46">
        <v>0.62</v>
      </c>
    </row>
    <row r="17" spans="1:18">
      <c r="A17" s="3" t="s">
        <v>4</v>
      </c>
      <c r="B17" s="5"/>
      <c r="C17" s="5"/>
      <c r="D17" s="56"/>
      <c r="E17" s="44" t="s">
        <v>28</v>
      </c>
      <c r="F17" s="57"/>
      <c r="G17" s="46">
        <v>3</v>
      </c>
      <c r="H17" t="b">
        <f t="shared" si="0"/>
        <v>1</v>
      </c>
      <c r="I17" t="b">
        <f t="shared" si="1"/>
        <v>1</v>
      </c>
      <c r="J17" t="b">
        <f t="shared" si="2"/>
        <v>1</v>
      </c>
      <c r="K17">
        <v>22</v>
      </c>
      <c r="L17" s="3" t="s">
        <v>4</v>
      </c>
      <c r="M17" s="5"/>
      <c r="N17" s="5"/>
      <c r="O17" s="56"/>
      <c r="P17" s="44" t="s">
        <v>27</v>
      </c>
      <c r="Q17" s="57"/>
      <c r="R17" s="46">
        <v>3</v>
      </c>
    </row>
    <row r="18" spans="1:18">
      <c r="A18" s="3" t="s">
        <v>3</v>
      </c>
      <c r="B18" s="5">
        <v>9</v>
      </c>
      <c r="C18" s="76" t="s">
        <v>22</v>
      </c>
      <c r="D18" s="52"/>
      <c r="E18" s="43"/>
      <c r="F18" s="58"/>
      <c r="G18" s="46">
        <v>0.62</v>
      </c>
      <c r="H18" t="b">
        <f t="shared" si="0"/>
        <v>1</v>
      </c>
      <c r="I18" t="b">
        <f t="shared" si="1"/>
        <v>1</v>
      </c>
      <c r="J18" t="b">
        <f t="shared" si="2"/>
        <v>1</v>
      </c>
      <c r="K18">
        <v>21</v>
      </c>
      <c r="L18" s="3" t="s">
        <v>3</v>
      </c>
      <c r="M18" s="5">
        <v>30</v>
      </c>
      <c r="N18" s="76" t="s">
        <v>22</v>
      </c>
      <c r="O18" s="52"/>
      <c r="P18" s="40"/>
      <c r="Q18" s="58"/>
      <c r="R18" s="46">
        <v>0.62</v>
      </c>
    </row>
    <row r="19" spans="1:18">
      <c r="A19" s="3" t="s">
        <v>5</v>
      </c>
      <c r="B19" s="5"/>
      <c r="C19" s="5"/>
      <c r="D19" s="56"/>
      <c r="E19" s="44" t="s">
        <v>28</v>
      </c>
      <c r="F19" s="57"/>
      <c r="G19" s="46">
        <v>3.47</v>
      </c>
      <c r="H19" t="b">
        <f t="shared" si="0"/>
        <v>1</v>
      </c>
      <c r="I19" t="b">
        <f t="shared" si="1"/>
        <v>1</v>
      </c>
      <c r="J19" t="b">
        <f t="shared" si="2"/>
        <v>1</v>
      </c>
      <c r="K19">
        <v>20</v>
      </c>
      <c r="L19" s="3" t="s">
        <v>5</v>
      </c>
      <c r="M19" s="5"/>
      <c r="N19" s="5"/>
      <c r="O19" s="52"/>
      <c r="P19" s="45" t="s">
        <v>28</v>
      </c>
      <c r="Q19" s="53"/>
      <c r="R19" s="46">
        <v>3.47</v>
      </c>
    </row>
    <row r="20" spans="1:18">
      <c r="A20" s="3" t="s">
        <v>3</v>
      </c>
      <c r="B20" s="5">
        <v>10</v>
      </c>
      <c r="C20" s="5" t="s">
        <v>8</v>
      </c>
      <c r="D20" s="11"/>
      <c r="E20" s="32"/>
      <c r="F20" s="61"/>
      <c r="G20" s="46">
        <v>0.62</v>
      </c>
      <c r="H20" t="b">
        <f t="shared" si="0"/>
        <v>1</v>
      </c>
      <c r="I20" t="b">
        <f t="shared" si="1"/>
        <v>1</v>
      </c>
      <c r="J20" t="b">
        <f t="shared" si="2"/>
        <v>1</v>
      </c>
      <c r="K20">
        <v>19</v>
      </c>
      <c r="L20" s="3" t="s">
        <v>3</v>
      </c>
      <c r="M20" s="5">
        <v>29</v>
      </c>
      <c r="N20" s="5" t="s">
        <v>8</v>
      </c>
      <c r="O20" s="13"/>
      <c r="P20" s="9"/>
      <c r="Q20" s="60"/>
      <c r="R20" s="46">
        <v>0.62</v>
      </c>
    </row>
    <row r="21" spans="1:18">
      <c r="A21" s="3" t="s">
        <v>4</v>
      </c>
      <c r="B21" s="5"/>
      <c r="C21" s="5"/>
      <c r="D21" s="12"/>
      <c r="E21" s="33" t="s">
        <v>23</v>
      </c>
      <c r="F21" s="59"/>
      <c r="G21" s="46">
        <v>4.3</v>
      </c>
      <c r="H21" t="b">
        <f t="shared" si="0"/>
        <v>1</v>
      </c>
      <c r="I21" t="b">
        <f t="shared" si="1"/>
        <v>1</v>
      </c>
      <c r="J21" t="b">
        <f t="shared" si="2"/>
        <v>1</v>
      </c>
      <c r="K21">
        <v>18</v>
      </c>
      <c r="L21" s="3" t="s">
        <v>4</v>
      </c>
      <c r="M21" s="5"/>
      <c r="N21" s="5"/>
      <c r="O21" s="12"/>
      <c r="P21" s="33" t="s">
        <v>23</v>
      </c>
      <c r="Q21" s="59"/>
      <c r="R21" s="46">
        <v>4.3</v>
      </c>
    </row>
    <row r="22" spans="1:18">
      <c r="A22" s="3" t="s">
        <v>3</v>
      </c>
      <c r="B22" s="5">
        <v>11</v>
      </c>
      <c r="C22" s="76" t="s">
        <v>19</v>
      </c>
      <c r="D22" s="13"/>
      <c r="E22" s="9"/>
      <c r="F22" s="60"/>
      <c r="G22" s="46">
        <v>0.62</v>
      </c>
      <c r="H22" t="b">
        <f t="shared" si="0"/>
        <v>1</v>
      </c>
      <c r="I22" t="b">
        <f t="shared" si="1"/>
        <v>1</v>
      </c>
      <c r="J22" t="b">
        <f t="shared" si="2"/>
        <v>1</v>
      </c>
      <c r="K22">
        <v>17</v>
      </c>
      <c r="L22" s="3" t="s">
        <v>3</v>
      </c>
      <c r="M22" s="5">
        <v>28</v>
      </c>
      <c r="N22" s="76" t="s">
        <v>22</v>
      </c>
      <c r="O22" s="13"/>
      <c r="P22" s="9"/>
      <c r="Q22" s="60"/>
      <c r="R22" s="46">
        <v>0.62</v>
      </c>
    </row>
    <row r="23" spans="1:18">
      <c r="A23" s="3" t="s">
        <v>5</v>
      </c>
      <c r="B23" s="5"/>
      <c r="C23" s="5"/>
      <c r="D23" s="13"/>
      <c r="E23" s="31" t="s">
        <v>23</v>
      </c>
      <c r="F23" s="60"/>
      <c r="G23" s="46">
        <v>3.13</v>
      </c>
      <c r="H23" t="b">
        <f t="shared" si="0"/>
        <v>1</v>
      </c>
      <c r="I23" t="b">
        <f t="shared" si="1"/>
        <v>1</v>
      </c>
      <c r="J23" t="b">
        <f t="shared" si="2"/>
        <v>1</v>
      </c>
      <c r="K23">
        <v>16</v>
      </c>
      <c r="L23" s="3" t="s">
        <v>5</v>
      </c>
      <c r="M23" s="5"/>
      <c r="N23" s="3"/>
      <c r="O23" s="13"/>
      <c r="P23" s="31" t="s">
        <v>23</v>
      </c>
      <c r="Q23" s="60"/>
      <c r="R23" s="46">
        <v>3.13</v>
      </c>
    </row>
    <row r="24" spans="1:18">
      <c r="A24" s="3" t="s">
        <v>3</v>
      </c>
      <c r="B24" s="5">
        <v>12</v>
      </c>
      <c r="C24" s="5" t="s">
        <v>8</v>
      </c>
      <c r="D24" s="11"/>
      <c r="E24" s="32"/>
      <c r="F24" s="61"/>
      <c r="G24" s="46">
        <v>0.62</v>
      </c>
      <c r="H24" t="b">
        <f t="shared" si="0"/>
        <v>1</v>
      </c>
      <c r="I24" t="b">
        <f t="shared" si="1"/>
        <v>1</v>
      </c>
      <c r="J24" t="b">
        <f t="shared" si="2"/>
        <v>1</v>
      </c>
      <c r="K24">
        <v>15</v>
      </c>
      <c r="L24" s="3" t="s">
        <v>3</v>
      </c>
      <c r="M24" s="5">
        <v>27</v>
      </c>
      <c r="N24" s="5" t="s">
        <v>8</v>
      </c>
      <c r="O24" s="13"/>
      <c r="P24" s="9"/>
      <c r="Q24" s="60"/>
      <c r="R24" s="46">
        <v>0.62</v>
      </c>
    </row>
    <row r="25" spans="1:18">
      <c r="A25" s="3" t="s">
        <v>4</v>
      </c>
      <c r="B25" s="5"/>
      <c r="C25" s="5"/>
      <c r="D25" s="12"/>
      <c r="E25" s="33" t="s">
        <v>23</v>
      </c>
      <c r="F25" s="59"/>
      <c r="G25" s="46">
        <v>4.3</v>
      </c>
      <c r="H25" t="b">
        <f t="shared" si="0"/>
        <v>1</v>
      </c>
      <c r="I25" t="b">
        <f t="shared" si="1"/>
        <v>1</v>
      </c>
      <c r="J25" t="b">
        <f t="shared" si="2"/>
        <v>1</v>
      </c>
      <c r="K25">
        <v>14</v>
      </c>
      <c r="L25" s="3" t="s">
        <v>4</v>
      </c>
      <c r="M25" s="5"/>
      <c r="N25" s="3"/>
      <c r="O25" s="12"/>
      <c r="P25" s="33" t="s">
        <v>23</v>
      </c>
      <c r="Q25" s="59"/>
      <c r="R25" s="46">
        <v>4.3</v>
      </c>
    </row>
    <row r="26" spans="1:18">
      <c r="A26" s="3" t="s">
        <v>3</v>
      </c>
      <c r="B26" s="5">
        <v>13</v>
      </c>
      <c r="C26" s="65" t="s">
        <v>20</v>
      </c>
      <c r="D26" s="13"/>
      <c r="E26" s="9"/>
      <c r="F26" s="60"/>
      <c r="G26" s="46">
        <v>0.62</v>
      </c>
      <c r="H26" t="b">
        <f t="shared" si="0"/>
        <v>1</v>
      </c>
      <c r="I26" t="b">
        <f t="shared" si="1"/>
        <v>1</v>
      </c>
      <c r="J26" t="b">
        <f t="shared" si="2"/>
        <v>1</v>
      </c>
      <c r="K26">
        <v>13</v>
      </c>
      <c r="L26" s="3" t="s">
        <v>3</v>
      </c>
      <c r="M26" s="5">
        <v>26</v>
      </c>
      <c r="N26" s="65" t="s">
        <v>20</v>
      </c>
      <c r="O26" s="11"/>
      <c r="P26" s="32"/>
      <c r="Q26" s="61"/>
      <c r="R26" s="46">
        <v>0.62</v>
      </c>
    </row>
    <row r="27" spans="1:18">
      <c r="A27" s="3" t="s">
        <v>5</v>
      </c>
      <c r="B27" s="5"/>
      <c r="C27" s="3"/>
      <c r="D27" s="13"/>
      <c r="E27" s="31" t="s">
        <v>23</v>
      </c>
      <c r="F27" s="60"/>
      <c r="G27" s="46">
        <v>3.13</v>
      </c>
      <c r="H27" t="b">
        <f t="shared" si="0"/>
        <v>1</v>
      </c>
      <c r="I27" t="b">
        <f t="shared" si="1"/>
        <v>1</v>
      </c>
      <c r="J27" t="b">
        <f t="shared" si="2"/>
        <v>1</v>
      </c>
      <c r="K27">
        <v>12</v>
      </c>
      <c r="L27" s="3" t="s">
        <v>5</v>
      </c>
      <c r="M27" s="5"/>
      <c r="N27" s="3"/>
      <c r="O27" s="13"/>
      <c r="P27" s="31" t="s">
        <v>23</v>
      </c>
      <c r="Q27" s="60"/>
      <c r="R27" s="46">
        <v>3.13</v>
      </c>
    </row>
    <row r="28" spans="1:18">
      <c r="A28" s="3" t="s">
        <v>3</v>
      </c>
      <c r="B28" s="5">
        <v>14</v>
      </c>
      <c r="C28" s="5" t="s">
        <v>8</v>
      </c>
      <c r="D28" s="11"/>
      <c r="E28" s="32"/>
      <c r="F28" s="61"/>
      <c r="G28" s="46">
        <v>0.62</v>
      </c>
      <c r="H28" t="b">
        <f t="shared" si="0"/>
        <v>1</v>
      </c>
      <c r="I28" t="b">
        <f t="shared" si="1"/>
        <v>1</v>
      </c>
      <c r="J28" t="b">
        <f t="shared" si="2"/>
        <v>1</v>
      </c>
      <c r="K28">
        <v>11</v>
      </c>
      <c r="L28" s="3" t="s">
        <v>3</v>
      </c>
      <c r="M28" s="5">
        <v>25</v>
      </c>
      <c r="N28" s="5" t="s">
        <v>8</v>
      </c>
      <c r="O28" s="13"/>
      <c r="P28" s="9"/>
      <c r="Q28" s="60"/>
      <c r="R28" s="46">
        <v>0.62</v>
      </c>
    </row>
    <row r="29" spans="1:18">
      <c r="A29" s="3" t="s">
        <v>4</v>
      </c>
      <c r="B29" s="5"/>
      <c r="C29" s="5"/>
      <c r="D29" s="12"/>
      <c r="E29" s="33" t="s">
        <v>23</v>
      </c>
      <c r="F29" s="59"/>
      <c r="G29" s="46">
        <v>4.3</v>
      </c>
      <c r="H29" t="b">
        <f t="shared" si="0"/>
        <v>1</v>
      </c>
      <c r="I29" t="b">
        <f t="shared" si="1"/>
        <v>1</v>
      </c>
      <c r="J29" t="b">
        <f t="shared" si="2"/>
        <v>1</v>
      </c>
      <c r="K29">
        <v>10</v>
      </c>
      <c r="L29" s="3" t="s">
        <v>4</v>
      </c>
      <c r="M29" s="5"/>
      <c r="N29" s="3"/>
      <c r="O29" s="13"/>
      <c r="P29" s="31" t="s">
        <v>23</v>
      </c>
      <c r="Q29" s="60"/>
      <c r="R29" s="46">
        <v>4.3</v>
      </c>
    </row>
    <row r="30" spans="1:18">
      <c r="A30" s="3" t="s">
        <v>3</v>
      </c>
      <c r="B30" s="5">
        <v>15</v>
      </c>
      <c r="C30" s="65" t="s">
        <v>20</v>
      </c>
      <c r="D30" s="13"/>
      <c r="E30" s="9"/>
      <c r="F30" s="60"/>
      <c r="G30" s="46">
        <v>0.62</v>
      </c>
      <c r="H30" t="b">
        <f t="shared" si="0"/>
        <v>1</v>
      </c>
      <c r="I30" t="b">
        <f t="shared" si="1"/>
        <v>1</v>
      </c>
      <c r="J30" t="b">
        <f t="shared" si="2"/>
        <v>1</v>
      </c>
      <c r="K30">
        <v>9</v>
      </c>
      <c r="L30" s="3" t="s">
        <v>3</v>
      </c>
      <c r="M30" s="5">
        <v>24</v>
      </c>
      <c r="N30" s="65" t="s">
        <v>20</v>
      </c>
      <c r="O30" s="13"/>
      <c r="P30" s="9"/>
      <c r="Q30" s="60"/>
      <c r="R30" s="46">
        <v>0.62</v>
      </c>
    </row>
    <row r="31" spans="1:18">
      <c r="A31" s="3" t="s">
        <v>5</v>
      </c>
      <c r="B31" s="5"/>
      <c r="C31" s="3"/>
      <c r="D31" s="13"/>
      <c r="E31" s="31" t="s">
        <v>23</v>
      </c>
      <c r="F31" s="60"/>
      <c r="G31" s="46">
        <v>3.13</v>
      </c>
      <c r="H31" t="b">
        <f t="shared" si="0"/>
        <v>1</v>
      </c>
      <c r="I31" t="b">
        <f t="shared" si="1"/>
        <v>1</v>
      </c>
      <c r="J31" t="b">
        <f t="shared" si="2"/>
        <v>1</v>
      </c>
      <c r="K31">
        <v>8</v>
      </c>
      <c r="L31" s="3" t="s">
        <v>5</v>
      </c>
      <c r="M31" s="5"/>
      <c r="N31" s="3"/>
      <c r="O31" s="13"/>
      <c r="P31" s="31" t="s">
        <v>23</v>
      </c>
      <c r="Q31" s="60"/>
      <c r="R31" s="46">
        <v>3.13</v>
      </c>
    </row>
    <row r="32" spans="1:18">
      <c r="A32" s="3" t="s">
        <v>3</v>
      </c>
      <c r="B32" s="5">
        <v>16</v>
      </c>
      <c r="C32" s="5" t="s">
        <v>8</v>
      </c>
      <c r="D32" s="11"/>
      <c r="E32" s="32"/>
      <c r="F32" s="61"/>
      <c r="G32" s="46">
        <v>0.62</v>
      </c>
      <c r="H32" t="b">
        <f t="shared" si="0"/>
        <v>1</v>
      </c>
      <c r="I32" t="b">
        <f t="shared" si="1"/>
        <v>1</v>
      </c>
      <c r="J32" t="b">
        <f t="shared" si="2"/>
        <v>1</v>
      </c>
      <c r="K32">
        <v>7</v>
      </c>
      <c r="L32" s="3" t="s">
        <v>3</v>
      </c>
      <c r="M32" s="5">
        <v>23</v>
      </c>
      <c r="N32" s="5" t="s">
        <v>8</v>
      </c>
      <c r="O32" s="13"/>
      <c r="P32" s="9"/>
      <c r="Q32" s="60"/>
      <c r="R32" s="46">
        <v>0.62</v>
      </c>
    </row>
    <row r="33" spans="1:18">
      <c r="A33" s="3" t="s">
        <v>4</v>
      </c>
      <c r="B33" s="5"/>
      <c r="C33" s="5"/>
      <c r="D33" s="12"/>
      <c r="E33" s="33" t="s">
        <v>23</v>
      </c>
      <c r="F33" s="59"/>
      <c r="G33" s="46">
        <v>4.3</v>
      </c>
      <c r="H33" t="b">
        <f t="shared" si="0"/>
        <v>1</v>
      </c>
      <c r="I33" t="b">
        <f t="shared" si="1"/>
        <v>1</v>
      </c>
      <c r="J33" t="b">
        <f t="shared" si="2"/>
        <v>1</v>
      </c>
      <c r="K33">
        <v>6</v>
      </c>
      <c r="L33" s="3" t="s">
        <v>4</v>
      </c>
      <c r="M33" s="5"/>
      <c r="N33" s="5"/>
      <c r="O33" s="12"/>
      <c r="P33" s="33" t="s">
        <v>23</v>
      </c>
      <c r="Q33" s="59"/>
      <c r="R33" s="46">
        <v>4.3</v>
      </c>
    </row>
    <row r="34" spans="1:18">
      <c r="A34" s="3" t="s">
        <v>3</v>
      </c>
      <c r="B34" s="5">
        <v>17</v>
      </c>
      <c r="C34" s="65" t="s">
        <v>20</v>
      </c>
      <c r="D34" s="13"/>
      <c r="E34" s="9"/>
      <c r="F34" s="60"/>
      <c r="G34" s="46">
        <v>0.62</v>
      </c>
      <c r="H34" t="b">
        <f t="shared" si="0"/>
        <v>1</v>
      </c>
      <c r="I34" t="b">
        <f t="shared" si="1"/>
        <v>1</v>
      </c>
      <c r="J34" t="b">
        <f t="shared" si="2"/>
        <v>1</v>
      </c>
      <c r="K34">
        <v>5</v>
      </c>
      <c r="L34" s="3" t="s">
        <v>3</v>
      </c>
      <c r="M34" s="5">
        <v>22</v>
      </c>
      <c r="N34" s="65" t="s">
        <v>20</v>
      </c>
      <c r="O34" s="13"/>
      <c r="P34" s="9"/>
      <c r="Q34" s="60"/>
      <c r="R34" s="46">
        <v>0.62</v>
      </c>
    </row>
    <row r="35" spans="1:18">
      <c r="A35" s="3" t="s">
        <v>5</v>
      </c>
      <c r="B35" s="5"/>
      <c r="C35" s="3"/>
      <c r="D35" s="13"/>
      <c r="E35" s="31" t="s">
        <v>23</v>
      </c>
      <c r="F35" s="60"/>
      <c r="G35" s="46">
        <v>3.13</v>
      </c>
      <c r="H35" t="b">
        <f t="shared" si="0"/>
        <v>1</v>
      </c>
      <c r="I35" t="b">
        <f t="shared" si="1"/>
        <v>1</v>
      </c>
      <c r="J35" t="b">
        <f t="shared" si="2"/>
        <v>1</v>
      </c>
      <c r="K35">
        <v>4</v>
      </c>
      <c r="L35" s="3" t="s">
        <v>5</v>
      </c>
      <c r="M35" s="5"/>
      <c r="N35" s="3"/>
      <c r="O35" s="13"/>
      <c r="P35" s="31" t="s">
        <v>23</v>
      </c>
      <c r="Q35" s="60"/>
      <c r="R35" s="46">
        <v>3.13</v>
      </c>
    </row>
    <row r="36" spans="1:18">
      <c r="A36" s="3" t="s">
        <v>3</v>
      </c>
      <c r="B36" s="5">
        <v>18</v>
      </c>
      <c r="C36" s="5" t="s">
        <v>8</v>
      </c>
      <c r="D36" s="13"/>
      <c r="E36" s="9"/>
      <c r="F36" s="60"/>
      <c r="G36" s="46">
        <v>0.62</v>
      </c>
      <c r="H36" t="b">
        <f t="shared" si="0"/>
        <v>1</v>
      </c>
      <c r="I36" t="b">
        <f t="shared" si="1"/>
        <v>1</v>
      </c>
      <c r="J36" t="b">
        <f t="shared" si="2"/>
        <v>1</v>
      </c>
      <c r="K36">
        <v>3</v>
      </c>
      <c r="L36" s="3" t="s">
        <v>3</v>
      </c>
      <c r="M36" s="5">
        <v>21</v>
      </c>
      <c r="N36" s="5" t="s">
        <v>8</v>
      </c>
      <c r="O36" s="13"/>
      <c r="P36" s="9"/>
      <c r="Q36" s="60"/>
      <c r="R36" s="46">
        <v>0.62</v>
      </c>
    </row>
    <row r="37" spans="1:18">
      <c r="A37" s="3" t="s">
        <v>4</v>
      </c>
      <c r="B37" s="5"/>
      <c r="C37" s="5"/>
      <c r="D37" s="12"/>
      <c r="E37" s="33" t="s">
        <v>23</v>
      </c>
      <c r="F37" s="59"/>
      <c r="G37" s="46">
        <v>4.3</v>
      </c>
      <c r="H37" t="b">
        <f t="shared" si="0"/>
        <v>1</v>
      </c>
      <c r="I37" t="b">
        <f t="shared" si="1"/>
        <v>1</v>
      </c>
      <c r="J37" t="b">
        <f t="shared" si="2"/>
        <v>1</v>
      </c>
      <c r="K37">
        <v>2</v>
      </c>
      <c r="L37" s="3" t="s">
        <v>4</v>
      </c>
      <c r="M37" s="5"/>
      <c r="N37" s="3"/>
      <c r="O37" s="12"/>
      <c r="P37" s="33" t="s">
        <v>23</v>
      </c>
      <c r="Q37" s="59"/>
      <c r="R37" s="46">
        <v>4.3</v>
      </c>
    </row>
    <row r="38" spans="1:18">
      <c r="A38" s="3" t="s">
        <v>3</v>
      </c>
      <c r="B38" s="5">
        <v>19</v>
      </c>
      <c r="C38" s="65" t="s">
        <v>25</v>
      </c>
      <c r="D38" s="13"/>
      <c r="E38" s="9"/>
      <c r="F38" s="60"/>
      <c r="G38" s="46">
        <v>0.62</v>
      </c>
      <c r="H38" t="b">
        <f t="shared" si="0"/>
        <v>1</v>
      </c>
      <c r="I38" t="b">
        <f t="shared" si="1"/>
        <v>1</v>
      </c>
      <c r="J38" t="b">
        <f t="shared" si="2"/>
        <v>1</v>
      </c>
      <c r="K38">
        <v>1</v>
      </c>
      <c r="L38" s="3" t="s">
        <v>3</v>
      </c>
      <c r="M38" s="5">
        <v>20</v>
      </c>
      <c r="N38" s="65" t="s">
        <v>24</v>
      </c>
      <c r="O38" s="93"/>
      <c r="P38" s="94"/>
      <c r="Q38" s="95"/>
      <c r="R38" s="46">
        <v>0.62</v>
      </c>
    </row>
    <row r="39" spans="1:18">
      <c r="A39" s="81" t="s">
        <v>5</v>
      </c>
      <c r="B39" s="5"/>
      <c r="C39" s="3"/>
      <c r="D39" s="13"/>
      <c r="E39" s="31" t="s">
        <v>23</v>
      </c>
      <c r="F39" s="60"/>
      <c r="G39" s="46">
        <v>30.96</v>
      </c>
      <c r="H39" t="b">
        <f>A39=L39</f>
        <v>0</v>
      </c>
      <c r="I39" t="b">
        <f>E39=P39</f>
        <v>0</v>
      </c>
      <c r="J39" t="b">
        <f>G39=R39</f>
        <v>0</v>
      </c>
    </row>
  </sheetData>
  <sortState ref="K1:R77">
    <sortCondition descending="1" ref="K1:K77"/>
  </sortState>
  <phoneticPr fontId="1" type="noConversion"/>
  <conditionalFormatting sqref="H1:J57">
    <cfRule type="containsText" dxfId="18" priority="37" operator="containsText" text="t">
      <formula>NOT(ISERROR(SEARCH("t",H1)))</formula>
    </cfRule>
  </conditionalFormatting>
  <conditionalFormatting sqref="Q37">
    <cfRule type="containsText" dxfId="17" priority="4" operator="containsText" text="tiger">
      <formula>NOT(ISERROR(SEARCH("tiger",Q37)))</formula>
    </cfRule>
  </conditionalFormatting>
  <conditionalFormatting sqref="D1:F2">
    <cfRule type="containsText" dxfId="16" priority="18" operator="containsText" text="tiger">
      <formula>NOT(ISERROR(SEARCH("tiger",D1)))</formula>
    </cfRule>
  </conditionalFormatting>
  <conditionalFormatting sqref="O38:Q38">
    <cfRule type="containsText" dxfId="15" priority="16" operator="containsText" text="tiger">
      <formula>NOT(ISERROR(SEARCH("tiger",O38)))</formula>
    </cfRule>
  </conditionalFormatting>
  <conditionalFormatting sqref="O35:Q35">
    <cfRule type="containsText" dxfId="14" priority="17" operator="containsText" text="tiger">
      <formula>NOT(ISERROR(SEARCH("tiger",O35)))</formula>
    </cfRule>
  </conditionalFormatting>
  <conditionalFormatting sqref="O38:Q38">
    <cfRule type="containsText" dxfId="13" priority="15" operator="containsText" text="tiger">
      <formula>NOT(ISERROR(SEARCH("tiger",O38)))</formula>
    </cfRule>
  </conditionalFormatting>
  <conditionalFormatting sqref="O38:Q38">
    <cfRule type="containsText" dxfId="12" priority="14" operator="containsText" text="tiger">
      <formula>NOT(ISERROR(SEARCH("tiger",O38)))</formula>
    </cfRule>
  </conditionalFormatting>
  <conditionalFormatting sqref="O38:Q38">
    <cfRule type="containsText" dxfId="11" priority="13" operator="containsText" text="tiger">
      <formula>NOT(ISERROR(SEARCH("tiger",O38)))</formula>
    </cfRule>
  </conditionalFormatting>
  <conditionalFormatting sqref="P37">
    <cfRule type="containsText" dxfId="10" priority="12" operator="containsText" text="tiger">
      <formula>NOT(ISERROR(SEARCH("tiger",P37)))</formula>
    </cfRule>
  </conditionalFormatting>
  <conditionalFormatting sqref="O37">
    <cfRule type="containsText" dxfId="9" priority="10" operator="containsText" text="tiger">
      <formula>NOT(ISERROR(SEARCH("tiger",O37)))</formula>
    </cfRule>
  </conditionalFormatting>
  <conditionalFormatting sqref="O37">
    <cfRule type="containsText" dxfId="8" priority="11" operator="containsText" text="tiger">
      <formula>NOT(ISERROR(SEARCH("tiger",O37)))</formula>
    </cfRule>
  </conditionalFormatting>
  <conditionalFormatting sqref="O37">
    <cfRule type="containsText" dxfId="7" priority="9" operator="containsText" text="tiger">
      <formula>NOT(ISERROR(SEARCH("tiger",O37)))</formula>
    </cfRule>
  </conditionalFormatting>
  <conditionalFormatting sqref="O37">
    <cfRule type="containsText" dxfId="6" priority="8" operator="containsText" text="tiger">
      <formula>NOT(ISERROR(SEARCH("tiger",O37)))</formula>
    </cfRule>
  </conditionalFormatting>
  <conditionalFormatting sqref="Q37">
    <cfRule type="containsText" dxfId="5" priority="6" operator="containsText" text="tiger">
      <formula>NOT(ISERROR(SEARCH("tiger",Q37)))</formula>
    </cfRule>
  </conditionalFormatting>
  <conditionalFormatting sqref="Q37">
    <cfRule type="containsText" dxfId="4" priority="7" operator="containsText" text="tiger">
      <formula>NOT(ISERROR(SEARCH("tiger",Q37)))</formula>
    </cfRule>
  </conditionalFormatting>
  <conditionalFormatting sqref="Q37">
    <cfRule type="containsText" dxfId="3" priority="5" operator="containsText" text="tiger">
      <formula>NOT(ISERROR(SEARCH("tiger",Q37)))</formula>
    </cfRule>
  </conditionalFormatting>
  <conditionalFormatting sqref="O31:Q31">
    <cfRule type="containsText" dxfId="2" priority="3" operator="containsText" text="tiger">
      <formula>NOT(ISERROR(SEARCH("tiger",O31)))</formula>
    </cfRule>
  </conditionalFormatting>
  <conditionalFormatting sqref="O27:Q27">
    <cfRule type="containsText" dxfId="1" priority="2" operator="containsText" text="tiger">
      <formula>NOT(ISERROR(SEARCH("tiger",O27)))</formula>
    </cfRule>
  </conditionalFormatting>
  <conditionalFormatting sqref="O23:Q23">
    <cfRule type="containsText" dxfId="0" priority="1" operator="containsText" text="tiger">
      <formula>NOT(ISERROR(SEARCH("tiger",O23)))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34L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Alger</dc:creator>
  <cp:lastModifiedBy>ksmtadmin</cp:lastModifiedBy>
  <cp:lastPrinted>2009-10-30T10:33:05Z</cp:lastPrinted>
  <dcterms:created xsi:type="dcterms:W3CDTF">1997-01-14T01:50:29Z</dcterms:created>
  <dcterms:modified xsi:type="dcterms:W3CDTF">2026-08-06T09:10:18Z</dcterms:modified>
</cp:coreProperties>
</file>