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980HX-8880F5-KBG-A10\"/>
    </mc:Choice>
  </mc:AlternateContent>
  <xr:revisionPtr revIDLastSave="0" documentId="13_ncr:1_{0CC7E88A-A151-4CDA-B3CD-9D604959ACE2}" xr6:coauthVersionLast="47" xr6:coauthVersionMax="47" xr10:uidLastSave="{00000000-0000-0000-0000-000000000000}"/>
  <bookViews>
    <workbookView xWindow="-28920" yWindow="615" windowWidth="29040" windowHeight="15720" tabRatio="614" activeTab="3" xr2:uid="{00000000-000D-0000-FFFF-FFFF00000000}"/>
  </bookViews>
  <sheets>
    <sheet name="eDP_RX" sheetId="11" r:id="rId1"/>
    <sheet name="iSP_TX" sheetId="27" r:id="rId2"/>
    <sheet name="ELV_RX" sheetId="28" r:id="rId3"/>
    <sheet name="OLV_RX" sheetId="29" r:id="rId4"/>
    <sheet name="AUX" sheetId="30" r:id="rId5"/>
    <sheet name="Flash" sheetId="32" r:id="rId6"/>
    <sheet name="Scan" sheetId="31" r:id="rId7"/>
    <sheet name="CH assign" sheetId="16" r:id="rId8"/>
    <sheet name="Etch_Length_From_Layout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7" l="1"/>
  <c r="H82" i="31"/>
  <c r="I82" i="31" s="1"/>
  <c r="F82" i="31"/>
  <c r="H81" i="31"/>
  <c r="I81" i="31" s="1"/>
  <c r="F81" i="31"/>
  <c r="H80" i="31"/>
  <c r="I80" i="31" s="1"/>
  <c r="F80" i="31"/>
  <c r="H79" i="31"/>
  <c r="I79" i="31" s="1"/>
  <c r="F79" i="31"/>
  <c r="H78" i="31"/>
  <c r="I78" i="31" s="1"/>
  <c r="J78" i="31" s="1"/>
  <c r="H77" i="31"/>
  <c r="I77" i="31" s="1"/>
  <c r="J77" i="31" s="1"/>
  <c r="H76" i="31"/>
  <c r="I76" i="31" s="1"/>
  <c r="J76" i="31" s="1"/>
  <c r="H75" i="31"/>
  <c r="I75" i="31" s="1"/>
  <c r="J75" i="31" s="1"/>
  <c r="H74" i="31"/>
  <c r="I74" i="31" s="1"/>
  <c r="J74" i="31" s="1"/>
  <c r="H73" i="31"/>
  <c r="I73" i="31" s="1"/>
  <c r="J73" i="31" s="1"/>
  <c r="H72" i="31"/>
  <c r="I72" i="31" s="1"/>
  <c r="J72" i="31" s="1"/>
  <c r="H71" i="31"/>
  <c r="I71" i="31" s="1"/>
  <c r="J71" i="31" s="1"/>
  <c r="H70" i="31"/>
  <c r="I70" i="31" s="1"/>
  <c r="J70" i="31" s="1"/>
  <c r="H69" i="31"/>
  <c r="I69" i="31" s="1"/>
  <c r="J69" i="31" s="1"/>
  <c r="H68" i="31"/>
  <c r="I68" i="31" s="1"/>
  <c r="J68" i="31" s="1"/>
  <c r="H67" i="31"/>
  <c r="I67" i="31" s="1"/>
  <c r="J67" i="31" s="1"/>
  <c r="H66" i="31"/>
  <c r="I66" i="31" s="1"/>
  <c r="J66" i="31" s="1"/>
  <c r="H65" i="31"/>
  <c r="I65" i="31" s="1"/>
  <c r="J65" i="31" s="1"/>
  <c r="H64" i="31"/>
  <c r="I64" i="31" s="1"/>
  <c r="J64" i="31" s="1"/>
  <c r="H63" i="31"/>
  <c r="I63" i="31" s="1"/>
  <c r="J63" i="31" s="1"/>
  <c r="H62" i="31"/>
  <c r="I62" i="31" s="1"/>
  <c r="F62" i="31"/>
  <c r="H61" i="31"/>
  <c r="I61" i="31" s="1"/>
  <c r="F61" i="31"/>
  <c r="H60" i="31"/>
  <c r="I60" i="31" s="1"/>
  <c r="F60" i="31"/>
  <c r="H59" i="31"/>
  <c r="I59" i="31" s="1"/>
  <c r="F59" i="31"/>
  <c r="H58" i="31"/>
  <c r="I58" i="31" s="1"/>
  <c r="J58" i="31" s="1"/>
  <c r="H57" i="31"/>
  <c r="I57" i="31" s="1"/>
  <c r="J57" i="31" s="1"/>
  <c r="H56" i="31"/>
  <c r="I56" i="31" s="1"/>
  <c r="J56" i="31" s="1"/>
  <c r="H55" i="31"/>
  <c r="I55" i="31" s="1"/>
  <c r="J55" i="31" s="1"/>
  <c r="H54" i="31"/>
  <c r="I54" i="31" s="1"/>
  <c r="J54" i="31" s="1"/>
  <c r="H53" i="31"/>
  <c r="I53" i="31" s="1"/>
  <c r="J53" i="31" s="1"/>
  <c r="H52" i="31"/>
  <c r="I52" i="31" s="1"/>
  <c r="J52" i="31" s="1"/>
  <c r="H51" i="31"/>
  <c r="I51" i="31" s="1"/>
  <c r="J51" i="31" s="1"/>
  <c r="H50" i="31"/>
  <c r="I50" i="31" s="1"/>
  <c r="J50" i="31" s="1"/>
  <c r="H49" i="31"/>
  <c r="I49" i="31" s="1"/>
  <c r="J49" i="31" s="1"/>
  <c r="H48" i="31"/>
  <c r="I48" i="31" s="1"/>
  <c r="J48" i="31" s="1"/>
  <c r="H47" i="31"/>
  <c r="I47" i="31" s="1"/>
  <c r="J47" i="31" s="1"/>
  <c r="H46" i="31"/>
  <c r="I46" i="31" s="1"/>
  <c r="J46" i="31" s="1"/>
  <c r="H45" i="31"/>
  <c r="I45" i="31" s="1"/>
  <c r="J45" i="31" s="1"/>
  <c r="H44" i="31"/>
  <c r="I44" i="31" s="1"/>
  <c r="J44" i="31" s="1"/>
  <c r="H43" i="31"/>
  <c r="I43" i="31" s="1"/>
  <c r="J43" i="31" s="1"/>
  <c r="L41" i="32"/>
  <c r="J41" i="32"/>
  <c r="H41" i="32"/>
  <c r="F41" i="32"/>
  <c r="L40" i="32"/>
  <c r="J40" i="32"/>
  <c r="H40" i="32"/>
  <c r="F40" i="32"/>
  <c r="L39" i="32"/>
  <c r="H39" i="32"/>
  <c r="F39" i="32"/>
  <c r="L38" i="32"/>
  <c r="H38" i="32"/>
  <c r="F38" i="32"/>
  <c r="L37" i="32"/>
  <c r="J37" i="32"/>
  <c r="H37" i="32"/>
  <c r="F37" i="32"/>
  <c r="L36" i="32"/>
  <c r="J36" i="32"/>
  <c r="H36" i="32"/>
  <c r="F36" i="32"/>
  <c r="L35" i="32"/>
  <c r="H35" i="32"/>
  <c r="F35" i="32"/>
  <c r="L34" i="32"/>
  <c r="H34" i="32"/>
  <c r="F34" i="32"/>
  <c r="L18" i="32"/>
  <c r="J18" i="32"/>
  <c r="H18" i="32"/>
  <c r="F18" i="32"/>
  <c r="L17" i="32"/>
  <c r="J17" i="32"/>
  <c r="H17" i="32"/>
  <c r="F17" i="32"/>
  <c r="L16" i="32"/>
  <c r="H16" i="32"/>
  <c r="F16" i="32"/>
  <c r="L15" i="32"/>
  <c r="H15" i="32"/>
  <c r="F15" i="32"/>
  <c r="L14" i="32"/>
  <c r="J14" i="32"/>
  <c r="H14" i="32"/>
  <c r="F14" i="32"/>
  <c r="L13" i="32"/>
  <c r="J13" i="32"/>
  <c r="H13" i="32"/>
  <c r="F13" i="32"/>
  <c r="L12" i="32"/>
  <c r="H12" i="32"/>
  <c r="F12" i="32"/>
  <c r="L11" i="32"/>
  <c r="H11" i="32"/>
  <c r="F11" i="32"/>
  <c r="J25" i="30"/>
  <c r="H25" i="30"/>
  <c r="J24" i="30"/>
  <c r="H24" i="30"/>
  <c r="J23" i="30"/>
  <c r="H23" i="30"/>
  <c r="J22" i="30"/>
  <c r="H22" i="30"/>
  <c r="J21" i="30"/>
  <c r="H21" i="30"/>
  <c r="J20" i="30"/>
  <c r="H20" i="30"/>
  <c r="L25" i="30"/>
  <c r="M25" i="30" s="1"/>
  <c r="F25" i="30"/>
  <c r="L24" i="30"/>
  <c r="M24" i="30" s="1"/>
  <c r="F24" i="30"/>
  <c r="L23" i="30"/>
  <c r="M23" i="30" s="1"/>
  <c r="F23" i="30"/>
  <c r="L22" i="30"/>
  <c r="M22" i="30" s="1"/>
  <c r="F22" i="30"/>
  <c r="H3" i="30"/>
  <c r="I3" i="30" s="1"/>
  <c r="F10" i="30"/>
  <c r="F9" i="30"/>
  <c r="F8" i="30"/>
  <c r="F7" i="30"/>
  <c r="F6" i="30"/>
  <c r="F5" i="30"/>
  <c r="H10" i="30"/>
  <c r="I10" i="30" s="1"/>
  <c r="H9" i="30"/>
  <c r="I9" i="30" s="1"/>
  <c r="H8" i="30"/>
  <c r="I8" i="30" s="1"/>
  <c r="H7" i="30"/>
  <c r="I7" i="30" s="1"/>
  <c r="F50" i="29"/>
  <c r="G50" i="29" s="1"/>
  <c r="H50" i="29" s="1"/>
  <c r="F49" i="29"/>
  <c r="G49" i="29" s="1"/>
  <c r="H49" i="29" s="1"/>
  <c r="F48" i="29"/>
  <c r="G48" i="29" s="1"/>
  <c r="H48" i="29" s="1"/>
  <c r="F47" i="29"/>
  <c r="G47" i="29" s="1"/>
  <c r="H47" i="29" s="1"/>
  <c r="F46" i="29"/>
  <c r="G46" i="29" s="1"/>
  <c r="H46" i="29" s="1"/>
  <c r="F45" i="29"/>
  <c r="G45" i="29" s="1"/>
  <c r="H45" i="29" s="1"/>
  <c r="F44" i="29"/>
  <c r="G44" i="29" s="1"/>
  <c r="H44" i="29" s="1"/>
  <c r="F43" i="29"/>
  <c r="G43" i="29" s="1"/>
  <c r="H43" i="29" s="1"/>
  <c r="F42" i="29"/>
  <c r="G42" i="29" s="1"/>
  <c r="H42" i="29" s="1"/>
  <c r="F41" i="29"/>
  <c r="G41" i="29" s="1"/>
  <c r="H41" i="29" s="1"/>
  <c r="F40" i="29"/>
  <c r="G40" i="29" s="1"/>
  <c r="H40" i="29" s="1"/>
  <c r="F39" i="29"/>
  <c r="G39" i="29" s="1"/>
  <c r="H39" i="29" s="1"/>
  <c r="F38" i="29"/>
  <c r="G38" i="29" s="1"/>
  <c r="H38" i="29" s="1"/>
  <c r="F37" i="29"/>
  <c r="G37" i="29" s="1"/>
  <c r="H37" i="29" s="1"/>
  <c r="F36" i="29"/>
  <c r="G36" i="29" s="1"/>
  <c r="H36" i="29" s="1"/>
  <c r="F35" i="29"/>
  <c r="G35" i="29" s="1"/>
  <c r="H35" i="29" s="1"/>
  <c r="F34" i="29"/>
  <c r="G34" i="29" s="1"/>
  <c r="H34" i="29" s="1"/>
  <c r="F33" i="29"/>
  <c r="G33" i="29" s="1"/>
  <c r="H33" i="29" s="1"/>
  <c r="F32" i="29"/>
  <c r="G32" i="29" s="1"/>
  <c r="H32" i="29" s="1"/>
  <c r="F31" i="29"/>
  <c r="G31" i="29" s="1"/>
  <c r="H31" i="29" s="1"/>
  <c r="F30" i="29"/>
  <c r="G30" i="29" s="1"/>
  <c r="H30" i="29" s="1"/>
  <c r="F29" i="29"/>
  <c r="G29" i="29" s="1"/>
  <c r="H29" i="29" s="1"/>
  <c r="F28" i="29"/>
  <c r="G28" i="29" s="1"/>
  <c r="H28" i="29" s="1"/>
  <c r="F27" i="29"/>
  <c r="G27" i="29" s="1"/>
  <c r="H27" i="29" s="1"/>
  <c r="I49" i="29" l="1"/>
  <c r="I33" i="29"/>
  <c r="M13" i="32"/>
  <c r="M41" i="32"/>
  <c r="M37" i="32"/>
  <c r="J79" i="31"/>
  <c r="M12" i="32"/>
  <c r="M34" i="32"/>
  <c r="M35" i="32"/>
  <c r="M11" i="32"/>
  <c r="M36" i="32"/>
  <c r="J80" i="31"/>
  <c r="J81" i="31"/>
  <c r="J82" i="31"/>
  <c r="J60" i="31"/>
  <c r="J59" i="31"/>
  <c r="J61" i="31"/>
  <c r="J62" i="31"/>
  <c r="M38" i="32"/>
  <c r="M39" i="32"/>
  <c r="M40" i="32"/>
  <c r="M15" i="32"/>
  <c r="M16" i="32"/>
  <c r="M17" i="32"/>
  <c r="M18" i="32"/>
  <c r="M14" i="32"/>
  <c r="N23" i="30"/>
  <c r="N22" i="30"/>
  <c r="N24" i="30"/>
  <c r="N25" i="30"/>
  <c r="J10" i="30"/>
  <c r="J7" i="30"/>
  <c r="J8" i="30"/>
  <c r="J9" i="30"/>
  <c r="I29" i="29"/>
  <c r="I31" i="29"/>
  <c r="I35" i="29"/>
  <c r="I41" i="29"/>
  <c r="I39" i="29"/>
  <c r="I43" i="29"/>
  <c r="I45" i="29"/>
  <c r="I47" i="29"/>
  <c r="I27" i="29"/>
  <c r="I37" i="29"/>
  <c r="F39" i="28"/>
  <c r="G39" i="28" s="1"/>
  <c r="H39" i="28" s="1"/>
  <c r="F3" i="28"/>
  <c r="G3" i="28" s="1"/>
  <c r="H3" i="28" s="1"/>
  <c r="F50" i="28"/>
  <c r="G50" i="28" s="1"/>
  <c r="H50" i="28" s="1"/>
  <c r="F49" i="28"/>
  <c r="G49" i="28" s="1"/>
  <c r="H49" i="28" s="1"/>
  <c r="F48" i="28"/>
  <c r="G48" i="28" s="1"/>
  <c r="H48" i="28" s="1"/>
  <c r="F47" i="28"/>
  <c r="G47" i="28" s="1"/>
  <c r="H47" i="28" s="1"/>
  <c r="F46" i="28"/>
  <c r="G46" i="28" s="1"/>
  <c r="H46" i="28" s="1"/>
  <c r="F45" i="28"/>
  <c r="G45" i="28" s="1"/>
  <c r="H45" i="28" s="1"/>
  <c r="F44" i="28"/>
  <c r="G44" i="28" s="1"/>
  <c r="H44" i="28" s="1"/>
  <c r="F43" i="28"/>
  <c r="G43" i="28" s="1"/>
  <c r="H43" i="28" s="1"/>
  <c r="F42" i="28"/>
  <c r="G42" i="28" s="1"/>
  <c r="H42" i="28" s="1"/>
  <c r="F41" i="28"/>
  <c r="G41" i="28" s="1"/>
  <c r="H41" i="28" s="1"/>
  <c r="F40" i="28"/>
  <c r="G40" i="28" s="1"/>
  <c r="H40" i="28" s="1"/>
  <c r="F38" i="28"/>
  <c r="G38" i="28" s="1"/>
  <c r="H38" i="28" s="1"/>
  <c r="F37" i="28"/>
  <c r="G37" i="28" s="1"/>
  <c r="H37" i="28" s="1"/>
  <c r="F36" i="28"/>
  <c r="G36" i="28" s="1"/>
  <c r="H36" i="28" s="1"/>
  <c r="F35" i="28"/>
  <c r="G35" i="28" s="1"/>
  <c r="H35" i="28" s="1"/>
  <c r="F34" i="28"/>
  <c r="G34" i="28" s="1"/>
  <c r="H34" i="28" s="1"/>
  <c r="F33" i="28"/>
  <c r="G33" i="28" s="1"/>
  <c r="H33" i="28" s="1"/>
  <c r="F32" i="28"/>
  <c r="G32" i="28" s="1"/>
  <c r="H32" i="28" s="1"/>
  <c r="F31" i="28"/>
  <c r="G31" i="28" s="1"/>
  <c r="H31" i="28" s="1"/>
  <c r="F30" i="28"/>
  <c r="G30" i="28" s="1"/>
  <c r="H30" i="28" s="1"/>
  <c r="F29" i="28"/>
  <c r="G29" i="28" s="1"/>
  <c r="H29" i="28" s="1"/>
  <c r="F28" i="28"/>
  <c r="G28" i="28" s="1"/>
  <c r="H28" i="28" s="1"/>
  <c r="F27" i="28"/>
  <c r="G27" i="28" s="1"/>
  <c r="H27" i="28" s="1"/>
  <c r="F226" i="27"/>
  <c r="G226" i="27" s="1"/>
  <c r="K226" i="27" s="1"/>
  <c r="F225" i="27"/>
  <c r="G225" i="27" s="1"/>
  <c r="K225" i="27" s="1"/>
  <c r="F224" i="27"/>
  <c r="G224" i="27" s="1"/>
  <c r="K224" i="27" s="1"/>
  <c r="F223" i="27"/>
  <c r="G223" i="27" s="1"/>
  <c r="K223" i="27" s="1"/>
  <c r="F222" i="27"/>
  <c r="G222" i="27" s="1"/>
  <c r="K222" i="27" s="1"/>
  <c r="F221" i="27"/>
  <c r="G221" i="27" s="1"/>
  <c r="K221" i="27" s="1"/>
  <c r="F220" i="27"/>
  <c r="G220" i="27" s="1"/>
  <c r="K220" i="27" s="1"/>
  <c r="F219" i="27"/>
  <c r="G219" i="27" s="1"/>
  <c r="K219" i="27" s="1"/>
  <c r="F218" i="27"/>
  <c r="G218" i="27" s="1"/>
  <c r="K218" i="27" s="1"/>
  <c r="F217" i="27"/>
  <c r="G217" i="27" s="1"/>
  <c r="K217" i="27" s="1"/>
  <c r="F216" i="27"/>
  <c r="G216" i="27" s="1"/>
  <c r="K216" i="27" s="1"/>
  <c r="F215" i="27"/>
  <c r="G215" i="27" s="1"/>
  <c r="K215" i="27" s="1"/>
  <c r="F214" i="27"/>
  <c r="G214" i="27" s="1"/>
  <c r="K214" i="27" s="1"/>
  <c r="F213" i="27"/>
  <c r="G213" i="27" s="1"/>
  <c r="K213" i="27" s="1"/>
  <c r="F212" i="27"/>
  <c r="G212" i="27" s="1"/>
  <c r="K212" i="27" s="1"/>
  <c r="F211" i="27"/>
  <c r="G211" i="27" s="1"/>
  <c r="K211" i="27" s="1"/>
  <c r="F210" i="27"/>
  <c r="G210" i="27" s="1"/>
  <c r="K210" i="27" s="1"/>
  <c r="F209" i="27"/>
  <c r="G209" i="27" s="1"/>
  <c r="K209" i="27" s="1"/>
  <c r="F208" i="27"/>
  <c r="G208" i="27" s="1"/>
  <c r="K208" i="27" s="1"/>
  <c r="F207" i="27"/>
  <c r="G207" i="27" s="1"/>
  <c r="K207" i="27" s="1"/>
  <c r="F206" i="27"/>
  <c r="G206" i="27" s="1"/>
  <c r="K206" i="27" s="1"/>
  <c r="F205" i="27"/>
  <c r="G205" i="27" s="1"/>
  <c r="K205" i="27" s="1"/>
  <c r="F204" i="27"/>
  <c r="G204" i="27" s="1"/>
  <c r="K204" i="27" s="1"/>
  <c r="F203" i="27"/>
  <c r="G203" i="27" s="1"/>
  <c r="K203" i="27" s="1"/>
  <c r="F202" i="27"/>
  <c r="G202" i="27" s="1"/>
  <c r="K202" i="27" s="1"/>
  <c r="F201" i="27"/>
  <c r="G201" i="27" s="1"/>
  <c r="K201" i="27" s="1"/>
  <c r="I200" i="27"/>
  <c r="J200" i="27" s="1"/>
  <c r="G200" i="27"/>
  <c r="I199" i="27"/>
  <c r="J199" i="27" s="1"/>
  <c r="G199" i="27"/>
  <c r="F198" i="27"/>
  <c r="G198" i="27" s="1"/>
  <c r="K198" i="27" s="1"/>
  <c r="F197" i="27"/>
  <c r="G197" i="27" s="1"/>
  <c r="K197" i="27" s="1"/>
  <c r="F196" i="27"/>
  <c r="G196" i="27" s="1"/>
  <c r="K196" i="27" s="1"/>
  <c r="F195" i="27"/>
  <c r="G195" i="27" s="1"/>
  <c r="K195" i="27" s="1"/>
  <c r="F194" i="27"/>
  <c r="G194" i="27" s="1"/>
  <c r="K194" i="27" s="1"/>
  <c r="F193" i="27"/>
  <c r="G193" i="27" s="1"/>
  <c r="K193" i="27" s="1"/>
  <c r="F192" i="27"/>
  <c r="G192" i="27" s="1"/>
  <c r="K192" i="27" s="1"/>
  <c r="F191" i="27"/>
  <c r="G191" i="27" s="1"/>
  <c r="K191" i="27" s="1"/>
  <c r="F190" i="27"/>
  <c r="G190" i="27" s="1"/>
  <c r="K190" i="27" s="1"/>
  <c r="F189" i="27"/>
  <c r="G189" i="27" s="1"/>
  <c r="K189" i="27" s="1"/>
  <c r="F188" i="27"/>
  <c r="G188" i="27" s="1"/>
  <c r="K188" i="27" s="1"/>
  <c r="F187" i="27"/>
  <c r="G187" i="27" s="1"/>
  <c r="K187" i="27" s="1"/>
  <c r="F186" i="27"/>
  <c r="G186" i="27" s="1"/>
  <c r="K186" i="27" s="1"/>
  <c r="F185" i="27"/>
  <c r="G185" i="27" s="1"/>
  <c r="K185" i="27" s="1"/>
  <c r="F184" i="27"/>
  <c r="G184" i="27" s="1"/>
  <c r="K184" i="27" s="1"/>
  <c r="F183" i="27"/>
  <c r="G183" i="27" s="1"/>
  <c r="K183" i="27" s="1"/>
  <c r="F182" i="27"/>
  <c r="G182" i="27" s="1"/>
  <c r="K182" i="27" s="1"/>
  <c r="F181" i="27"/>
  <c r="G181" i="27" s="1"/>
  <c r="K181" i="27" s="1"/>
  <c r="F180" i="27"/>
  <c r="G180" i="27" s="1"/>
  <c r="K180" i="27" s="1"/>
  <c r="F179" i="27"/>
  <c r="G179" i="27" s="1"/>
  <c r="K179" i="27" s="1"/>
  <c r="F178" i="27"/>
  <c r="G178" i="27" s="1"/>
  <c r="K178" i="27" s="1"/>
  <c r="F177" i="27"/>
  <c r="G177" i="27" s="1"/>
  <c r="K177" i="27" s="1"/>
  <c r="F176" i="27"/>
  <c r="G176" i="27" s="1"/>
  <c r="K176" i="27" s="1"/>
  <c r="F175" i="27"/>
  <c r="G175" i="27" s="1"/>
  <c r="K175" i="27" s="1"/>
  <c r="F174" i="27"/>
  <c r="G174" i="27" s="1"/>
  <c r="K174" i="27" s="1"/>
  <c r="F173" i="27"/>
  <c r="G173" i="27" s="1"/>
  <c r="K173" i="27" s="1"/>
  <c r="I172" i="27"/>
  <c r="J172" i="27" s="1"/>
  <c r="G172" i="27"/>
  <c r="I171" i="27"/>
  <c r="J171" i="27" s="1"/>
  <c r="G171" i="27"/>
  <c r="F170" i="27"/>
  <c r="G170" i="27" s="1"/>
  <c r="K170" i="27" s="1"/>
  <c r="F169" i="27"/>
  <c r="G169" i="27" s="1"/>
  <c r="K169" i="27" s="1"/>
  <c r="F168" i="27"/>
  <c r="G168" i="27" s="1"/>
  <c r="K168" i="27" s="1"/>
  <c r="F167" i="27"/>
  <c r="G167" i="27" s="1"/>
  <c r="K167" i="27" s="1"/>
  <c r="F166" i="27"/>
  <c r="G166" i="27" s="1"/>
  <c r="K166" i="27" s="1"/>
  <c r="F165" i="27"/>
  <c r="G165" i="27" s="1"/>
  <c r="K165" i="27" s="1"/>
  <c r="F164" i="27"/>
  <c r="G164" i="27" s="1"/>
  <c r="K164" i="27" s="1"/>
  <c r="F163" i="27"/>
  <c r="G163" i="27" s="1"/>
  <c r="K163" i="27" s="1"/>
  <c r="F162" i="27"/>
  <c r="G162" i="27" s="1"/>
  <c r="K162" i="27" s="1"/>
  <c r="F161" i="27"/>
  <c r="G161" i="27" s="1"/>
  <c r="K161" i="27" s="1"/>
  <c r="F160" i="27"/>
  <c r="G160" i="27" s="1"/>
  <c r="K160" i="27" s="1"/>
  <c r="F159" i="27"/>
  <c r="G159" i="27" s="1"/>
  <c r="K159" i="27" s="1"/>
  <c r="F158" i="27"/>
  <c r="G158" i="27" s="1"/>
  <c r="K158" i="27" s="1"/>
  <c r="F157" i="27"/>
  <c r="G157" i="27" s="1"/>
  <c r="K157" i="27" s="1"/>
  <c r="F156" i="27"/>
  <c r="G156" i="27" s="1"/>
  <c r="K156" i="27" s="1"/>
  <c r="F155" i="27"/>
  <c r="G155" i="27" s="1"/>
  <c r="K155" i="27" s="1"/>
  <c r="F154" i="27"/>
  <c r="G154" i="27" s="1"/>
  <c r="K154" i="27" s="1"/>
  <c r="F153" i="27"/>
  <c r="G153" i="27" s="1"/>
  <c r="K153" i="27" s="1"/>
  <c r="F152" i="27"/>
  <c r="G152" i="27" s="1"/>
  <c r="K152" i="27" s="1"/>
  <c r="F151" i="27"/>
  <c r="G151" i="27" s="1"/>
  <c r="K151" i="27" s="1"/>
  <c r="F150" i="27"/>
  <c r="G150" i="27" s="1"/>
  <c r="K150" i="27" s="1"/>
  <c r="F149" i="27"/>
  <c r="G149" i="27" s="1"/>
  <c r="K149" i="27" s="1"/>
  <c r="F148" i="27"/>
  <c r="G148" i="27" s="1"/>
  <c r="K148" i="27" s="1"/>
  <c r="F147" i="27"/>
  <c r="G147" i="27" s="1"/>
  <c r="K147" i="27" s="1"/>
  <c r="F146" i="27"/>
  <c r="G146" i="27" s="1"/>
  <c r="K146" i="27" s="1"/>
  <c r="F145" i="27"/>
  <c r="G145" i="27" s="1"/>
  <c r="K145" i="27" s="1"/>
  <c r="I144" i="27"/>
  <c r="J144" i="27" s="1"/>
  <c r="G144" i="27"/>
  <c r="I143" i="27"/>
  <c r="J143" i="27" s="1"/>
  <c r="G143" i="27"/>
  <c r="F142" i="27"/>
  <c r="G142" i="27" s="1"/>
  <c r="K142" i="27" s="1"/>
  <c r="F141" i="27"/>
  <c r="G141" i="27" s="1"/>
  <c r="K141" i="27" s="1"/>
  <c r="F140" i="27"/>
  <c r="G140" i="27" s="1"/>
  <c r="K140" i="27" s="1"/>
  <c r="F139" i="27"/>
  <c r="G139" i="27" s="1"/>
  <c r="K139" i="27" s="1"/>
  <c r="F138" i="27"/>
  <c r="G138" i="27" s="1"/>
  <c r="K138" i="27" s="1"/>
  <c r="F137" i="27"/>
  <c r="G137" i="27" s="1"/>
  <c r="K137" i="27" s="1"/>
  <c r="F136" i="27"/>
  <c r="G136" i="27" s="1"/>
  <c r="K136" i="27" s="1"/>
  <c r="F135" i="27"/>
  <c r="G135" i="27" s="1"/>
  <c r="K135" i="27" s="1"/>
  <c r="F134" i="27"/>
  <c r="G134" i="27" s="1"/>
  <c r="K134" i="27" s="1"/>
  <c r="F133" i="27"/>
  <c r="G133" i="27" s="1"/>
  <c r="K133" i="27" s="1"/>
  <c r="F132" i="27"/>
  <c r="G132" i="27" s="1"/>
  <c r="K132" i="27" s="1"/>
  <c r="F131" i="27"/>
  <c r="G131" i="27" s="1"/>
  <c r="K131" i="27" s="1"/>
  <c r="F130" i="27"/>
  <c r="G130" i="27" s="1"/>
  <c r="K130" i="27" s="1"/>
  <c r="F129" i="27"/>
  <c r="G129" i="27" s="1"/>
  <c r="K129" i="27" s="1"/>
  <c r="F128" i="27"/>
  <c r="G128" i="27" s="1"/>
  <c r="K128" i="27" s="1"/>
  <c r="F127" i="27"/>
  <c r="G127" i="27" s="1"/>
  <c r="K127" i="27" s="1"/>
  <c r="F126" i="27"/>
  <c r="G126" i="27" s="1"/>
  <c r="K126" i="27" s="1"/>
  <c r="F125" i="27"/>
  <c r="G125" i="27" s="1"/>
  <c r="K125" i="27" s="1"/>
  <c r="F124" i="27"/>
  <c r="G124" i="27" s="1"/>
  <c r="K124" i="27" s="1"/>
  <c r="F123" i="27"/>
  <c r="G123" i="27" s="1"/>
  <c r="K123" i="27" s="1"/>
  <c r="F122" i="27"/>
  <c r="G122" i="27" s="1"/>
  <c r="K122" i="27" s="1"/>
  <c r="F121" i="27"/>
  <c r="G121" i="27" s="1"/>
  <c r="K121" i="27" s="1"/>
  <c r="F120" i="27"/>
  <c r="G120" i="27" s="1"/>
  <c r="K120" i="27" s="1"/>
  <c r="F119" i="27"/>
  <c r="G119" i="27" s="1"/>
  <c r="K119" i="27" s="1"/>
  <c r="F118" i="27"/>
  <c r="G118" i="27" s="1"/>
  <c r="K118" i="27" s="1"/>
  <c r="F117" i="27"/>
  <c r="G117" i="27" s="1"/>
  <c r="K117" i="27" s="1"/>
  <c r="I116" i="27"/>
  <c r="J116" i="27" s="1"/>
  <c r="G116" i="27"/>
  <c r="I115" i="27"/>
  <c r="J115" i="27" s="1"/>
  <c r="G115" i="27"/>
  <c r="F114" i="27"/>
  <c r="G114" i="27" s="1"/>
  <c r="K114" i="27" s="1"/>
  <c r="F113" i="27"/>
  <c r="G113" i="27" s="1"/>
  <c r="K113" i="27" s="1"/>
  <c r="F112" i="27"/>
  <c r="G112" i="27" s="1"/>
  <c r="K112" i="27" s="1"/>
  <c r="F111" i="27"/>
  <c r="G111" i="27" s="1"/>
  <c r="K111" i="27" s="1"/>
  <c r="F110" i="27"/>
  <c r="G110" i="27" s="1"/>
  <c r="K110" i="27" s="1"/>
  <c r="F109" i="27"/>
  <c r="G109" i="27" s="1"/>
  <c r="K109" i="27" s="1"/>
  <c r="F108" i="27"/>
  <c r="G108" i="27" s="1"/>
  <c r="K108" i="27" s="1"/>
  <c r="F107" i="27"/>
  <c r="G107" i="27" s="1"/>
  <c r="K107" i="27" s="1"/>
  <c r="F106" i="27"/>
  <c r="G106" i="27" s="1"/>
  <c r="K106" i="27" s="1"/>
  <c r="F105" i="27"/>
  <c r="G105" i="27" s="1"/>
  <c r="K105" i="27" s="1"/>
  <c r="F104" i="27"/>
  <c r="G104" i="27" s="1"/>
  <c r="K104" i="27" s="1"/>
  <c r="F103" i="27"/>
  <c r="G103" i="27" s="1"/>
  <c r="K103" i="27" s="1"/>
  <c r="F102" i="27"/>
  <c r="G102" i="27" s="1"/>
  <c r="K102" i="27" s="1"/>
  <c r="F101" i="27"/>
  <c r="G101" i="27" s="1"/>
  <c r="K101" i="27" s="1"/>
  <c r="F100" i="27"/>
  <c r="G100" i="27" s="1"/>
  <c r="K100" i="27" s="1"/>
  <c r="F99" i="27"/>
  <c r="G99" i="27" s="1"/>
  <c r="K99" i="27" s="1"/>
  <c r="F98" i="27"/>
  <c r="G98" i="27" s="1"/>
  <c r="K98" i="27" s="1"/>
  <c r="F97" i="27"/>
  <c r="G97" i="27" s="1"/>
  <c r="K97" i="27" s="1"/>
  <c r="F96" i="27"/>
  <c r="G96" i="27" s="1"/>
  <c r="K96" i="27" s="1"/>
  <c r="F95" i="27"/>
  <c r="G95" i="27" s="1"/>
  <c r="K95" i="27" s="1"/>
  <c r="F94" i="27"/>
  <c r="G94" i="27" s="1"/>
  <c r="K94" i="27" s="1"/>
  <c r="F93" i="27"/>
  <c r="G93" i="27" s="1"/>
  <c r="K93" i="27" s="1"/>
  <c r="F92" i="27"/>
  <c r="G92" i="27" s="1"/>
  <c r="K92" i="27" s="1"/>
  <c r="F91" i="27"/>
  <c r="G91" i="27" s="1"/>
  <c r="K91" i="27" s="1"/>
  <c r="F90" i="27"/>
  <c r="G90" i="27" s="1"/>
  <c r="K90" i="27" s="1"/>
  <c r="F89" i="27"/>
  <c r="G89" i="27" s="1"/>
  <c r="K89" i="27" s="1"/>
  <c r="I88" i="27"/>
  <c r="J88" i="27" s="1"/>
  <c r="G88" i="27"/>
  <c r="I87" i="27"/>
  <c r="J87" i="27" s="1"/>
  <c r="G87" i="27"/>
  <c r="F86" i="27"/>
  <c r="G86" i="27" s="1"/>
  <c r="K86" i="27" s="1"/>
  <c r="F85" i="27"/>
  <c r="G85" i="27" s="1"/>
  <c r="K85" i="27" s="1"/>
  <c r="F84" i="27"/>
  <c r="G84" i="27" s="1"/>
  <c r="K84" i="27" s="1"/>
  <c r="F83" i="27"/>
  <c r="G83" i="27" s="1"/>
  <c r="K83" i="27" s="1"/>
  <c r="F82" i="27"/>
  <c r="G82" i="27" s="1"/>
  <c r="K82" i="27" s="1"/>
  <c r="F81" i="27"/>
  <c r="G81" i="27" s="1"/>
  <c r="K81" i="27" s="1"/>
  <c r="F80" i="27"/>
  <c r="G80" i="27" s="1"/>
  <c r="K80" i="27" s="1"/>
  <c r="F79" i="27"/>
  <c r="G79" i="27" s="1"/>
  <c r="K79" i="27" s="1"/>
  <c r="F78" i="27"/>
  <c r="G78" i="27" s="1"/>
  <c r="K78" i="27" s="1"/>
  <c r="F77" i="27"/>
  <c r="G77" i="27" s="1"/>
  <c r="K77" i="27" s="1"/>
  <c r="F76" i="27"/>
  <c r="G76" i="27" s="1"/>
  <c r="K76" i="27" s="1"/>
  <c r="F75" i="27"/>
  <c r="G75" i="27" s="1"/>
  <c r="K75" i="27" s="1"/>
  <c r="F74" i="27"/>
  <c r="G74" i="27" s="1"/>
  <c r="K74" i="27" s="1"/>
  <c r="F73" i="27"/>
  <c r="G73" i="27" s="1"/>
  <c r="K73" i="27" s="1"/>
  <c r="F72" i="27"/>
  <c r="G72" i="27" s="1"/>
  <c r="K72" i="27" s="1"/>
  <c r="F71" i="27"/>
  <c r="G71" i="27" s="1"/>
  <c r="K71" i="27" s="1"/>
  <c r="F70" i="27"/>
  <c r="G70" i="27" s="1"/>
  <c r="K70" i="27" s="1"/>
  <c r="F69" i="27"/>
  <c r="G69" i="27" s="1"/>
  <c r="K69" i="27" s="1"/>
  <c r="F68" i="27"/>
  <c r="G68" i="27" s="1"/>
  <c r="K68" i="27" s="1"/>
  <c r="F67" i="27"/>
  <c r="G67" i="27" s="1"/>
  <c r="K67" i="27" s="1"/>
  <c r="F66" i="27"/>
  <c r="G66" i="27" s="1"/>
  <c r="K66" i="27" s="1"/>
  <c r="F65" i="27"/>
  <c r="G65" i="27" s="1"/>
  <c r="K65" i="27" s="1"/>
  <c r="F64" i="27"/>
  <c r="G64" i="27" s="1"/>
  <c r="K64" i="27" s="1"/>
  <c r="F63" i="27"/>
  <c r="G63" i="27" s="1"/>
  <c r="K63" i="27" s="1"/>
  <c r="F62" i="27"/>
  <c r="G62" i="27" s="1"/>
  <c r="K62" i="27" s="1"/>
  <c r="F61" i="27"/>
  <c r="G61" i="27" s="1"/>
  <c r="K61" i="27" s="1"/>
  <c r="I60" i="27"/>
  <c r="J60" i="27" s="1"/>
  <c r="G60" i="27"/>
  <c r="I59" i="27"/>
  <c r="J59" i="27" s="1"/>
  <c r="G59" i="27"/>
  <c r="I32" i="27"/>
  <c r="J32" i="27" s="1"/>
  <c r="I31" i="27"/>
  <c r="J31" i="27" s="1"/>
  <c r="J3" i="27"/>
  <c r="I4" i="27"/>
  <c r="J4" i="27" s="1"/>
  <c r="F5" i="27"/>
  <c r="G31" i="27"/>
  <c r="G32" i="27"/>
  <c r="G4" i="27"/>
  <c r="G3" i="27"/>
  <c r="F3" i="11"/>
  <c r="F34" i="11"/>
  <c r="G34" i="11" s="1"/>
  <c r="H34" i="11" s="1"/>
  <c r="F33" i="11"/>
  <c r="G33" i="11" s="1"/>
  <c r="H33" i="11" s="1"/>
  <c r="F32" i="11"/>
  <c r="G32" i="11" s="1"/>
  <c r="H32" i="11" s="1"/>
  <c r="F31" i="11"/>
  <c r="G31" i="11" s="1"/>
  <c r="H31" i="11" s="1"/>
  <c r="F30" i="11"/>
  <c r="G30" i="11" s="1"/>
  <c r="H30" i="11" s="1"/>
  <c r="F29" i="11"/>
  <c r="G29" i="11" s="1"/>
  <c r="H29" i="11" s="1"/>
  <c r="F28" i="11"/>
  <c r="G28" i="11" s="1"/>
  <c r="H28" i="11" s="1"/>
  <c r="F27" i="11"/>
  <c r="G27" i="11" s="1"/>
  <c r="H27" i="11" s="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K59" i="27" l="1"/>
  <c r="I41" i="28"/>
  <c r="L121" i="27"/>
  <c r="K143" i="27"/>
  <c r="L137" i="27"/>
  <c r="K200" i="27"/>
  <c r="I37" i="28"/>
  <c r="K9" i="30"/>
  <c r="L223" i="27"/>
  <c r="I45" i="28"/>
  <c r="L191" i="27"/>
  <c r="K4" i="27"/>
  <c r="I31" i="28"/>
  <c r="L181" i="27"/>
  <c r="L129" i="27"/>
  <c r="K171" i="27"/>
  <c r="I33" i="11"/>
  <c r="I29" i="11"/>
  <c r="L153" i="27"/>
  <c r="I33" i="28"/>
  <c r="L117" i="27"/>
  <c r="L225" i="27"/>
  <c r="L185" i="27"/>
  <c r="L159" i="27"/>
  <c r="L91" i="27"/>
  <c r="L187" i="27"/>
  <c r="I39" i="28"/>
  <c r="K3" i="27"/>
  <c r="K32" i="27"/>
  <c r="I49" i="28"/>
  <c r="O22" i="30"/>
  <c r="O24" i="30"/>
  <c r="K7" i="30"/>
  <c r="I27" i="28"/>
  <c r="I43" i="28"/>
  <c r="I29" i="28"/>
  <c r="I35" i="28"/>
  <c r="I47" i="28"/>
  <c r="L173" i="27"/>
  <c r="L215" i="27"/>
  <c r="K172" i="27"/>
  <c r="L205" i="27"/>
  <c r="L175" i="27"/>
  <c r="L195" i="27"/>
  <c r="L217" i="27"/>
  <c r="L177" i="27"/>
  <c r="L179" i="27"/>
  <c r="L189" i="27"/>
  <c r="L201" i="27"/>
  <c r="K144" i="27"/>
  <c r="L165" i="27"/>
  <c r="L167" i="27"/>
  <c r="L133" i="27"/>
  <c r="L123" i="27"/>
  <c r="L135" i="27"/>
  <c r="L163" i="27"/>
  <c r="L119" i="27"/>
  <c r="K115" i="27"/>
  <c r="L139" i="27"/>
  <c r="L65" i="27"/>
  <c r="L105" i="27"/>
  <c r="L69" i="27"/>
  <c r="L97" i="27"/>
  <c r="L99" i="27"/>
  <c r="L113" i="27"/>
  <c r="L77" i="27"/>
  <c r="L141" i="27"/>
  <c r="L151" i="27"/>
  <c r="L193" i="27"/>
  <c r="L203" i="27"/>
  <c r="K31" i="27"/>
  <c r="L131" i="27"/>
  <c r="L155" i="27"/>
  <c r="L207" i="27"/>
  <c r="L219" i="27"/>
  <c r="L145" i="27"/>
  <c r="L197" i="27"/>
  <c r="L157" i="27"/>
  <c r="K199" i="27"/>
  <c r="L209" i="27"/>
  <c r="L221" i="27"/>
  <c r="L147" i="27"/>
  <c r="L169" i="27"/>
  <c r="L211" i="27"/>
  <c r="L125" i="27"/>
  <c r="L149" i="27"/>
  <c r="K116" i="27"/>
  <c r="L127" i="27"/>
  <c r="L161" i="27"/>
  <c r="L183" i="27"/>
  <c r="L213" i="27"/>
  <c r="L73" i="27"/>
  <c r="L85" i="27"/>
  <c r="L107" i="27"/>
  <c r="L95" i="27"/>
  <c r="L89" i="27"/>
  <c r="K60" i="27"/>
  <c r="L71" i="27"/>
  <c r="L81" i="27"/>
  <c r="L83" i="27"/>
  <c r="L63" i="27"/>
  <c r="L75" i="27"/>
  <c r="K87" i="27"/>
  <c r="K88" i="27"/>
  <c r="L67" i="27"/>
  <c r="L79" i="27"/>
  <c r="L109" i="27"/>
  <c r="L111" i="27"/>
  <c r="L101" i="27"/>
  <c r="L93" i="27"/>
  <c r="L61" i="27"/>
  <c r="L103" i="27"/>
  <c r="I31" i="11"/>
  <c r="I27" i="11"/>
  <c r="I21" i="11"/>
  <c r="I25" i="11"/>
  <c r="I23" i="11"/>
  <c r="I19" i="11"/>
  <c r="F58" i="27"/>
  <c r="F57" i="27"/>
  <c r="F56" i="27"/>
  <c r="F55" i="27"/>
  <c r="F54" i="27"/>
  <c r="F53" i="27"/>
  <c r="F52" i="27"/>
  <c r="G52" i="27" s="1"/>
  <c r="K52" i="27" s="1"/>
  <c r="F51" i="27"/>
  <c r="G51" i="27" s="1"/>
  <c r="K51" i="27" s="1"/>
  <c r="F50" i="27"/>
  <c r="G50" i="27" s="1"/>
  <c r="K50" i="27" s="1"/>
  <c r="F49" i="27"/>
  <c r="G49" i="27" s="1"/>
  <c r="K49" i="27" s="1"/>
  <c r="F48" i="27"/>
  <c r="G48" i="27" s="1"/>
  <c r="K48" i="27" s="1"/>
  <c r="F47" i="27"/>
  <c r="G47" i="27" s="1"/>
  <c r="K47" i="27" s="1"/>
  <c r="F46" i="27"/>
  <c r="G46" i="27" s="1"/>
  <c r="K46" i="27" s="1"/>
  <c r="F45" i="27"/>
  <c r="G45" i="27" s="1"/>
  <c r="K45" i="27" s="1"/>
  <c r="F44" i="27"/>
  <c r="G44" i="27" s="1"/>
  <c r="K44" i="27" s="1"/>
  <c r="F43" i="27"/>
  <c r="G43" i="27" s="1"/>
  <c r="K43" i="27" s="1"/>
  <c r="F42" i="27"/>
  <c r="G42" i="27" s="1"/>
  <c r="K42" i="27" s="1"/>
  <c r="F41" i="27"/>
  <c r="G41" i="27" s="1"/>
  <c r="K41" i="27" s="1"/>
  <c r="F40" i="27"/>
  <c r="G40" i="27" s="1"/>
  <c r="K40" i="27" s="1"/>
  <c r="F39" i="27"/>
  <c r="G39" i="27" s="1"/>
  <c r="K39" i="27" s="1"/>
  <c r="F38" i="27"/>
  <c r="G38" i="27" s="1"/>
  <c r="K38" i="27" s="1"/>
  <c r="F37" i="27"/>
  <c r="G37" i="27" s="1"/>
  <c r="K37" i="27" s="1"/>
  <c r="F36" i="27"/>
  <c r="G36" i="27" s="1"/>
  <c r="K36" i="27" s="1"/>
  <c r="F35" i="27"/>
  <c r="G35" i="27" s="1"/>
  <c r="K35" i="27" s="1"/>
  <c r="F34" i="27"/>
  <c r="G34" i="27" s="1"/>
  <c r="K34" i="27" s="1"/>
  <c r="F33" i="27"/>
  <c r="G33" i="27" s="1"/>
  <c r="K33" i="27" s="1"/>
  <c r="F30" i="27"/>
  <c r="F29" i="27"/>
  <c r="F28" i="27"/>
  <c r="F27" i="27"/>
  <c r="F26" i="27"/>
  <c r="F25" i="27"/>
  <c r="F24" i="27"/>
  <c r="F23" i="27"/>
  <c r="F16" i="27"/>
  <c r="F15" i="27"/>
  <c r="F14" i="27"/>
  <c r="F13" i="27"/>
  <c r="F6" i="27"/>
  <c r="F7" i="27"/>
  <c r="F8" i="27"/>
  <c r="F9" i="27"/>
  <c r="F10" i="27"/>
  <c r="F11" i="27"/>
  <c r="F12" i="27"/>
  <c r="F26" i="28"/>
  <c r="G26" i="28" s="1"/>
  <c r="H26" i="28" s="1"/>
  <c r="F25" i="28"/>
  <c r="G25" i="28" s="1"/>
  <c r="H25" i="28" s="1"/>
  <c r="F14" i="28"/>
  <c r="G14" i="28" s="1"/>
  <c r="H14" i="28" s="1"/>
  <c r="F13" i="28"/>
  <c r="G13" i="28" s="1"/>
  <c r="H13" i="28" s="1"/>
  <c r="F26" i="29"/>
  <c r="G26" i="29" s="1"/>
  <c r="H26" i="29" s="1"/>
  <c r="F25" i="29"/>
  <c r="G25" i="29" s="1"/>
  <c r="H25" i="29" s="1"/>
  <c r="F14" i="29"/>
  <c r="G14" i="29" s="1"/>
  <c r="H14" i="29" s="1"/>
  <c r="F13" i="29"/>
  <c r="G13" i="29" s="1"/>
  <c r="H13" i="29" s="1"/>
  <c r="L143" i="27" l="1"/>
  <c r="L59" i="27"/>
  <c r="L199" i="27"/>
  <c r="L171" i="27"/>
  <c r="L115" i="27"/>
  <c r="L3" i="27"/>
  <c r="L87" i="27"/>
  <c r="L33" i="27"/>
  <c r="L37" i="27"/>
  <c r="L41" i="27"/>
  <c r="L45" i="27"/>
  <c r="L49" i="27"/>
  <c r="L35" i="27"/>
  <c r="L39" i="27"/>
  <c r="L43" i="27"/>
  <c r="L47" i="27"/>
  <c r="L51" i="27"/>
  <c r="I25" i="28"/>
  <c r="I13" i="28"/>
  <c r="I25" i="29"/>
  <c r="I13" i="29"/>
  <c r="L33" i="32"/>
  <c r="L32" i="32"/>
  <c r="L31" i="32"/>
  <c r="L30" i="32"/>
  <c r="L29" i="32"/>
  <c r="L28" i="32"/>
  <c r="L27" i="32"/>
  <c r="L26" i="32"/>
  <c r="L10" i="32"/>
  <c r="L9" i="32"/>
  <c r="L8" i="32"/>
  <c r="L7" i="32"/>
  <c r="L6" i="32"/>
  <c r="L5" i="32"/>
  <c r="L4" i="32"/>
  <c r="L3" i="32"/>
  <c r="J33" i="32"/>
  <c r="J32" i="32"/>
  <c r="J29" i="32"/>
  <c r="J28" i="32"/>
  <c r="J10" i="32"/>
  <c r="J9" i="32"/>
  <c r="J6" i="32"/>
  <c r="J5" i="32"/>
  <c r="H33" i="32"/>
  <c r="H32" i="32"/>
  <c r="H31" i="32"/>
  <c r="H30" i="32"/>
  <c r="H29" i="32"/>
  <c r="H28" i="32"/>
  <c r="H27" i="32"/>
  <c r="H26" i="32"/>
  <c r="H6" i="32"/>
  <c r="H7" i="32"/>
  <c r="H8" i="32"/>
  <c r="H9" i="32"/>
  <c r="H10" i="32"/>
  <c r="H4" i="32"/>
  <c r="H5" i="32"/>
  <c r="H3" i="32"/>
  <c r="L31" i="27" l="1"/>
  <c r="F33" i="32"/>
  <c r="F32" i="32"/>
  <c r="F31" i="32"/>
  <c r="F30" i="32"/>
  <c r="F29" i="32"/>
  <c r="F28" i="32"/>
  <c r="F27" i="32"/>
  <c r="F26" i="32"/>
  <c r="F10" i="32"/>
  <c r="F9" i="32"/>
  <c r="F8" i="32"/>
  <c r="F7" i="32"/>
  <c r="F3" i="32"/>
  <c r="F6" i="32"/>
  <c r="F5" i="32"/>
  <c r="F4" i="32"/>
  <c r="H23" i="31"/>
  <c r="I23" i="31" s="1"/>
  <c r="J23" i="31" s="1"/>
  <c r="F39" i="31"/>
  <c r="H42" i="31"/>
  <c r="I42" i="31" s="1"/>
  <c r="F42" i="31"/>
  <c r="H41" i="31"/>
  <c r="I41" i="31" s="1"/>
  <c r="F41" i="31"/>
  <c r="H40" i="31"/>
  <c r="I40" i="31" s="1"/>
  <c r="F40" i="31"/>
  <c r="H39" i="31"/>
  <c r="I39" i="31" s="1"/>
  <c r="H38" i="31"/>
  <c r="I38" i="31" s="1"/>
  <c r="J38" i="31" s="1"/>
  <c r="H37" i="31"/>
  <c r="I37" i="31" s="1"/>
  <c r="J37" i="31" s="1"/>
  <c r="H36" i="31"/>
  <c r="I36" i="31" s="1"/>
  <c r="J36" i="31" s="1"/>
  <c r="H35" i="31"/>
  <c r="I35" i="31" s="1"/>
  <c r="J35" i="31" s="1"/>
  <c r="H34" i="31"/>
  <c r="I34" i="31" s="1"/>
  <c r="J34" i="31" s="1"/>
  <c r="H33" i="31"/>
  <c r="I33" i="31" s="1"/>
  <c r="J33" i="31" s="1"/>
  <c r="H32" i="31"/>
  <c r="I32" i="31" s="1"/>
  <c r="J32" i="31" s="1"/>
  <c r="H31" i="31"/>
  <c r="I31" i="31" s="1"/>
  <c r="J31" i="31" s="1"/>
  <c r="H30" i="31"/>
  <c r="I30" i="31" s="1"/>
  <c r="J30" i="31" s="1"/>
  <c r="H29" i="31"/>
  <c r="I29" i="31" s="1"/>
  <c r="J29" i="31" s="1"/>
  <c r="H28" i="31"/>
  <c r="I28" i="31" s="1"/>
  <c r="J28" i="31" s="1"/>
  <c r="H27" i="31"/>
  <c r="I27" i="31" s="1"/>
  <c r="J27" i="31" s="1"/>
  <c r="H26" i="31"/>
  <c r="I26" i="31" s="1"/>
  <c r="J26" i="31" s="1"/>
  <c r="H25" i="31"/>
  <c r="I25" i="31" s="1"/>
  <c r="J25" i="31" s="1"/>
  <c r="H24" i="31"/>
  <c r="I24" i="31" s="1"/>
  <c r="J24" i="31" s="1"/>
  <c r="H4" i="31"/>
  <c r="I4" i="31" s="1"/>
  <c r="J4" i="31" s="1"/>
  <c r="H5" i="31"/>
  <c r="I5" i="31" s="1"/>
  <c r="J5" i="31" s="1"/>
  <c r="H6" i="31"/>
  <c r="I6" i="31" s="1"/>
  <c r="J6" i="31" s="1"/>
  <c r="H7" i="31"/>
  <c r="I7" i="31" s="1"/>
  <c r="J7" i="31" s="1"/>
  <c r="H8" i="31"/>
  <c r="I8" i="31" s="1"/>
  <c r="J8" i="31" s="1"/>
  <c r="H9" i="31"/>
  <c r="I9" i="31" s="1"/>
  <c r="J9" i="31" s="1"/>
  <c r="H10" i="31"/>
  <c r="I10" i="31" s="1"/>
  <c r="J10" i="31" s="1"/>
  <c r="H11" i="31"/>
  <c r="I11" i="31" s="1"/>
  <c r="J11" i="31" s="1"/>
  <c r="H12" i="31"/>
  <c r="I12" i="31" s="1"/>
  <c r="J12" i="31" s="1"/>
  <c r="H13" i="31"/>
  <c r="I13" i="31" s="1"/>
  <c r="J13" i="31" s="1"/>
  <c r="H14" i="31"/>
  <c r="I14" i="31" s="1"/>
  <c r="J14" i="31" s="1"/>
  <c r="H15" i="31"/>
  <c r="I15" i="31" s="1"/>
  <c r="J15" i="31" s="1"/>
  <c r="H16" i="31"/>
  <c r="I16" i="31" s="1"/>
  <c r="J16" i="31" s="1"/>
  <c r="H17" i="31"/>
  <c r="I17" i="31" s="1"/>
  <c r="J17" i="31" s="1"/>
  <c r="H18" i="31"/>
  <c r="I18" i="31" s="1"/>
  <c r="J18" i="31" s="1"/>
  <c r="H19" i="31"/>
  <c r="I19" i="31" s="1"/>
  <c r="H20" i="31"/>
  <c r="I20" i="31" s="1"/>
  <c r="H21" i="31"/>
  <c r="I21" i="31" s="1"/>
  <c r="H22" i="31"/>
  <c r="I22" i="31" s="1"/>
  <c r="H3" i="31"/>
  <c r="I3" i="31" s="1"/>
  <c r="J3" i="31" s="1"/>
  <c r="F22" i="31"/>
  <c r="F21" i="31"/>
  <c r="F20" i="31"/>
  <c r="F19" i="31"/>
  <c r="L21" i="30"/>
  <c r="M21" i="30" s="1"/>
  <c r="L18" i="30"/>
  <c r="M18" i="30" s="1"/>
  <c r="J19" i="30"/>
  <c r="J18" i="30"/>
  <c r="H19" i="30"/>
  <c r="H18" i="30"/>
  <c r="F18" i="30"/>
  <c r="F21" i="30"/>
  <c r="L20" i="30"/>
  <c r="M20" i="30" s="1"/>
  <c r="F20" i="30"/>
  <c r="L19" i="30"/>
  <c r="M19" i="30" s="1"/>
  <c r="F19" i="30"/>
  <c r="H4" i="30"/>
  <c r="I4" i="30" s="1"/>
  <c r="H5" i="30"/>
  <c r="I5" i="30" s="1"/>
  <c r="H6" i="30"/>
  <c r="I6" i="30" s="1"/>
  <c r="F3" i="30"/>
  <c r="J3" i="30" s="1"/>
  <c r="F4" i="30"/>
  <c r="N19" i="30" l="1"/>
  <c r="J84" i="31"/>
  <c r="J83" i="31"/>
  <c r="N18" i="30"/>
  <c r="J12" i="30"/>
  <c r="J11" i="30"/>
  <c r="M4" i="32"/>
  <c r="M32" i="32"/>
  <c r="M8" i="32"/>
  <c r="M31" i="32"/>
  <c r="M5" i="32"/>
  <c r="M6" i="32"/>
  <c r="M9" i="32"/>
  <c r="M30" i="32"/>
  <c r="M33" i="32"/>
  <c r="M3" i="32"/>
  <c r="M29" i="32"/>
  <c r="M28" i="32"/>
  <c r="M26" i="32"/>
  <c r="M7" i="32"/>
  <c r="M10" i="32"/>
  <c r="M27" i="32"/>
  <c r="N20" i="30"/>
  <c r="N21" i="30"/>
  <c r="J39" i="31"/>
  <c r="J41" i="31"/>
  <c r="J42" i="31"/>
  <c r="J40" i="31"/>
  <c r="J19" i="31"/>
  <c r="J20" i="31"/>
  <c r="J22" i="31"/>
  <c r="J21" i="31"/>
  <c r="J5" i="30"/>
  <c r="J4" i="30"/>
  <c r="J6" i="30"/>
  <c r="F24" i="29"/>
  <c r="G24" i="29" s="1"/>
  <c r="H24" i="29" s="1"/>
  <c r="F23" i="29"/>
  <c r="G23" i="29" s="1"/>
  <c r="H23" i="29" s="1"/>
  <c r="F22" i="29"/>
  <c r="G22" i="29" s="1"/>
  <c r="H22" i="29" s="1"/>
  <c r="F21" i="29"/>
  <c r="G21" i="29" s="1"/>
  <c r="H21" i="29" s="1"/>
  <c r="F20" i="29"/>
  <c r="G20" i="29" s="1"/>
  <c r="H20" i="29" s="1"/>
  <c r="F19" i="29"/>
  <c r="G19" i="29" s="1"/>
  <c r="H19" i="29" s="1"/>
  <c r="F18" i="29"/>
  <c r="G18" i="29" s="1"/>
  <c r="H18" i="29" s="1"/>
  <c r="F17" i="29"/>
  <c r="G17" i="29" s="1"/>
  <c r="H17" i="29" s="1"/>
  <c r="F16" i="29"/>
  <c r="G16" i="29" s="1"/>
  <c r="H16" i="29" s="1"/>
  <c r="F15" i="29"/>
  <c r="G15" i="29" s="1"/>
  <c r="H15" i="29" s="1"/>
  <c r="F12" i="29"/>
  <c r="G12" i="29" s="1"/>
  <c r="H12" i="29" s="1"/>
  <c r="F11" i="29"/>
  <c r="G11" i="29" s="1"/>
  <c r="H11" i="29" s="1"/>
  <c r="F10" i="29"/>
  <c r="G10" i="29" s="1"/>
  <c r="H10" i="29" s="1"/>
  <c r="F9" i="29"/>
  <c r="G9" i="29" s="1"/>
  <c r="H9" i="29" s="1"/>
  <c r="F8" i="29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4" i="28"/>
  <c r="G4" i="28" s="1"/>
  <c r="H4" i="28" s="1"/>
  <c r="F5" i="28"/>
  <c r="G5" i="28" s="1"/>
  <c r="H5" i="28" s="1"/>
  <c r="F6" i="28"/>
  <c r="G6" i="28" s="1"/>
  <c r="H6" i="28" s="1"/>
  <c r="F7" i="28"/>
  <c r="G7" i="28" s="1"/>
  <c r="H7" i="28" s="1"/>
  <c r="F8" i="28"/>
  <c r="G8" i="28" s="1"/>
  <c r="H8" i="28" s="1"/>
  <c r="F9" i="28"/>
  <c r="G9" i="28" s="1"/>
  <c r="H9" i="28" s="1"/>
  <c r="F10" i="28"/>
  <c r="G10" i="28" s="1"/>
  <c r="H10" i="28" s="1"/>
  <c r="F11" i="28"/>
  <c r="G11" i="28" s="1"/>
  <c r="H11" i="28" s="1"/>
  <c r="F12" i="28"/>
  <c r="G12" i="28" s="1"/>
  <c r="H12" i="28" s="1"/>
  <c r="F15" i="28"/>
  <c r="G15" i="28" s="1"/>
  <c r="H15" i="28" s="1"/>
  <c r="F16" i="28"/>
  <c r="G16" i="28" s="1"/>
  <c r="H16" i="28" s="1"/>
  <c r="F17" i="28"/>
  <c r="G17" i="28" s="1"/>
  <c r="H17" i="28" s="1"/>
  <c r="F18" i="28"/>
  <c r="G18" i="28" s="1"/>
  <c r="H18" i="28" s="1"/>
  <c r="F19" i="28"/>
  <c r="G19" i="28" s="1"/>
  <c r="H19" i="28" s="1"/>
  <c r="F20" i="28"/>
  <c r="G20" i="28" s="1"/>
  <c r="H20" i="28" s="1"/>
  <c r="F21" i="28"/>
  <c r="G21" i="28" s="1"/>
  <c r="H21" i="28" s="1"/>
  <c r="F22" i="28"/>
  <c r="G22" i="28" s="1"/>
  <c r="H22" i="28" s="1"/>
  <c r="F23" i="28"/>
  <c r="G23" i="28" s="1"/>
  <c r="H23" i="28" s="1"/>
  <c r="F24" i="28"/>
  <c r="G24" i="28" s="1"/>
  <c r="H24" i="28" s="1"/>
  <c r="G5" i="27"/>
  <c r="K5" i="27" s="1"/>
  <c r="G6" i="27"/>
  <c r="K6" i="27" s="1"/>
  <c r="G7" i="27"/>
  <c r="K7" i="27" s="1"/>
  <c r="G8" i="27"/>
  <c r="K8" i="27" s="1"/>
  <c r="G9" i="27"/>
  <c r="K9" i="27" s="1"/>
  <c r="G10" i="27"/>
  <c r="K10" i="27" s="1"/>
  <c r="G11" i="27"/>
  <c r="K11" i="27" s="1"/>
  <c r="G12" i="27"/>
  <c r="K12" i="27" s="1"/>
  <c r="G13" i="27"/>
  <c r="K13" i="27" s="1"/>
  <c r="G14" i="27"/>
  <c r="K14" i="27" s="1"/>
  <c r="G15" i="27"/>
  <c r="K15" i="27" s="1"/>
  <c r="G16" i="27"/>
  <c r="K16" i="27" s="1"/>
  <c r="F17" i="27"/>
  <c r="G17" i="27" s="1"/>
  <c r="K17" i="27" s="1"/>
  <c r="F18" i="27"/>
  <c r="G18" i="27" s="1"/>
  <c r="K18" i="27" s="1"/>
  <c r="F19" i="27"/>
  <c r="G19" i="27" s="1"/>
  <c r="K19" i="27" s="1"/>
  <c r="F20" i="27"/>
  <c r="G20" i="27" s="1"/>
  <c r="K20" i="27" s="1"/>
  <c r="F21" i="27"/>
  <c r="G21" i="27" s="1"/>
  <c r="K21" i="27" s="1"/>
  <c r="F22" i="27"/>
  <c r="G22" i="27" s="1"/>
  <c r="K22" i="27" s="1"/>
  <c r="G23" i="27"/>
  <c r="K23" i="27" s="1"/>
  <c r="G24" i="27"/>
  <c r="K24" i="27" s="1"/>
  <c r="G25" i="27"/>
  <c r="K25" i="27" s="1"/>
  <c r="G26" i="27"/>
  <c r="K26" i="27" s="1"/>
  <c r="G27" i="27"/>
  <c r="K27" i="27" s="1"/>
  <c r="G28" i="27"/>
  <c r="K28" i="27" s="1"/>
  <c r="G29" i="27"/>
  <c r="K29" i="27" s="1"/>
  <c r="G30" i="27"/>
  <c r="K30" i="27" s="1"/>
  <c r="G53" i="27"/>
  <c r="K53" i="27" s="1"/>
  <c r="G54" i="27"/>
  <c r="K54" i="27" s="1"/>
  <c r="G55" i="27"/>
  <c r="K55" i="27" s="1"/>
  <c r="G56" i="27"/>
  <c r="K56" i="27" s="1"/>
  <c r="G57" i="27"/>
  <c r="K57" i="27" s="1"/>
  <c r="G58" i="27"/>
  <c r="K58" i="27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G13" i="11" s="1"/>
  <c r="H13" i="11" s="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G3" i="11"/>
  <c r="H3" i="11" s="1"/>
  <c r="K228" i="27" l="1"/>
  <c r="K227" i="27"/>
  <c r="J85" i="31"/>
  <c r="J86" i="31" s="1"/>
  <c r="I3" i="28"/>
  <c r="H51" i="28"/>
  <c r="H52" i="28"/>
  <c r="I5" i="28"/>
  <c r="M20" i="32"/>
  <c r="M19" i="32"/>
  <c r="H51" i="29"/>
  <c r="H52" i="29"/>
  <c r="I5" i="11"/>
  <c r="H35" i="11"/>
  <c r="H36" i="11"/>
  <c r="I3" i="11"/>
  <c r="N27" i="30"/>
  <c r="N26" i="30"/>
  <c r="M43" i="32"/>
  <c r="M42" i="32"/>
  <c r="L5" i="27"/>
  <c r="O20" i="30"/>
  <c r="O18" i="30"/>
  <c r="K5" i="30"/>
  <c r="I17" i="29"/>
  <c r="I23" i="29"/>
  <c r="I11" i="29"/>
  <c r="I9" i="11"/>
  <c r="K3" i="30"/>
  <c r="I19" i="29"/>
  <c r="I7" i="29"/>
  <c r="I15" i="29"/>
  <c r="I3" i="29"/>
  <c r="I5" i="29"/>
  <c r="I9" i="29"/>
  <c r="I21" i="29"/>
  <c r="I19" i="28"/>
  <c r="I11" i="28"/>
  <c r="I9" i="28"/>
  <c r="I23" i="28"/>
  <c r="I7" i="28"/>
  <c r="I21" i="28"/>
  <c r="I15" i="28"/>
  <c r="I17" i="28"/>
  <c r="L53" i="27"/>
  <c r="L25" i="27"/>
  <c r="L21" i="27"/>
  <c r="L17" i="27"/>
  <c r="L9" i="27"/>
  <c r="L27" i="27"/>
  <c r="L29" i="27"/>
  <c r="L7" i="27"/>
  <c r="L13" i="27"/>
  <c r="L15" i="27"/>
  <c r="L11" i="27"/>
  <c r="L23" i="27"/>
  <c r="L19" i="27"/>
  <c r="L57" i="27"/>
  <c r="L55" i="27"/>
  <c r="I15" i="11"/>
  <c r="I7" i="11"/>
  <c r="I13" i="11"/>
  <c r="I11" i="11"/>
  <c r="I17" i="11"/>
  <c r="J13" i="30" l="1"/>
  <c r="J14" i="30" s="1"/>
  <c r="N28" i="30"/>
  <c r="N29" i="30" s="1"/>
  <c r="M44" i="32"/>
  <c r="M45" i="32" s="1"/>
  <c r="M21" i="32"/>
  <c r="M22" i="32" s="1"/>
  <c r="K229" i="27"/>
  <c r="K230" i="27" s="1"/>
  <c r="H53" i="29"/>
  <c r="H54" i="29" s="1"/>
  <c r="H37" i="11"/>
  <c r="H38" i="11" s="1"/>
  <c r="H53" i="28"/>
  <c r="H54" i="28" s="1"/>
</calcChain>
</file>

<file path=xl/sharedStrings.xml><?xml version="1.0" encoding="utf-8"?>
<sst xmlns="http://schemas.openxmlformats.org/spreadsheetml/2006/main" count="3016" uniqueCount="1993">
  <si>
    <t>MAX</t>
    <phoneticPr fontId="1" type="noConversion"/>
  </si>
  <si>
    <t>min</t>
    <phoneticPr fontId="1" type="noConversion"/>
  </si>
  <si>
    <t>MAX-min</t>
    <phoneticPr fontId="1" type="noConversion"/>
  </si>
  <si>
    <t>Result</t>
    <phoneticPr fontId="1" type="noConversion"/>
  </si>
  <si>
    <t>Channel</t>
    <phoneticPr fontId="1" type="noConversion"/>
  </si>
  <si>
    <t>Length (mils)</t>
    <phoneticPr fontId="1" type="noConversion"/>
  </si>
  <si>
    <t>+/- CHECK</t>
    <phoneticPr fontId="1" type="noConversion"/>
  </si>
  <si>
    <t>SITE1</t>
    <phoneticPr fontId="1" type="noConversion"/>
  </si>
  <si>
    <t>Pin number</t>
    <phoneticPr fontId="1" type="noConversion"/>
  </si>
  <si>
    <t>Pin name</t>
    <phoneticPr fontId="1" type="noConversion"/>
  </si>
  <si>
    <t>SITE</t>
    <phoneticPr fontId="1" type="noConversion"/>
  </si>
  <si>
    <t>SITE2</t>
  </si>
  <si>
    <t>Total length (mils)</t>
    <phoneticPr fontId="1" type="noConversion"/>
  </si>
  <si>
    <t>RXD0P</t>
  </si>
  <si>
    <t>RXD0N</t>
  </si>
  <si>
    <t>RXD1P</t>
  </si>
  <si>
    <t>RXD1N</t>
  </si>
  <si>
    <t>RXD2P</t>
  </si>
  <si>
    <t>RXD2N</t>
  </si>
  <si>
    <t>RXD3P</t>
  </si>
  <si>
    <t>RXD3N</t>
  </si>
  <si>
    <t>Net name</t>
    <phoneticPr fontId="1" type="noConversion"/>
  </si>
  <si>
    <t>CML0P</t>
  </si>
  <si>
    <t>CML0N</t>
  </si>
  <si>
    <t>CML1P</t>
  </si>
  <si>
    <t>CML1N</t>
  </si>
  <si>
    <t>ELV0P</t>
  </si>
  <si>
    <t>ELV0N</t>
  </si>
  <si>
    <t>ELV1P</t>
  </si>
  <si>
    <t>ELV1N</t>
  </si>
  <si>
    <t>ELV2P</t>
  </si>
  <si>
    <t>ELV2N</t>
  </si>
  <si>
    <t>ELVCKP</t>
  </si>
  <si>
    <t>ELVCKN</t>
  </si>
  <si>
    <t>ELV3P</t>
  </si>
  <si>
    <t>ELV3N</t>
  </si>
  <si>
    <t>OLV0P</t>
  </si>
  <si>
    <t>OLV0N</t>
  </si>
  <si>
    <t>OLV1P</t>
  </si>
  <si>
    <t>OLV1N</t>
  </si>
  <si>
    <t>OLV2P</t>
  </si>
  <si>
    <t>OLV2N</t>
  </si>
  <si>
    <t>OLVCKP</t>
  </si>
  <si>
    <t>OLVCKN</t>
  </si>
  <si>
    <t>OLV3P</t>
  </si>
  <si>
    <t>OLV3N</t>
  </si>
  <si>
    <t>S1_AUXCH+</t>
  </si>
  <si>
    <t>AUXCHP</t>
  </si>
  <si>
    <t>S1_AUXCH-</t>
  </si>
  <si>
    <t>AUXCHN</t>
  </si>
  <si>
    <t>S2_AUXCH+</t>
  </si>
  <si>
    <t>S2_AUXCH-</t>
  </si>
  <si>
    <t>Length1 (mils)</t>
    <phoneticPr fontId="1" type="noConversion"/>
  </si>
  <si>
    <t>RLY-&gt;Channel</t>
    <phoneticPr fontId="1" type="noConversion"/>
  </si>
  <si>
    <t>Length2 (mils)</t>
    <phoneticPr fontId="1" type="noConversion"/>
  </si>
  <si>
    <t>DUT-&gt;RLY</t>
    <phoneticPr fontId="1" type="noConversion"/>
  </si>
  <si>
    <t>DUT-&gt;0 R</t>
    <phoneticPr fontId="1" type="noConversion"/>
  </si>
  <si>
    <t>0R-&gt;0.1uF</t>
    <phoneticPr fontId="1" type="noConversion"/>
  </si>
  <si>
    <t>0.1uF-&gt;Channel</t>
    <phoneticPr fontId="1" type="noConversion"/>
  </si>
  <si>
    <t>Length3 (mils)</t>
    <phoneticPr fontId="1" type="noConversion"/>
  </si>
  <si>
    <t>Length4 (mils)</t>
    <phoneticPr fontId="1" type="noConversion"/>
  </si>
  <si>
    <t>FAIL_FLAG_O</t>
  </si>
  <si>
    <t>LED_SPI_BLANK_A</t>
  </si>
  <si>
    <t>S1_SCAN_DCH008</t>
  </si>
  <si>
    <t>LED_SPI_GSCLK_A</t>
  </si>
  <si>
    <t>LED_SPI_XLAT_A</t>
  </si>
  <si>
    <t>S1_SCAN_DCH012</t>
  </si>
  <si>
    <t>LED_SPI_BLANK_B</t>
  </si>
  <si>
    <t>S1_SCAN_DCH013</t>
  </si>
  <si>
    <t>LED_SPI_GSCLK_B</t>
  </si>
  <si>
    <t>LED_SPI_SIN_B</t>
  </si>
  <si>
    <t>LED_SPI_SCLK_B</t>
  </si>
  <si>
    <t>S1_SCAN_DCH016</t>
  </si>
  <si>
    <t>LED_SPI_XLAT_B</t>
  </si>
  <si>
    <t>S1_SCAN_DCH017</t>
  </si>
  <si>
    <t>OSD_SPI_SCK_I2CCLK</t>
  </si>
  <si>
    <t>S1_SCAN_DCH018</t>
  </si>
  <si>
    <t>OSD_SPI_SDI_I2CDAT</t>
  </si>
  <si>
    <t>S1_SCAN_DCH019</t>
  </si>
  <si>
    <t>OSD_SPI_CSN</t>
  </si>
  <si>
    <t>S1_SCAN_DCH020</t>
  </si>
  <si>
    <t>OE2</t>
  </si>
  <si>
    <t>S1_SCAN_DCH021</t>
  </si>
  <si>
    <t>OE1</t>
  </si>
  <si>
    <t>CLK8</t>
  </si>
  <si>
    <t>CLK7</t>
  </si>
  <si>
    <t>S1_SPI_CSN</t>
  </si>
  <si>
    <t>SPI_CSN</t>
  </si>
  <si>
    <t>S1_SPI_SCK</t>
  </si>
  <si>
    <t>SPI_SCK</t>
  </si>
  <si>
    <t>S1_SPI_SDI</t>
  </si>
  <si>
    <t>SPI_SDI</t>
  </si>
  <si>
    <t>S1_SPI_SDO</t>
  </si>
  <si>
    <t>SPI_SDO</t>
  </si>
  <si>
    <t>S2_SCAN_DCH008</t>
  </si>
  <si>
    <t>S2_SCAN_DCH012</t>
  </si>
  <si>
    <t>S2_SCAN_DCH013</t>
  </si>
  <si>
    <t>S2_SCAN_DCH016</t>
  </si>
  <si>
    <t>S2_SCAN_DCH017</t>
  </si>
  <si>
    <t>S2_SCAN_DCH018</t>
  </si>
  <si>
    <t>S2_SCAN_DCH019</t>
  </si>
  <si>
    <t>S2_SCAN_DCH020</t>
  </si>
  <si>
    <t>S2_SCAN_DCH021</t>
  </si>
  <si>
    <t>S2_SPI_CSN</t>
  </si>
  <si>
    <t>S2_SPI_SCK</t>
  </si>
  <si>
    <t>S2_SPI_SDI</t>
  </si>
  <si>
    <t>S2_SPI_SDO</t>
  </si>
  <si>
    <t>Site1</t>
    <phoneticPr fontId="1" type="noConversion"/>
  </si>
  <si>
    <t>Site2</t>
  </si>
  <si>
    <t>RLY-&gt;RLY</t>
    <phoneticPr fontId="1" type="noConversion"/>
  </si>
  <si>
    <t>RLY-&gt;0 ohm</t>
    <phoneticPr fontId="1" type="noConversion"/>
  </si>
  <si>
    <t>RLY-&gt;U1</t>
    <phoneticPr fontId="1" type="noConversion"/>
  </si>
  <si>
    <t>S1_1SPI_CSN</t>
    <phoneticPr fontId="1" type="noConversion"/>
  </si>
  <si>
    <t>S1_1SPI_SCK</t>
    <phoneticPr fontId="1" type="noConversion"/>
  </si>
  <si>
    <t>S1_1SPI_SDI</t>
    <phoneticPr fontId="1" type="noConversion"/>
  </si>
  <si>
    <t>S1_1SPI_SDO</t>
    <phoneticPr fontId="1" type="noConversion"/>
  </si>
  <si>
    <t>S1_SPI_1_CSN</t>
    <phoneticPr fontId="1" type="noConversion"/>
  </si>
  <si>
    <t>S1_SPI_1_SCK</t>
    <phoneticPr fontId="1" type="noConversion"/>
  </si>
  <si>
    <t>S1_SPI_1_SDI</t>
    <phoneticPr fontId="1" type="noConversion"/>
  </si>
  <si>
    <t>S1_SPI_1_SDO</t>
    <phoneticPr fontId="1" type="noConversion"/>
  </si>
  <si>
    <t>S1_SPI_11_SDI</t>
    <phoneticPr fontId="1" type="noConversion"/>
  </si>
  <si>
    <t>S1_SPI_11_SDO</t>
    <phoneticPr fontId="1" type="noConversion"/>
  </si>
  <si>
    <t>S2_1SPI_CSN</t>
  </si>
  <si>
    <t>S2_SPI_1_CSN</t>
  </si>
  <si>
    <t>S2_1SPI_SCK</t>
  </si>
  <si>
    <t>S2_SPI_1_SCK</t>
  </si>
  <si>
    <t>S2_1SPI_SDI</t>
  </si>
  <si>
    <t>S2_SPI_1_SDI</t>
  </si>
  <si>
    <t>S2_SPI_11_SDI</t>
  </si>
  <si>
    <t>S2_1SPI_SDO</t>
  </si>
  <si>
    <t>S2_SPI_1_SDO</t>
  </si>
  <si>
    <t>S2_SPI_11_SDO</t>
  </si>
  <si>
    <t>S1_SPI_2_SDI</t>
  </si>
  <si>
    <t>S1_SPI_2_SDO</t>
  </si>
  <si>
    <t>S2_SPI_2_SDI</t>
  </si>
  <si>
    <t>S2_SPI_2_SDO</t>
  </si>
  <si>
    <t>S1_SPI_2_CSN</t>
  </si>
  <si>
    <t>S1_SPI_2_SCK</t>
  </si>
  <si>
    <t>S2_SPI_2_CSN</t>
  </si>
  <si>
    <t>S2_SPI_2_SCK</t>
  </si>
  <si>
    <t>S1_SPI_22_SDI</t>
  </si>
  <si>
    <t>S1_SPI_22_SDO</t>
  </si>
  <si>
    <t>S2_SPI_22_SDI</t>
  </si>
  <si>
    <t>S2_SPI_22_SDO</t>
  </si>
  <si>
    <t>RLY-&gt;U2</t>
    <phoneticPr fontId="1" type="noConversion"/>
  </si>
  <si>
    <t>S1_1AUX+</t>
  </si>
  <si>
    <t>S1_1AUX-</t>
  </si>
  <si>
    <t>S1_2AUX+</t>
  </si>
  <si>
    <t>S1_2AUX-</t>
  </si>
  <si>
    <t>S2_1AUX+</t>
  </si>
  <si>
    <t>S2_1AUX-</t>
  </si>
  <si>
    <t>S2_2AUX+</t>
  </si>
  <si>
    <t>S2_2AUX-</t>
  </si>
  <si>
    <t>OLV4N</t>
  </si>
  <si>
    <t>OLV4P</t>
  </si>
  <si>
    <t>ELV4N</t>
  </si>
  <si>
    <t>ELV4P</t>
  </si>
  <si>
    <t>AML0P</t>
  </si>
  <si>
    <t>AML0N</t>
  </si>
  <si>
    <t>AML1P</t>
  </si>
  <si>
    <t>AML1N</t>
  </si>
  <si>
    <t>AML2P</t>
  </si>
  <si>
    <t>AML2N</t>
  </si>
  <si>
    <t>AMLCKP</t>
  </si>
  <si>
    <t>AMLCKN</t>
  </si>
  <si>
    <t>AML3P</t>
  </si>
  <si>
    <t>AML3N</t>
  </si>
  <si>
    <t>AML4P</t>
  </si>
  <si>
    <t>AML4N</t>
  </si>
  <si>
    <t>AML5P</t>
  </si>
  <si>
    <t>AML5N</t>
  </si>
  <si>
    <t>BML0P</t>
  </si>
  <si>
    <t>BML0N</t>
  </si>
  <si>
    <t>BML1P</t>
  </si>
  <si>
    <t>BML1N</t>
  </si>
  <si>
    <t>BML2P</t>
  </si>
  <si>
    <t>BML2N</t>
  </si>
  <si>
    <t>BMLCKP</t>
  </si>
  <si>
    <t>BMLCKN</t>
  </si>
  <si>
    <t>BML3P</t>
  </si>
  <si>
    <t>BML3N</t>
  </si>
  <si>
    <t>BML4P</t>
  </si>
  <si>
    <t>BML4N</t>
  </si>
  <si>
    <t>BML5P</t>
  </si>
  <si>
    <t>BML5N</t>
  </si>
  <si>
    <t>CML2P</t>
  </si>
  <si>
    <t>CML2N</t>
  </si>
  <si>
    <t>CMLCKP</t>
  </si>
  <si>
    <t>CMLCKN</t>
  </si>
  <si>
    <t>CML3P</t>
  </si>
  <si>
    <t>CML3N</t>
  </si>
  <si>
    <t>CML4P</t>
  </si>
  <si>
    <t>CML4N</t>
  </si>
  <si>
    <t>CML5P</t>
  </si>
  <si>
    <t>CML5N</t>
  </si>
  <si>
    <t>DML0P</t>
  </si>
  <si>
    <t>DML0N</t>
  </si>
  <si>
    <t>DML1P</t>
  </si>
  <si>
    <t>DML1N</t>
  </si>
  <si>
    <t>DML2P</t>
  </si>
  <si>
    <t>DML2N</t>
  </si>
  <si>
    <t>DMLCKP</t>
  </si>
  <si>
    <t>DMLCKN</t>
  </si>
  <si>
    <t>DML3P</t>
  </si>
  <si>
    <t>DML3N</t>
  </si>
  <si>
    <t>DML4P</t>
  </si>
  <si>
    <t>DML4N</t>
  </si>
  <si>
    <t>DML5P</t>
  </si>
  <si>
    <t>DML5N</t>
  </si>
  <si>
    <t>S1_ISP00-</t>
  </si>
  <si>
    <t>S1_1TX_100DCH002-</t>
  </si>
  <si>
    <t>S1_1TX_100DCH002+</t>
  </si>
  <si>
    <t>S1_1TX_100DCH003-</t>
  </si>
  <si>
    <t>S1_1TX_100DCH003+</t>
  </si>
  <si>
    <t>S1_1TX_100DCH005-</t>
  </si>
  <si>
    <t>S1_1TX_100DCH005+</t>
  </si>
  <si>
    <t>S1_1TX_100DCH006-</t>
  </si>
  <si>
    <t>S1_1TX_100DCH006+</t>
  </si>
  <si>
    <t>S1_1TX_100DCH007-</t>
  </si>
  <si>
    <t>S1_1TX_100DCH007+</t>
  </si>
  <si>
    <t>S1_1TX_100DCH004-</t>
  </si>
  <si>
    <t>S1_1TX_100DCH004+</t>
  </si>
  <si>
    <t>S1_2TX_100DCH001-</t>
  </si>
  <si>
    <t>S1_2TX_100DCH001+</t>
  </si>
  <si>
    <t>S1_2TX_100DCH002-</t>
  </si>
  <si>
    <t>S1_2TX_100DCH002+</t>
  </si>
  <si>
    <t>S1_2TX_100DCH003-</t>
  </si>
  <si>
    <t>S1_2TX_100DCH003+</t>
  </si>
  <si>
    <t>S1_2TX_100DCH005-</t>
  </si>
  <si>
    <t>S1_2TX_100DCH005+</t>
  </si>
  <si>
    <t>S1_2TX_100DCH006-</t>
  </si>
  <si>
    <t>S1_2TX_100DCH006+</t>
  </si>
  <si>
    <t>S1_2TX_100DCH007-</t>
  </si>
  <si>
    <t>S1_2TX_100DCH007+</t>
  </si>
  <si>
    <t>S1_2TX_100DCH004-</t>
  </si>
  <si>
    <t>S1_2TX_100DCH004+</t>
  </si>
  <si>
    <t>S1_SCAN_DCH034</t>
  </si>
  <si>
    <t>S1_SCAN_DCH033</t>
  </si>
  <si>
    <t>S1_ISP14-</t>
  </si>
  <si>
    <t>S1_3TX_100DCH002-</t>
  </si>
  <si>
    <t>S1_3TX_100DCH002+</t>
  </si>
  <si>
    <t>S1_3TX_100DCH003-</t>
  </si>
  <si>
    <t>S1_3TX_100DCH003+</t>
  </si>
  <si>
    <t>S1_3TX_100DCH005-</t>
  </si>
  <si>
    <t>S1_3TX_100DCH005+</t>
  </si>
  <si>
    <t>S1_3TX_100DCH006-</t>
  </si>
  <si>
    <t>S1_3TX_100DCH006+</t>
  </si>
  <si>
    <t>S1_3TX_100DCH007-</t>
  </si>
  <si>
    <t>S1_3TX_100DCH007+</t>
  </si>
  <si>
    <t>S1_3TX_100DCH004-</t>
  </si>
  <si>
    <t>S1_3TX_100DCH004+</t>
  </si>
  <si>
    <t>S1_4TX_100DCH001-</t>
  </si>
  <si>
    <t>S1_4TX_100DCH001+</t>
  </si>
  <si>
    <t>S1_4TX_100DCH002-</t>
  </si>
  <si>
    <t>S1_4TX_100DCH002+</t>
  </si>
  <si>
    <t>S1_4TX_100DCH003-</t>
  </si>
  <si>
    <t>S1_4TX_100DCH003+</t>
  </si>
  <si>
    <t>S1_4TX_100DCH005-</t>
  </si>
  <si>
    <t>S1_4TX_100DCH005+</t>
  </si>
  <si>
    <t>S1_4TX_100DCH006-</t>
  </si>
  <si>
    <t>S1_4TX_100DCH006+</t>
  </si>
  <si>
    <t>S1_4TX_100DCH007-</t>
  </si>
  <si>
    <t>S1_4TX_100DCH007+</t>
  </si>
  <si>
    <t>S1_4TX_100DCH004-</t>
  </si>
  <si>
    <t>S1_4TX_100DCH004+</t>
  </si>
  <si>
    <t>S1_ELVRX_100DCH001-</t>
  </si>
  <si>
    <t>S1_ELVRX_100DCH001+</t>
  </si>
  <si>
    <t>S1_ELVRX_100DCH002-</t>
  </si>
  <si>
    <t>S1_ELVRX_100DCH002+</t>
  </si>
  <si>
    <t>S1_ELVRX_100DCH003-</t>
  </si>
  <si>
    <t>S1_ELVRX_100DCH003+</t>
  </si>
  <si>
    <t>S1_ELVRX_100DCH005-</t>
  </si>
  <si>
    <t>S1_ELVRX_100DCH005+</t>
  </si>
  <si>
    <t>S1_ELVRX_100DCH006-</t>
  </si>
  <si>
    <t>S1_ELVRX_100DCH006+</t>
  </si>
  <si>
    <t>S1_ELVRX_100DCH004-</t>
  </si>
  <si>
    <t>S1_ELVRX_100DCH004+</t>
  </si>
  <si>
    <t>S1_SCAN_DCH032</t>
  </si>
  <si>
    <t>S1_SCAN_DCH031</t>
  </si>
  <si>
    <t>S1_OLVRX_100DCH001-</t>
  </si>
  <si>
    <t>S1_OLVRX_100DCH001+</t>
  </si>
  <si>
    <t>S1_OLVRX_100DCH002-</t>
  </si>
  <si>
    <t>S1_OLVRX_100DCH002+</t>
  </si>
  <si>
    <t>S1_OLVRX_100DCH003-</t>
  </si>
  <si>
    <t>S1_OLVRX_100DCH003+</t>
  </si>
  <si>
    <t>S1_OLVRX_100DCH005-</t>
  </si>
  <si>
    <t>S1_OLVRX_100DCH005+</t>
  </si>
  <si>
    <t>S1_OLVRX_100DCH006-</t>
  </si>
  <si>
    <t>S1_OLVRX_100DCH006+</t>
  </si>
  <si>
    <t>S1_OLVRX_100DCH004-</t>
  </si>
  <si>
    <t>S1_OLVRX_100DCH004+</t>
  </si>
  <si>
    <t>S1_SCAN_DCH026</t>
  </si>
  <si>
    <t>S1_SCAN_DCH024</t>
  </si>
  <si>
    <t>S1_SCAN_DCH025</t>
  </si>
  <si>
    <t>S1_RX_85DCH001-</t>
  </si>
  <si>
    <t>S1_RX_85DCH001+</t>
  </si>
  <si>
    <t>S1_RX_85DCH002-</t>
  </si>
  <si>
    <t>S1_RX_85DCH002+</t>
  </si>
  <si>
    <t>S1_RX_85DCH003-</t>
  </si>
  <si>
    <t>S1_RX_85DCH003+</t>
  </si>
  <si>
    <t>S1_RX_85DCH004-</t>
  </si>
  <si>
    <t>S1_RX_85DCH004+</t>
  </si>
  <si>
    <t>SITE3</t>
  </si>
  <si>
    <t>SITE4</t>
  </si>
  <si>
    <t>S2_RX_85DCH001+</t>
  </si>
  <si>
    <t>S2_RX_85DCH001-</t>
  </si>
  <si>
    <t>S2_RX_85DCH002+</t>
  </si>
  <si>
    <t>S2_RX_85DCH002-</t>
  </si>
  <si>
    <t>S2_RX_85DCH003+</t>
  </si>
  <si>
    <t>S2_RX_85DCH003-</t>
  </si>
  <si>
    <t>S2_RX_85DCH004+</t>
  </si>
  <si>
    <t>S2_RX_85DCH004-</t>
  </si>
  <si>
    <t>S3_RX_85DCH001+</t>
  </si>
  <si>
    <t>S3_RX_85DCH001-</t>
  </si>
  <si>
    <t>S3_RX_85DCH002+</t>
  </si>
  <si>
    <t>S3_RX_85DCH002-</t>
  </si>
  <si>
    <t>S3_RX_85DCH003+</t>
  </si>
  <si>
    <t>S3_RX_85DCH003-</t>
  </si>
  <si>
    <t>S3_RX_85DCH004+</t>
  </si>
  <si>
    <t>S3_RX_85DCH004-</t>
  </si>
  <si>
    <t>S4_RX_85DCH001+</t>
  </si>
  <si>
    <t>S4_RX_85DCH001-</t>
  </si>
  <si>
    <t>S4_RX_85DCH002+</t>
  </si>
  <si>
    <t>S4_RX_85DCH002-</t>
  </si>
  <si>
    <t>S4_RX_85DCH003+</t>
  </si>
  <si>
    <t>S4_RX_85DCH003-</t>
  </si>
  <si>
    <t>S4_RX_85DCH004+</t>
  </si>
  <si>
    <t>S4_RX_85DCH004-</t>
  </si>
  <si>
    <r>
      <rPr>
        <b/>
        <sz val="12"/>
        <color rgb="FFFF9900"/>
        <rFont val="Times New Roman"/>
        <family val="1"/>
      </rPr>
      <t>PS9G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</si>
  <si>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S1_1TX_100DCH001+</t>
  </si>
  <si>
    <t>S1_1TX_100DCH001+</t>
    <phoneticPr fontId="1" type="noConversion"/>
  </si>
  <si>
    <t>S1_1TX_100DCH001-</t>
  </si>
  <si>
    <t>S1_1TX_100DCH001-</t>
    <phoneticPr fontId="1" type="noConversion"/>
  </si>
  <si>
    <t>S1_ISP00+</t>
    <phoneticPr fontId="1" type="noConversion"/>
  </si>
  <si>
    <t>S1_ISP14+</t>
    <phoneticPr fontId="1" type="noConversion"/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</si>
  <si>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等長；</t>
    </r>
    <r>
      <rPr>
        <b/>
        <sz val="12"/>
        <color rgb="FF7030A0"/>
        <rFont val="Times New Roman"/>
        <family val="1"/>
      </rPr>
      <t>ISP00 / ISP14 share CH</t>
    </r>
    <phoneticPr fontId="1" type="noConversion"/>
  </si>
  <si>
    <t>Channel</t>
  </si>
  <si>
    <t>S2_ISP00+</t>
  </si>
  <si>
    <t>S2_1TX_100DCH001+</t>
  </si>
  <si>
    <t>S2_ISP00-</t>
  </si>
  <si>
    <t>S2_1TX_100DCH001-</t>
  </si>
  <si>
    <t>S2_1TX_100DCH002+</t>
  </si>
  <si>
    <t>S2_1TX_100DCH002-</t>
  </si>
  <si>
    <t>S2_1TX_100DCH003+</t>
  </si>
  <si>
    <t>S2_1TX_100DCH003-</t>
  </si>
  <si>
    <t>S2_1TX_100DCH004+</t>
  </si>
  <si>
    <t>S2_1TX_100DCH004-</t>
  </si>
  <si>
    <t>S2_1TX_100DCH005+</t>
  </si>
  <si>
    <t>S2_1TX_100DCH005-</t>
  </si>
  <si>
    <t>S2_1TX_100DCH006+</t>
  </si>
  <si>
    <t>S2_1TX_100DCH006-</t>
  </si>
  <si>
    <t>S2_1TX_100DCH007+</t>
  </si>
  <si>
    <t>S2_1TX_100DCH007-</t>
  </si>
  <si>
    <t>S2_2TX_100DCH001+</t>
  </si>
  <si>
    <t>S2_2TX_100DCH001-</t>
  </si>
  <si>
    <t>S2_2TX_100DCH002+</t>
  </si>
  <si>
    <t>S2_2TX_100DCH002-</t>
  </si>
  <si>
    <t>S2_2TX_100DCH003+</t>
  </si>
  <si>
    <t>S2_2TX_100DCH003-</t>
  </si>
  <si>
    <t>S2_2TX_100DCH004+</t>
  </si>
  <si>
    <t>S2_2TX_100DCH004-</t>
  </si>
  <si>
    <t>S2_2TX_100DCH005+</t>
  </si>
  <si>
    <t>S2_2TX_100DCH005-</t>
  </si>
  <si>
    <t>S2_2TX_100DCH006+</t>
  </si>
  <si>
    <t>S2_2TX_100DCH006-</t>
  </si>
  <si>
    <t>S2_2TX_100DCH007+</t>
  </si>
  <si>
    <t>S2_2TX_100DCH007-</t>
  </si>
  <si>
    <t>S2_ISP14+</t>
  </si>
  <si>
    <t>S2_ISP14-</t>
  </si>
  <si>
    <t>S2_3TX_100DCH002+</t>
  </si>
  <si>
    <t>S2_3TX_100DCH002-</t>
  </si>
  <si>
    <t>S2_3TX_100DCH003+</t>
  </si>
  <si>
    <t>S2_3TX_100DCH003-</t>
  </si>
  <si>
    <t>S2_3TX_100DCH004+</t>
  </si>
  <si>
    <t>S2_3TX_100DCH004-</t>
  </si>
  <si>
    <t>S2_3TX_100DCH005+</t>
  </si>
  <si>
    <t>S2_3TX_100DCH005-</t>
  </si>
  <si>
    <t>S2_3TX_100DCH006+</t>
  </si>
  <si>
    <t>S2_3TX_100DCH006-</t>
  </si>
  <si>
    <t>S2_3TX_100DCH007+</t>
  </si>
  <si>
    <t>S2_3TX_100DCH007-</t>
  </si>
  <si>
    <t>S2_4TX_100DCH001+</t>
  </si>
  <si>
    <t>S2_4TX_100DCH001-</t>
  </si>
  <si>
    <t>S2_4TX_100DCH002+</t>
  </si>
  <si>
    <t>S2_4TX_100DCH002-</t>
  </si>
  <si>
    <t>S2_4TX_100DCH003+</t>
  </si>
  <si>
    <t>S2_4TX_100DCH003-</t>
  </si>
  <si>
    <t>S2_4TX_100DCH004+</t>
  </si>
  <si>
    <t>S2_4TX_100DCH004-</t>
  </si>
  <si>
    <t>S2_4TX_100DCH005+</t>
  </si>
  <si>
    <t>S2_4TX_100DCH005-</t>
  </si>
  <si>
    <t>S2_4TX_100DCH006+</t>
  </si>
  <si>
    <t>S2_4TX_100DCH006-</t>
  </si>
  <si>
    <t>S2_4TX_100DCH007+</t>
  </si>
  <si>
    <t>S2_4TX_100DCH007-</t>
  </si>
  <si>
    <t>S3_ISP00+</t>
  </si>
  <si>
    <t>S3_1TX_100DCH001+</t>
  </si>
  <si>
    <t>S3_ISP00-</t>
  </si>
  <si>
    <t>S3_1TX_100DCH001-</t>
  </si>
  <si>
    <t>S3_1TX_100DCH002+</t>
  </si>
  <si>
    <t>S3_1TX_100DCH002-</t>
  </si>
  <si>
    <t>S3_1TX_100DCH003+</t>
  </si>
  <si>
    <t>S3_1TX_100DCH003-</t>
  </si>
  <si>
    <t>S3_1TX_100DCH004+</t>
  </si>
  <si>
    <t>S3_1TX_100DCH004-</t>
  </si>
  <si>
    <t>S3_1TX_100DCH005+</t>
  </si>
  <si>
    <t>S3_1TX_100DCH005-</t>
  </si>
  <si>
    <t>S3_1TX_100DCH006+</t>
  </si>
  <si>
    <t>S3_1TX_100DCH006-</t>
  </si>
  <si>
    <t>S3_1TX_100DCH007+</t>
  </si>
  <si>
    <t>S3_1TX_100DCH007-</t>
  </si>
  <si>
    <t>S3_2TX_100DCH001+</t>
  </si>
  <si>
    <t>S3_2TX_100DCH001-</t>
  </si>
  <si>
    <t>S3_2TX_100DCH002+</t>
  </si>
  <si>
    <t>S3_2TX_100DCH002-</t>
  </si>
  <si>
    <t>S3_2TX_100DCH003+</t>
  </si>
  <si>
    <t>S3_2TX_100DCH003-</t>
  </si>
  <si>
    <t>S3_2TX_100DCH004+</t>
  </si>
  <si>
    <t>S3_2TX_100DCH004-</t>
  </si>
  <si>
    <t>S3_2TX_100DCH005+</t>
  </si>
  <si>
    <t>S3_2TX_100DCH005-</t>
  </si>
  <si>
    <t>S3_2TX_100DCH006+</t>
  </si>
  <si>
    <t>S3_2TX_100DCH006-</t>
  </si>
  <si>
    <t>S3_2TX_100DCH007+</t>
  </si>
  <si>
    <t>S3_2TX_100DCH007-</t>
  </si>
  <si>
    <t>S3_ISP14+</t>
  </si>
  <si>
    <t>S3_ISP14-</t>
  </si>
  <si>
    <t>S3_3TX_100DCH002+</t>
  </si>
  <si>
    <t>S3_3TX_100DCH002-</t>
  </si>
  <si>
    <t>S3_3TX_100DCH003+</t>
  </si>
  <si>
    <t>S3_3TX_100DCH003-</t>
  </si>
  <si>
    <t>S3_3TX_100DCH004+</t>
  </si>
  <si>
    <t>S3_3TX_100DCH004-</t>
  </si>
  <si>
    <t>S3_3TX_100DCH005+</t>
  </si>
  <si>
    <t>S3_3TX_100DCH005-</t>
  </si>
  <si>
    <t>S3_3TX_100DCH006+</t>
  </si>
  <si>
    <t>S3_3TX_100DCH006-</t>
  </si>
  <si>
    <t>S3_3TX_100DCH007+</t>
  </si>
  <si>
    <t>S3_3TX_100DCH007-</t>
  </si>
  <si>
    <t>S3_4TX_100DCH001+</t>
  </si>
  <si>
    <t>S3_4TX_100DCH001-</t>
  </si>
  <si>
    <t>S3_4TX_100DCH002+</t>
  </si>
  <si>
    <t>S3_4TX_100DCH002-</t>
  </si>
  <si>
    <t>S3_4TX_100DCH003+</t>
  </si>
  <si>
    <t>S3_4TX_100DCH003-</t>
  </si>
  <si>
    <t>S3_4TX_100DCH004+</t>
  </si>
  <si>
    <t>S3_4TX_100DCH004-</t>
  </si>
  <si>
    <t>S3_4TX_100DCH005+</t>
  </si>
  <si>
    <t>S3_4TX_100DCH005-</t>
  </si>
  <si>
    <t>S3_4TX_100DCH006+</t>
  </si>
  <si>
    <t>S3_4TX_100DCH006-</t>
  </si>
  <si>
    <t>S3_4TX_100DCH007+</t>
  </si>
  <si>
    <t>S3_4TX_100DCH007-</t>
  </si>
  <si>
    <t>S4_ISP00+</t>
  </si>
  <si>
    <t>S4_1TX_100DCH001+</t>
  </si>
  <si>
    <t>S4_ISP00-</t>
  </si>
  <si>
    <t>S4_1TX_100DCH001-</t>
  </si>
  <si>
    <t>S4_1TX_100DCH002+</t>
  </si>
  <si>
    <t>S4_1TX_100DCH002-</t>
  </si>
  <si>
    <t>S4_1TX_100DCH003+</t>
  </si>
  <si>
    <t>S4_1TX_100DCH003-</t>
  </si>
  <si>
    <t>S4_1TX_100DCH004+</t>
  </si>
  <si>
    <t>S4_1TX_100DCH004-</t>
  </si>
  <si>
    <t>S4_1TX_100DCH005+</t>
  </si>
  <si>
    <t>S4_1TX_100DCH005-</t>
  </si>
  <si>
    <t>S4_1TX_100DCH006+</t>
  </si>
  <si>
    <t>S4_1TX_100DCH006-</t>
  </si>
  <si>
    <t>S4_1TX_100DCH007+</t>
  </si>
  <si>
    <t>S4_1TX_100DCH007-</t>
  </si>
  <si>
    <t>S4_2TX_100DCH001+</t>
  </si>
  <si>
    <t>S4_2TX_100DCH001-</t>
  </si>
  <si>
    <t>S4_2TX_100DCH002+</t>
  </si>
  <si>
    <t>S4_2TX_100DCH002-</t>
  </si>
  <si>
    <t>S4_2TX_100DCH003+</t>
  </si>
  <si>
    <t>S4_2TX_100DCH003-</t>
  </si>
  <si>
    <t>S4_2TX_100DCH004+</t>
  </si>
  <si>
    <t>S4_2TX_100DCH004-</t>
  </si>
  <si>
    <t>S4_2TX_100DCH005+</t>
  </si>
  <si>
    <t>S4_2TX_100DCH005-</t>
  </si>
  <si>
    <t>S4_2TX_100DCH006+</t>
  </si>
  <si>
    <t>S4_2TX_100DCH006-</t>
  </si>
  <si>
    <t>S4_2TX_100DCH007+</t>
  </si>
  <si>
    <t>S4_2TX_100DCH007-</t>
  </si>
  <si>
    <t>S4_ISP14+</t>
  </si>
  <si>
    <t>S4_ISP14-</t>
  </si>
  <si>
    <t>S4_3TX_100DCH002+</t>
  </si>
  <si>
    <t>S4_3TX_100DCH002-</t>
  </si>
  <si>
    <t>S4_3TX_100DCH003+</t>
  </si>
  <si>
    <t>S4_3TX_100DCH003-</t>
  </si>
  <si>
    <t>S4_3TX_100DCH004+</t>
  </si>
  <si>
    <t>S4_3TX_100DCH004-</t>
  </si>
  <si>
    <t>S4_3TX_100DCH005+</t>
  </si>
  <si>
    <t>S4_3TX_100DCH005-</t>
  </si>
  <si>
    <t>S4_3TX_100DCH006+</t>
  </si>
  <si>
    <t>S4_3TX_100DCH006-</t>
  </si>
  <si>
    <t>S4_3TX_100DCH007+</t>
  </si>
  <si>
    <t>S4_3TX_100DCH007-</t>
  </si>
  <si>
    <t>S4_4TX_100DCH001+</t>
  </si>
  <si>
    <t>S4_4TX_100DCH001-</t>
  </si>
  <si>
    <t>S4_4TX_100DCH002+</t>
  </si>
  <si>
    <t>S4_4TX_100DCH002-</t>
  </si>
  <si>
    <t>S4_4TX_100DCH003+</t>
  </si>
  <si>
    <t>S4_4TX_100DCH003-</t>
  </si>
  <si>
    <t>S4_4TX_100DCH004+</t>
  </si>
  <si>
    <t>S4_4TX_100DCH004-</t>
  </si>
  <si>
    <t>S4_4TX_100DCH005+</t>
  </si>
  <si>
    <t>S4_4TX_100DCH005-</t>
  </si>
  <si>
    <t>S4_4TX_100DCH006+</t>
  </si>
  <si>
    <t>S4_4TX_100DCH006-</t>
  </si>
  <si>
    <t>S4_4TX_100DCH007+</t>
  </si>
  <si>
    <t>S4_4TX_100DCH007-</t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</si>
  <si>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</si>
  <si>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S4_ELVRX_100DCH001-</t>
  </si>
  <si>
    <t>S4_ELVRX_100DCH001+</t>
  </si>
  <si>
    <t>S4_ELVRX_100DCH002-</t>
  </si>
  <si>
    <t>S4_ELVRX_100DCH002+</t>
  </si>
  <si>
    <t>S4_ELVRX_100DCH003-</t>
  </si>
  <si>
    <t>S4_ELVRX_100DCH003+</t>
  </si>
  <si>
    <t>S4_ELVRX_100DCH004-</t>
  </si>
  <si>
    <t>S4_ELVRX_100DCH004+</t>
  </si>
  <si>
    <t>S4_ELVRX_100DCH005-</t>
  </si>
  <si>
    <t>S4_ELVRX_100DCH005+</t>
  </si>
  <si>
    <t>S4_ELVRX_100DCH006-</t>
  </si>
  <si>
    <t>S4_ELVRX_100DCH006+</t>
  </si>
  <si>
    <t>S3_ELVRX_100DCH001-</t>
  </si>
  <si>
    <t>S3_ELVRX_100DCH001+</t>
  </si>
  <si>
    <t>S3_ELVRX_100DCH002-</t>
  </si>
  <si>
    <t>S3_ELVRX_100DCH002+</t>
  </si>
  <si>
    <t>S3_ELVRX_100DCH003-</t>
  </si>
  <si>
    <t>S3_ELVRX_100DCH003+</t>
  </si>
  <si>
    <t>S3_ELVRX_100DCH004-</t>
  </si>
  <si>
    <t>S3_ELVRX_100DCH004+</t>
  </si>
  <si>
    <t>S3_ELVRX_100DCH005-</t>
  </si>
  <si>
    <t>S3_ELVRX_100DCH005+</t>
  </si>
  <si>
    <t>S3_ELVRX_100DCH006-</t>
  </si>
  <si>
    <t>S3_ELVRX_100DCH006+</t>
  </si>
  <si>
    <t>S2_ELVRX_100DCH001-</t>
  </si>
  <si>
    <t>S2_ELVRX_100DCH001+</t>
  </si>
  <si>
    <t>S2_ELVRX_100DCH002-</t>
  </si>
  <si>
    <t>S2_ELVRX_100DCH002+</t>
  </si>
  <si>
    <t>S2_ELVRX_100DCH003-</t>
  </si>
  <si>
    <t>S2_ELVRX_100DCH003+</t>
  </si>
  <si>
    <t>S2_ELVRX_100DCH004-</t>
  </si>
  <si>
    <t>S2_ELVRX_100DCH004+</t>
  </si>
  <si>
    <t>S2_ELVRX_100DCH005-</t>
  </si>
  <si>
    <t>S2_ELVRX_100DCH005+</t>
  </si>
  <si>
    <t>S2_ELVRX_100DCH006-</t>
  </si>
  <si>
    <t>S2_ELVRX_100DCH006+</t>
  </si>
  <si>
    <t>S4_OLVRX_100DCH001-</t>
  </si>
  <si>
    <t>S4_OLVRX_100DCH001+</t>
  </si>
  <si>
    <t>S4_OLVRX_100DCH002-</t>
  </si>
  <si>
    <t>S4_OLVRX_100DCH002+</t>
  </si>
  <si>
    <t>S4_OLVRX_100DCH003-</t>
  </si>
  <si>
    <t>S4_OLVRX_100DCH003+</t>
  </si>
  <si>
    <t>S4_OLVRX_100DCH004-</t>
  </si>
  <si>
    <t>S4_OLVRX_100DCH004+</t>
  </si>
  <si>
    <t>S4_OLVRX_100DCH005-</t>
  </si>
  <si>
    <t>S4_OLVRX_100DCH005+</t>
  </si>
  <si>
    <t>S4_OLVRX_100DCH006-</t>
  </si>
  <si>
    <t>S4_OLVRX_100DCH006+</t>
  </si>
  <si>
    <t>S3_OLVRX_100DCH001-</t>
  </si>
  <si>
    <t>S3_OLVRX_100DCH001+</t>
  </si>
  <si>
    <t>S3_OLVRX_100DCH002-</t>
  </si>
  <si>
    <t>S3_OLVRX_100DCH002+</t>
  </si>
  <si>
    <t>S3_OLVRX_100DCH003-</t>
  </si>
  <si>
    <t>S3_OLVRX_100DCH003+</t>
  </si>
  <si>
    <t>S3_OLVRX_100DCH004-</t>
  </si>
  <si>
    <t>S3_OLVRX_100DCH004+</t>
  </si>
  <si>
    <t>S3_OLVRX_100DCH005-</t>
  </si>
  <si>
    <t>S3_OLVRX_100DCH005+</t>
  </si>
  <si>
    <t>S3_OLVRX_100DCH006-</t>
  </si>
  <si>
    <t>S3_OLVRX_100DCH006+</t>
  </si>
  <si>
    <t>S2_OLVRX_100DCH001-</t>
  </si>
  <si>
    <t>S2_OLVRX_100DCH001+</t>
  </si>
  <si>
    <t>S2_OLVRX_100DCH002-</t>
  </si>
  <si>
    <t>S2_OLVRX_100DCH002+</t>
  </si>
  <si>
    <t>S2_OLVRX_100DCH003-</t>
  </si>
  <si>
    <t>S2_OLVRX_100DCH003+</t>
  </si>
  <si>
    <t>S2_OLVRX_100DCH004-</t>
  </si>
  <si>
    <t>S2_OLVRX_100DCH004+</t>
  </si>
  <si>
    <t>S2_OLVRX_100DCH005-</t>
  </si>
  <si>
    <t>S2_OLVRX_100DCH005+</t>
  </si>
  <si>
    <t>S2_OLVRX_100DCH006-</t>
  </si>
  <si>
    <t>S2_OLVRX_100DCH006+</t>
  </si>
  <si>
    <t>S1_AUX_100DCH001+</t>
    <phoneticPr fontId="1" type="noConversion"/>
  </si>
  <si>
    <t>S1_AUX_100DCH001-</t>
    <phoneticPr fontId="1" type="noConversion"/>
  </si>
  <si>
    <t>S2_AUX_100DCH001+</t>
  </si>
  <si>
    <t>S2_AUX_100DCH001-</t>
  </si>
  <si>
    <t>S3_AUXCH+</t>
  </si>
  <si>
    <t>S3_AUX_100DCH001+</t>
  </si>
  <si>
    <t>S3_AUXCH-</t>
  </si>
  <si>
    <t>S3_AUX_100DCH001-</t>
  </si>
  <si>
    <t>S4_AUXCH+</t>
  </si>
  <si>
    <t>S4_AUX_100DCH001+</t>
  </si>
  <si>
    <t>S4_AUXCH-</t>
  </si>
  <si>
    <t>S4_AUX_100DCH001-</t>
  </si>
  <si>
    <r>
      <rPr>
        <b/>
        <sz val="12"/>
        <color rgb="FFFF0000"/>
        <rFont val="細明體"/>
        <family val="3"/>
        <charset val="136"/>
      </rPr>
      <t>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</si>
  <si>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S1_AUX_100DCH002+</t>
    <phoneticPr fontId="1" type="noConversion"/>
  </si>
  <si>
    <t>S1_AUX_100DCH002-</t>
    <phoneticPr fontId="1" type="noConversion"/>
  </si>
  <si>
    <t>S4_1AUX+</t>
  </si>
  <si>
    <t>S4_2AUX+</t>
  </si>
  <si>
    <t>S4_AUX_100DCH002+</t>
  </si>
  <si>
    <t>S4_1AUX-</t>
  </si>
  <si>
    <t>S4_2AUX-</t>
  </si>
  <si>
    <t>S4_AUX_100DCH002-</t>
  </si>
  <si>
    <t>S3_1AUX+</t>
  </si>
  <si>
    <t>S3_2AUX+</t>
  </si>
  <si>
    <t>S3_AUX_100DCH002+</t>
  </si>
  <si>
    <t>S3_1AUX-</t>
  </si>
  <si>
    <t>S3_2AUX-</t>
  </si>
  <si>
    <t>S3_AUX_100DCH002-</t>
  </si>
  <si>
    <t>S2_AUX_100DCH002+</t>
  </si>
  <si>
    <t>S2_AUX_100DCH002-</t>
  </si>
  <si>
    <t>Site3</t>
  </si>
  <si>
    <t>Site4</t>
  </si>
  <si>
    <t>S3_SPI_CSN</t>
  </si>
  <si>
    <t>S3_1SPI_CSN</t>
  </si>
  <si>
    <t>S3_SPI_1_CSN</t>
  </si>
  <si>
    <t>S3_SPI_SCK</t>
  </si>
  <si>
    <t>S3_1SPI_SCK</t>
  </si>
  <si>
    <t>S3_SPI_1_SCK</t>
  </si>
  <si>
    <t>S3_SPI_SDI</t>
  </si>
  <si>
    <t>S3_1SPI_SDI</t>
  </si>
  <si>
    <t>S3_SPI_1_SDI</t>
  </si>
  <si>
    <t>S3_SPI_11_SDI</t>
  </si>
  <si>
    <t>S3_SPI_SDO</t>
  </si>
  <si>
    <t>S3_1SPI_SDO</t>
  </si>
  <si>
    <t>S3_SPI_1_SDO</t>
  </si>
  <si>
    <t>S3_SPI_11_SDO</t>
  </si>
  <si>
    <t>S4_SPI_CSN</t>
  </si>
  <si>
    <t>S4_1SPI_CSN</t>
  </si>
  <si>
    <t>S4_SPI_1_CSN</t>
  </si>
  <si>
    <t>S4_SPI_SCK</t>
  </si>
  <si>
    <t>S4_1SPI_SCK</t>
  </si>
  <si>
    <t>S4_SPI_1_SCK</t>
  </si>
  <si>
    <t>S4_SPI_SDI</t>
  </si>
  <si>
    <t>S4_1SPI_SDI</t>
  </si>
  <si>
    <t>S4_SPI_1_SDI</t>
  </si>
  <si>
    <t>S4_SPI_11_SDI</t>
  </si>
  <si>
    <t>S4_SPI_SDO</t>
  </si>
  <si>
    <t>S4_1SPI_SDO</t>
  </si>
  <si>
    <t>S4_SPI_1_SDO</t>
  </si>
  <si>
    <t>S4_SPI_11_SDO</t>
  </si>
  <si>
    <t>S4_SPI_2_CSN</t>
  </si>
  <si>
    <t>S4_SPI_2_SCK</t>
  </si>
  <si>
    <t>S4_SPI_2_SDI</t>
  </si>
  <si>
    <t>S4_SPI_22_SDI</t>
  </si>
  <si>
    <t>S4_SPI_2_SDO</t>
  </si>
  <si>
    <t>S4_SPI_22_SDO</t>
  </si>
  <si>
    <t>S3_SPI_2_CSN</t>
  </si>
  <si>
    <t>S3_SPI_2_SCK</t>
  </si>
  <si>
    <t>S3_SPI_2_SDI</t>
  </si>
  <si>
    <t>S3_SPI_22_SDI</t>
  </si>
  <si>
    <t>S3_SPI_2_SDO</t>
  </si>
  <si>
    <t>S3_SPI_22_SDO</t>
  </si>
  <si>
    <r>
      <t>DUT-&gt; U1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</si>
  <si>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r>
      <t>DUT-&gt; U2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</si>
  <si>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S1_SCAN_DCH051</t>
  </si>
  <si>
    <t>S1_SCAN_DCH050</t>
  </si>
  <si>
    <t>S1_SCAN_DCH053</t>
  </si>
  <si>
    <t>S1_SCAN_DCH052</t>
  </si>
  <si>
    <t>S2_SCAN_DCH024</t>
  </si>
  <si>
    <t>S2_SCAN_DCH025</t>
  </si>
  <si>
    <t>S2_SCAN_DCH026</t>
  </si>
  <si>
    <t>S2_SCAN_DCH031</t>
  </si>
  <si>
    <t>S2_SCAN_DCH032</t>
  </si>
  <si>
    <t>S2_SCAN_DCH033</t>
  </si>
  <si>
    <t>S2_SCAN_DCH034</t>
  </si>
  <si>
    <t>S2_SCAN_DCH051</t>
  </si>
  <si>
    <t>S2_SCAN_DCH050</t>
  </si>
  <si>
    <t>S2_SCAN_DCH053</t>
  </si>
  <si>
    <t>S2_SCAN_DCH052</t>
  </si>
  <si>
    <t>S3_SCAN_DCH008</t>
  </si>
  <si>
    <t>S3_SCAN_DCH012</t>
  </si>
  <si>
    <t>S3_SCAN_DCH013</t>
  </si>
  <si>
    <t>S3_SCAN_DCH016</t>
  </si>
  <si>
    <t>S3_SCAN_DCH017</t>
  </si>
  <si>
    <t>S3_SCAN_DCH018</t>
  </si>
  <si>
    <t>S3_SCAN_DCH019</t>
  </si>
  <si>
    <t>S3_SCAN_DCH020</t>
  </si>
  <si>
    <t>S3_SCAN_DCH021</t>
  </si>
  <si>
    <t>S3_SCAN_DCH024</t>
  </si>
  <si>
    <t>S3_SCAN_DCH025</t>
  </si>
  <si>
    <t>S3_SCAN_DCH026</t>
  </si>
  <si>
    <t>S3_SCAN_DCH031</t>
  </si>
  <si>
    <t>S3_SCAN_DCH032</t>
  </si>
  <si>
    <t>S3_SCAN_DCH033</t>
  </si>
  <si>
    <t>S3_SCAN_DCH034</t>
  </si>
  <si>
    <t>S3_SCAN_DCH051</t>
  </si>
  <si>
    <t>S3_SCAN_DCH050</t>
  </si>
  <si>
    <t>S3_SCAN_DCH053</t>
  </si>
  <si>
    <t>S3_SCAN_DCH052</t>
  </si>
  <si>
    <t>S4_SCAN_DCH008</t>
  </si>
  <si>
    <t>S4_SCAN_DCH012</t>
  </si>
  <si>
    <t>S4_SCAN_DCH013</t>
  </si>
  <si>
    <t>S4_SCAN_DCH016</t>
  </si>
  <si>
    <t>S4_SCAN_DCH017</t>
  </si>
  <si>
    <t>S4_SCAN_DCH018</t>
  </si>
  <si>
    <t>S4_SCAN_DCH019</t>
  </si>
  <si>
    <t>S4_SCAN_DCH020</t>
  </si>
  <si>
    <t>S4_SCAN_DCH021</t>
  </si>
  <si>
    <t>S4_SCAN_DCH024</t>
  </si>
  <si>
    <t>S4_SCAN_DCH025</t>
  </si>
  <si>
    <t>S4_SCAN_DCH026</t>
  </si>
  <si>
    <t>S4_SCAN_DCH031</t>
  </si>
  <si>
    <t>S4_SCAN_DCH032</t>
  </si>
  <si>
    <t>S4_SCAN_DCH033</t>
  </si>
  <si>
    <t>S4_SCAN_DCH034</t>
  </si>
  <si>
    <t>S4_SCAN_DCH051</t>
  </si>
  <si>
    <t>S4_SCAN_DCH050</t>
  </si>
  <si>
    <t>S4_SCAN_DCH053</t>
  </si>
  <si>
    <t>S4_SCAN_DCH052</t>
  </si>
  <si>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</si>
  <si>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S1_Rx_85Dch004-</t>
  </si>
  <si>
    <t>D32116</t>
  </si>
  <si>
    <t>S1_Rx_85Dch004+</t>
  </si>
  <si>
    <t>D32114</t>
  </si>
  <si>
    <t>S1_Rx_85Dch003-</t>
  </si>
  <si>
    <t>D32112</t>
  </si>
  <si>
    <t>S1_Rx_85Dch003+</t>
  </si>
  <si>
    <t>D32110</t>
  </si>
  <si>
    <t>S1_Rx_85Dch002-</t>
  </si>
  <si>
    <t>D32108</t>
  </si>
  <si>
    <t>S1_Rx_85Dch002+</t>
  </si>
  <si>
    <t>D32106</t>
  </si>
  <si>
    <t>S1_Rx_85Dch001-</t>
  </si>
  <si>
    <t>D32104</t>
  </si>
  <si>
    <t>S1_Rx_85Dch001+</t>
  </si>
  <si>
    <t>D32102</t>
  </si>
  <si>
    <t>S3_Rx_85Dch004-</t>
  </si>
  <si>
    <t>D31716</t>
  </si>
  <si>
    <t>S3_Rx_85Dch004+</t>
  </si>
  <si>
    <t>D31714</t>
  </si>
  <si>
    <t>S3_Rx_85Dch003-</t>
  </si>
  <si>
    <t>D31712</t>
  </si>
  <si>
    <t>S3_Rx_85Dch003+</t>
  </si>
  <si>
    <t>D31710</t>
  </si>
  <si>
    <t>S3_Rx_85Dch002-</t>
  </si>
  <si>
    <t>D31708</t>
  </si>
  <si>
    <t>S3_Rx_85Dch002+</t>
  </si>
  <si>
    <t>D31706</t>
  </si>
  <si>
    <t>S3_Rx_85Dch001-</t>
  </si>
  <si>
    <t>D31704</t>
  </si>
  <si>
    <t>S3_Rx_85Dch001+</t>
  </si>
  <si>
    <t>D31702</t>
  </si>
  <si>
    <t>S2_Rx_85Dch004-</t>
  </si>
  <si>
    <t>D30516</t>
  </si>
  <si>
    <t>S2_Rx_85Dch004+</t>
  </si>
  <si>
    <t>D30514</t>
  </si>
  <si>
    <t>S2_Rx_85Dch003-</t>
  </si>
  <si>
    <t>D30512</t>
  </si>
  <si>
    <t>S2_Rx_85Dch003+</t>
  </si>
  <si>
    <t>D30510</t>
  </si>
  <si>
    <t>S2_Rx_85Dch002-</t>
  </si>
  <si>
    <t>D30508</t>
  </si>
  <si>
    <t>S2_Rx_85Dch002+</t>
  </si>
  <si>
    <t>D30506</t>
  </si>
  <si>
    <t>S2_Rx_85Dch001-</t>
  </si>
  <si>
    <t>D30504</t>
  </si>
  <si>
    <t>S2_Rx_85Dch001+</t>
  </si>
  <si>
    <t>D30502</t>
  </si>
  <si>
    <t>S4_Rx_85Dch004-</t>
  </si>
  <si>
    <t>D30116</t>
  </si>
  <si>
    <t>S4_Rx_85Dch004+</t>
  </si>
  <si>
    <t>D30114</t>
  </si>
  <si>
    <t>S4_Rx_85Dch003-</t>
  </si>
  <si>
    <t>D30112</t>
  </si>
  <si>
    <t>S4_Rx_85Dch003+</t>
  </si>
  <si>
    <t>D30110</t>
  </si>
  <si>
    <t>S4_Rx_85Dch002-</t>
  </si>
  <si>
    <t>D30108</t>
  </si>
  <si>
    <t>S4_Rx_85Dch002+</t>
  </si>
  <si>
    <t>D30106</t>
  </si>
  <si>
    <t>S4_Rx_85Dch001-</t>
  </si>
  <si>
    <t>D30104</t>
  </si>
  <si>
    <t>S4_Rx_85Dch001+</t>
  </si>
  <si>
    <t>D30102</t>
  </si>
  <si>
    <t>S3_Elvrx_100Dch001-</t>
  </si>
  <si>
    <t>D13016</t>
  </si>
  <si>
    <t>S3_Elvrx_100Dch005-</t>
  </si>
  <si>
    <t>D13015</t>
  </si>
  <si>
    <t>S3_Elvrx_100Dch001+</t>
  </si>
  <si>
    <t>D13014</t>
  </si>
  <si>
    <t>S3_Elvrx_100Dch005+</t>
  </si>
  <si>
    <t>D13013</t>
  </si>
  <si>
    <t>S3_Elvrx_100Dch003-</t>
  </si>
  <si>
    <t>D13012</t>
  </si>
  <si>
    <t>S3_Elvrx_100Dch006-</t>
  </si>
  <si>
    <t>D13011</t>
  </si>
  <si>
    <t>S3_Elvrx_100Dch003+</t>
  </si>
  <si>
    <t>D13010</t>
  </si>
  <si>
    <t>S3_Elvrx_100Dch006+</t>
  </si>
  <si>
    <t>D13009</t>
  </si>
  <si>
    <t>S3_Olvrx_100Dch001-</t>
  </si>
  <si>
    <t>D12916</t>
  </si>
  <si>
    <t>S3_Elvrx_100Dch002-</t>
  </si>
  <si>
    <t>D12915</t>
  </si>
  <si>
    <t>S3_Olvrx_100Dch001+</t>
  </si>
  <si>
    <t>D12914</t>
  </si>
  <si>
    <t>S3_Elvrx_100Dch002+</t>
  </si>
  <si>
    <t>D12913</t>
  </si>
  <si>
    <t>S3_Olvrx_100Dch006-</t>
  </si>
  <si>
    <t>D12912</t>
  </si>
  <si>
    <t>S3_Elvrx_100Dch004-</t>
  </si>
  <si>
    <t>D12911</t>
  </si>
  <si>
    <t>S3_Olvrx_100Dch006+</t>
  </si>
  <si>
    <t>D12910</t>
  </si>
  <si>
    <t>S3_Elvrx_100Dch004+</t>
  </si>
  <si>
    <t>D12909</t>
  </si>
  <si>
    <t>S3_Olvrx_100Dch004-</t>
  </si>
  <si>
    <t>D12908</t>
  </si>
  <si>
    <t>S3_Olvrx_100Dch003-</t>
  </si>
  <si>
    <t>D12907</t>
  </si>
  <si>
    <t>S3_Olvrx_100Dch004+</t>
  </si>
  <si>
    <t>D12906</t>
  </si>
  <si>
    <t>S3_Olvrx_100Dch003+</t>
  </si>
  <si>
    <t>D12905</t>
  </si>
  <si>
    <t>S3_Olvrx_100Dch002-</t>
  </si>
  <si>
    <t>D12904</t>
  </si>
  <si>
    <t>S3_Olvrx_100Dch005+</t>
  </si>
  <si>
    <t>D12903</t>
  </si>
  <si>
    <t>S3_Olvrx_100Dch002+</t>
  </si>
  <si>
    <t>D12902</t>
  </si>
  <si>
    <t>S3_Olvrx_100Dch005-</t>
  </si>
  <si>
    <t>D12901</t>
  </si>
  <si>
    <t>S1_Elvrx_100Dch004-</t>
  </si>
  <si>
    <t>D12616</t>
  </si>
  <si>
    <t>S1_Elvrx_100Dch003-</t>
  </si>
  <si>
    <t>D12615</t>
  </si>
  <si>
    <t>S1_Elvrx_100Dch004+</t>
  </si>
  <si>
    <t>D12614</t>
  </si>
  <si>
    <t>S1_Elvrx_100Dch003+</t>
  </si>
  <si>
    <t>D12613</t>
  </si>
  <si>
    <t>S1_Elvrx_100Dch005-</t>
  </si>
  <si>
    <t>D12612</t>
  </si>
  <si>
    <t>S1_Elvrx_100Dch006-</t>
  </si>
  <si>
    <t>D12611</t>
  </si>
  <si>
    <t>S1_Elvrx_100Dch005+</t>
  </si>
  <si>
    <t>D12610</t>
  </si>
  <si>
    <t>S1_Elvrx_100Dch006+</t>
  </si>
  <si>
    <t>D12609</t>
  </si>
  <si>
    <t>S1_Olvrx_100Dch005-</t>
  </si>
  <si>
    <t>D12516</t>
  </si>
  <si>
    <t>S1_Olvrx_100Dch003-</t>
  </si>
  <si>
    <t>D12515</t>
  </si>
  <si>
    <t>S1_Olvrx_100Dch005+</t>
  </si>
  <si>
    <t>D12514</t>
  </si>
  <si>
    <t>S1_Olvrx_100Dch003+</t>
  </si>
  <si>
    <t>D12513</t>
  </si>
  <si>
    <t>S1_Olvrx_100Dch004-</t>
  </si>
  <si>
    <t>D12512</t>
  </si>
  <si>
    <t>S1_Olvrx_100Dch006-</t>
  </si>
  <si>
    <t>D12511</t>
  </si>
  <si>
    <t>S1_Olvrx_100Dch004+</t>
  </si>
  <si>
    <t>D12510</t>
  </si>
  <si>
    <t>S1_Olvrx_100Dch006+</t>
  </si>
  <si>
    <t>D12509</t>
  </si>
  <si>
    <t>S1_Elvrx_100Dch002-</t>
  </si>
  <si>
    <t>D12508</t>
  </si>
  <si>
    <t>S1_Olvrx_100Dch001-</t>
  </si>
  <si>
    <t>D12507</t>
  </si>
  <si>
    <t>S1_Elvrx_100Dch002+</t>
  </si>
  <si>
    <t>D12506</t>
  </si>
  <si>
    <t>S1_Olvrx_100Dch001+</t>
  </si>
  <si>
    <t>D12505</t>
  </si>
  <si>
    <t>S1_Elvrx_100Dch001-</t>
  </si>
  <si>
    <t>D12504</t>
  </si>
  <si>
    <t>S1_Olvrx_100Dch002-</t>
  </si>
  <si>
    <t>D12503</t>
  </si>
  <si>
    <t>S1_Elvrx_100Dch001+</t>
  </si>
  <si>
    <t>D12502</t>
  </si>
  <si>
    <t>S1_Olvrx_100Dch002+</t>
  </si>
  <si>
    <t>D12501</t>
  </si>
  <si>
    <t>S2_Elvrx_100Dch001-</t>
  </si>
  <si>
    <t>D11308</t>
  </si>
  <si>
    <t>S2_Elvrx_100Dch006-</t>
  </si>
  <si>
    <t>D11307</t>
  </si>
  <si>
    <t>S2_Elvrx_100Dch001+</t>
  </si>
  <si>
    <t>D11306</t>
  </si>
  <si>
    <t>S2_Elvrx_100Dch006+</t>
  </si>
  <si>
    <t>D11305</t>
  </si>
  <si>
    <t>S2_Elvrx_100Dch002-</t>
  </si>
  <si>
    <t>D11304</t>
  </si>
  <si>
    <t>S2_Olvrx_100Dch003-</t>
  </si>
  <si>
    <t>D11303</t>
  </si>
  <si>
    <t>S2_Elvrx_100Dch002+</t>
  </si>
  <si>
    <t>D11302</t>
  </si>
  <si>
    <t>S2_Olvrx_100Dch003+</t>
  </si>
  <si>
    <t>D11301</t>
  </si>
  <si>
    <t>S2_Elvrx_100Dch004-</t>
  </si>
  <si>
    <t>D10916</t>
  </si>
  <si>
    <t>S2_Elvrx_100Dch003-</t>
  </si>
  <si>
    <t>D10915</t>
  </si>
  <si>
    <t>S2_Elvrx_100Dch004+</t>
  </si>
  <si>
    <t>D10914</t>
  </si>
  <si>
    <t>S2_Elvrx_100Dch003+</t>
  </si>
  <si>
    <t>D10913</t>
  </si>
  <si>
    <t>S2_Olvrx_100Dch006-</t>
  </si>
  <si>
    <t>D10912</t>
  </si>
  <si>
    <t>S2_Elvrx_100Dch005-</t>
  </si>
  <si>
    <t>D10911</t>
  </si>
  <si>
    <t>S2_Olvrx_100Dch006+</t>
  </si>
  <si>
    <t>D10910</t>
  </si>
  <si>
    <t>S2_Elvrx_100Dch005+</t>
  </si>
  <si>
    <t>D10909</t>
  </si>
  <si>
    <t>S2_Olvrx_100Dch002-</t>
  </si>
  <si>
    <t>D10908</t>
  </si>
  <si>
    <t>S2_Olvrx_100Dch004-</t>
  </si>
  <si>
    <t>D10907</t>
  </si>
  <si>
    <t>S2_Olvrx_100Dch002+</t>
  </si>
  <si>
    <t>D10906</t>
  </si>
  <si>
    <t>S2_Olvrx_100Dch004+</t>
  </si>
  <si>
    <t>D10905</t>
  </si>
  <si>
    <t>S2_Olvrx_100Dch001-</t>
  </si>
  <si>
    <t>D10904</t>
  </si>
  <si>
    <t>S2_Olvrx_100Dch005-</t>
  </si>
  <si>
    <t>D10903</t>
  </si>
  <si>
    <t>S2_Olvrx_100Dch001+</t>
  </si>
  <si>
    <t>D10902</t>
  </si>
  <si>
    <t>S2_Olvrx_100Dch005+</t>
  </si>
  <si>
    <t>D10901</t>
  </si>
  <si>
    <t>S4_Elvrx_100Dch005-</t>
  </si>
  <si>
    <t>D10816</t>
  </si>
  <si>
    <t>S4_Olvrx_100Dch004-</t>
  </si>
  <si>
    <t>D10815</t>
  </si>
  <si>
    <t>S4_Elvrx_100Dch005+</t>
  </si>
  <si>
    <t>D10814</t>
  </si>
  <si>
    <t>S4_Olvrx_100Dch004+</t>
  </si>
  <si>
    <t>D10813</t>
  </si>
  <si>
    <t>S4_Olvrx_100Dch001-</t>
  </si>
  <si>
    <t>D10812</t>
  </si>
  <si>
    <t>S4_Olvrx_100Dch006-</t>
  </si>
  <si>
    <t>D10811</t>
  </si>
  <si>
    <t>S4_Olvrx_100Dch001+</t>
  </si>
  <si>
    <t>D10810</t>
  </si>
  <si>
    <t>S4_Olvrx_100Dch006+</t>
  </si>
  <si>
    <t>D10809</t>
  </si>
  <si>
    <t>S4_Olvrx_100Dch002-</t>
  </si>
  <si>
    <t>D10808</t>
  </si>
  <si>
    <t>S4_Olvrx_100Dch005+</t>
  </si>
  <si>
    <t>D10807</t>
  </si>
  <si>
    <t>S4_Olvrx_100Dch002+</t>
  </si>
  <si>
    <t>D10806</t>
  </si>
  <si>
    <t>S4_Olvrx_100Dch005-</t>
  </si>
  <si>
    <t>D10805</t>
  </si>
  <si>
    <t>S4_Elvrx_100Dch006-</t>
  </si>
  <si>
    <t>D10804</t>
  </si>
  <si>
    <t>S4_Elvrx_100Dch001+</t>
  </si>
  <si>
    <t>D10803</t>
  </si>
  <si>
    <t>S4_Elvrx_100Dch006+</t>
  </si>
  <si>
    <t>D10802</t>
  </si>
  <si>
    <t>S4_Elvrx_100Dch001-</t>
  </si>
  <si>
    <t>D10801</t>
  </si>
  <si>
    <t>S4_Elvrx_100Dch003-</t>
  </si>
  <si>
    <t>D10416</t>
  </si>
  <si>
    <t>S4_Elvrx_100Dch002-</t>
  </si>
  <si>
    <t>D10415</t>
  </si>
  <si>
    <t>S4_Elvrx_100Dch003+</t>
  </si>
  <si>
    <t>D10414</t>
  </si>
  <si>
    <t>S4_Elvrx_100Dch002+</t>
  </si>
  <si>
    <t>D10413</t>
  </si>
  <si>
    <t>S4_Elvrx_100Dch004-</t>
  </si>
  <si>
    <t>D10412</t>
  </si>
  <si>
    <t>S4_Olvrx_100Dch003-</t>
  </si>
  <si>
    <t>D10411</t>
  </si>
  <si>
    <t>S4_Elvrx_100Dch004+</t>
  </si>
  <si>
    <t>D10410</t>
  </si>
  <si>
    <t>S4_Olvrx_100Dch003+</t>
  </si>
  <si>
    <t>D10409</t>
  </si>
  <si>
    <t>Net Name</t>
  </si>
  <si>
    <t>Etch Length (mils)</t>
  </si>
  <si>
    <t>Manhattan Length (mils)</t>
  </si>
  <si>
    <t>Percent Manhattan (mils)</t>
  </si>
  <si>
    <t>GND</t>
  </si>
  <si>
    <t>MSDPS1_TRVB-</t>
  </si>
  <si>
    <t>MSDPS2_TRVB-</t>
  </si>
  <si>
    <t>MSDPS3_TRVB-</t>
  </si>
  <si>
    <t>MSDPS8_TRVB-</t>
  </si>
  <si>
    <t>N16868442</t>
  </si>
  <si>
    <t>N24574244</t>
  </si>
  <si>
    <t>N24574268</t>
  </si>
  <si>
    <t>N24574272</t>
  </si>
  <si>
    <t>N24574311</t>
  </si>
  <si>
    <t>N24574358</t>
  </si>
  <si>
    <t>N24574376</t>
  </si>
  <si>
    <t>N24574426</t>
  </si>
  <si>
    <t>N24574578</t>
  </si>
  <si>
    <t>N24787993</t>
  </si>
  <si>
    <t>N24789529</t>
  </si>
  <si>
    <t>N24789779</t>
  </si>
  <si>
    <t>N25330426</t>
  </si>
  <si>
    <t>N25334489</t>
  </si>
  <si>
    <t>N25337760</t>
  </si>
  <si>
    <t>N25339188</t>
  </si>
  <si>
    <t>N25462044</t>
  </si>
  <si>
    <t>N25462912</t>
  </si>
  <si>
    <t>N25463486</t>
  </si>
  <si>
    <t>N25464528</t>
  </si>
  <si>
    <t>N25465136</t>
  </si>
  <si>
    <t>N26125600</t>
  </si>
  <si>
    <t>N26125602</t>
  </si>
  <si>
    <t>N26125604</t>
  </si>
  <si>
    <t>N26125606</t>
  </si>
  <si>
    <t>N26125622</t>
  </si>
  <si>
    <t>N26125624</t>
  </si>
  <si>
    <t>N26125626</t>
  </si>
  <si>
    <t>N26125628</t>
  </si>
  <si>
    <t>N26125644</t>
  </si>
  <si>
    <t>N26125646</t>
  </si>
  <si>
    <t>N26125685</t>
  </si>
  <si>
    <t>N26125687</t>
  </si>
  <si>
    <t>N26125689</t>
  </si>
  <si>
    <t>N26125691</t>
  </si>
  <si>
    <t>N26125693</t>
  </si>
  <si>
    <t>N26125695</t>
  </si>
  <si>
    <t>N26125711</t>
  </si>
  <si>
    <t>N26125713</t>
  </si>
  <si>
    <t>N26125715</t>
  </si>
  <si>
    <t>N26125717</t>
  </si>
  <si>
    <t>N26125746</t>
  </si>
  <si>
    <t>N26125748</t>
  </si>
  <si>
    <t>N26125750</t>
  </si>
  <si>
    <t>N26125752</t>
  </si>
  <si>
    <t>N26138300</t>
  </si>
  <si>
    <t>N26138322</t>
  </si>
  <si>
    <t>N26323523</t>
  </si>
  <si>
    <t>N26323525</t>
  </si>
  <si>
    <t>N26323527</t>
  </si>
  <si>
    <t>N26323529</t>
  </si>
  <si>
    <t>N26323531</t>
  </si>
  <si>
    <t>N26323533</t>
  </si>
  <si>
    <t>N26323535</t>
  </si>
  <si>
    <t>N26323537</t>
  </si>
  <si>
    <t>N26323539</t>
  </si>
  <si>
    <t>N26323541</t>
  </si>
  <si>
    <t>N26323543</t>
  </si>
  <si>
    <t>N26323545</t>
  </si>
  <si>
    <t>N26323547</t>
  </si>
  <si>
    <t>N26323549</t>
  </si>
  <si>
    <t>N26323551</t>
  </si>
  <si>
    <t>N26323553</t>
  </si>
  <si>
    <t>N26325241</t>
  </si>
  <si>
    <t>N26325243</t>
  </si>
  <si>
    <t>N26325245</t>
  </si>
  <si>
    <t>N26325247</t>
  </si>
  <si>
    <t>N26326910</t>
  </si>
  <si>
    <t>N26326941</t>
  </si>
  <si>
    <t>N26326943</t>
  </si>
  <si>
    <t>N26326945</t>
  </si>
  <si>
    <t>N26326947</t>
  </si>
  <si>
    <t>N26326959</t>
  </si>
  <si>
    <t>N26326961</t>
  </si>
  <si>
    <t>N26326963</t>
  </si>
  <si>
    <t>N26327095</t>
  </si>
  <si>
    <t>N26327097</t>
  </si>
  <si>
    <t>N26327099</t>
  </si>
  <si>
    <t>N26327103</t>
  </si>
  <si>
    <t>N26327105</t>
  </si>
  <si>
    <t>N26327107</t>
  </si>
  <si>
    <t>N26328546</t>
  </si>
  <si>
    <t>N26328550</t>
  </si>
  <si>
    <t>N26328552</t>
  </si>
  <si>
    <t>N26328554</t>
  </si>
  <si>
    <t>N26330264</t>
  </si>
  <si>
    <t>N26330266</t>
  </si>
  <si>
    <t>N26330268</t>
  </si>
  <si>
    <t>N26330270</t>
  </si>
  <si>
    <t>N26330276</t>
  </si>
  <si>
    <t>N26330278</t>
  </si>
  <si>
    <t>N26330280</t>
  </si>
  <si>
    <t>N26330282</t>
  </si>
  <si>
    <t>N26330286</t>
  </si>
  <si>
    <t>N26330288</t>
  </si>
  <si>
    <t>N26330290</t>
  </si>
  <si>
    <t>N26330294</t>
  </si>
  <si>
    <t>N26330296</t>
  </si>
  <si>
    <t>N26330298</t>
  </si>
  <si>
    <t>N26330300</t>
  </si>
  <si>
    <t>N26330302</t>
  </si>
  <si>
    <t>N26336800</t>
  </si>
  <si>
    <t>N26336804</t>
  </si>
  <si>
    <t>N26336814</t>
  </si>
  <si>
    <t>N26336816</t>
  </si>
  <si>
    <t>N26336828</t>
  </si>
  <si>
    <t>N26336832</t>
  </si>
  <si>
    <t>N26336834</t>
  </si>
  <si>
    <t>N26336836</t>
  </si>
  <si>
    <t>N26336892</t>
  </si>
  <si>
    <t>N26336894</t>
  </si>
  <si>
    <t>N26337539</t>
  </si>
  <si>
    <t>N26337547</t>
  </si>
  <si>
    <t>N26486525</t>
  </si>
  <si>
    <t>N26486526</t>
  </si>
  <si>
    <t>N26486527</t>
  </si>
  <si>
    <t>N26486528</t>
  </si>
  <si>
    <t>N26486530</t>
  </si>
  <si>
    <t>N26486531</t>
  </si>
  <si>
    <t>N26486532</t>
  </si>
  <si>
    <t>N26486533</t>
  </si>
  <si>
    <t>N26486535</t>
  </si>
  <si>
    <t>N26486536</t>
  </si>
  <si>
    <t>N26486543</t>
  </si>
  <si>
    <t>N26486544</t>
  </si>
  <si>
    <t>N26486545</t>
  </si>
  <si>
    <t>N26486546</t>
  </si>
  <si>
    <t>N26486547</t>
  </si>
  <si>
    <t>N26486548</t>
  </si>
  <si>
    <t>N26486550</t>
  </si>
  <si>
    <t>N26486551</t>
  </si>
  <si>
    <t>N26486552</t>
  </si>
  <si>
    <t>N26486553</t>
  </si>
  <si>
    <t>N26486568</t>
  </si>
  <si>
    <t>N26486569</t>
  </si>
  <si>
    <t>N26486570</t>
  </si>
  <si>
    <t>N26486571</t>
  </si>
  <si>
    <t>N26486686</t>
  </si>
  <si>
    <t>N26486691</t>
  </si>
  <si>
    <t>N26486726</t>
  </si>
  <si>
    <t>N26486727</t>
  </si>
  <si>
    <t>N26486728</t>
  </si>
  <si>
    <t>N26486729</t>
  </si>
  <si>
    <t>N26486730</t>
  </si>
  <si>
    <t>N26486731</t>
  </si>
  <si>
    <t>N26486732</t>
  </si>
  <si>
    <t>N26486733</t>
  </si>
  <si>
    <t>N26486734</t>
  </si>
  <si>
    <t>N26486735</t>
  </si>
  <si>
    <t>N26486736</t>
  </si>
  <si>
    <t>N26486737</t>
  </si>
  <si>
    <t>N26486738</t>
  </si>
  <si>
    <t>N26486739</t>
  </si>
  <si>
    <t>N26486740</t>
  </si>
  <si>
    <t>N26486741</t>
  </si>
  <si>
    <t>N26486822</t>
  </si>
  <si>
    <t>N26486823</t>
  </si>
  <si>
    <t>N26486824</t>
  </si>
  <si>
    <t>N26486825</t>
  </si>
  <si>
    <t>N26486847</t>
  </si>
  <si>
    <t>N26486849</t>
  </si>
  <si>
    <t>N26486850</t>
  </si>
  <si>
    <t>N26486851</t>
  </si>
  <si>
    <t>N26486852</t>
  </si>
  <si>
    <t>N26486854</t>
  </si>
  <si>
    <t>N26486855</t>
  </si>
  <si>
    <t>N26486856</t>
  </si>
  <si>
    <t>N26486898</t>
  </si>
  <si>
    <t>N26486899</t>
  </si>
  <si>
    <t>N26486900</t>
  </si>
  <si>
    <t>N26486902</t>
  </si>
  <si>
    <t>N26486903</t>
  </si>
  <si>
    <t>N26486904</t>
  </si>
  <si>
    <t>N26486946</t>
  </si>
  <si>
    <t>N26486948</t>
  </si>
  <si>
    <t>N26486949</t>
  </si>
  <si>
    <t>N26486950</t>
  </si>
  <si>
    <t>N26486971</t>
  </si>
  <si>
    <t>N26486972</t>
  </si>
  <si>
    <t>N26486973</t>
  </si>
  <si>
    <t>N26486974</t>
  </si>
  <si>
    <t>N26486977</t>
  </si>
  <si>
    <t>N26486978</t>
  </si>
  <si>
    <t>N26486979</t>
  </si>
  <si>
    <t>N26486980</t>
  </si>
  <si>
    <t>N26486982</t>
  </si>
  <si>
    <t>N26486983</t>
  </si>
  <si>
    <t>N26486984</t>
  </si>
  <si>
    <t>N26486986</t>
  </si>
  <si>
    <t>N26486987</t>
  </si>
  <si>
    <t>N26486988</t>
  </si>
  <si>
    <t>N26486989</t>
  </si>
  <si>
    <t>N26486990</t>
  </si>
  <si>
    <t>N26487176</t>
  </si>
  <si>
    <t>N26487178</t>
  </si>
  <si>
    <t>N26487182</t>
  </si>
  <si>
    <t>N26487183</t>
  </si>
  <si>
    <t>N26487190</t>
  </si>
  <si>
    <t>N26487192</t>
  </si>
  <si>
    <t>N26487193</t>
  </si>
  <si>
    <t>N26487194</t>
  </si>
  <si>
    <t>N26487223</t>
  </si>
  <si>
    <t>N26487224</t>
  </si>
  <si>
    <t>N26487285</t>
  </si>
  <si>
    <t>N26487289</t>
  </si>
  <si>
    <t>N26491412</t>
  </si>
  <si>
    <t>N26491416</t>
  </si>
  <si>
    <t>N26491418</t>
  </si>
  <si>
    <t>N26491425</t>
  </si>
  <si>
    <t>N26491450</t>
  </si>
  <si>
    <t>N26491459</t>
  </si>
  <si>
    <t>N26491486</t>
  </si>
  <si>
    <t>N26491497</t>
  </si>
  <si>
    <t>N26492255</t>
  </si>
  <si>
    <t>N26492261</t>
  </si>
  <si>
    <t>N26492266</t>
  </si>
  <si>
    <t>N26492386</t>
  </si>
  <si>
    <t>N26492392</t>
  </si>
  <si>
    <t>N26492464</t>
  </si>
  <si>
    <t>N26492470</t>
  </si>
  <si>
    <t>N26492603</t>
  </si>
  <si>
    <t>N26492609</t>
  </si>
  <si>
    <t>N26492613</t>
  </si>
  <si>
    <t>N26492615</t>
  </si>
  <si>
    <t>N26492621</t>
  </si>
  <si>
    <t>N26495382</t>
  </si>
  <si>
    <t>N26495383</t>
  </si>
  <si>
    <t>N26495384</t>
  </si>
  <si>
    <t>N26495385</t>
  </si>
  <si>
    <t>N26495387</t>
  </si>
  <si>
    <t>N26495388</t>
  </si>
  <si>
    <t>N26495389</t>
  </si>
  <si>
    <t>N26495390</t>
  </si>
  <si>
    <t>N26495392</t>
  </si>
  <si>
    <t>N26495393</t>
  </si>
  <si>
    <t>N26495400</t>
  </si>
  <si>
    <t>N26495401</t>
  </si>
  <si>
    <t>N26495402</t>
  </si>
  <si>
    <t>N26495403</t>
  </si>
  <si>
    <t>N26495404</t>
  </si>
  <si>
    <t>N26495405</t>
  </si>
  <si>
    <t>N26495407</t>
  </si>
  <si>
    <t>N26495408</t>
  </si>
  <si>
    <t>N26495409</t>
  </si>
  <si>
    <t>N26495410</t>
  </si>
  <si>
    <t>N26495425</t>
  </si>
  <si>
    <t>N26495426</t>
  </si>
  <si>
    <t>N26495427</t>
  </si>
  <si>
    <t>N26495428</t>
  </si>
  <si>
    <t>N26495543</t>
  </si>
  <si>
    <t>N26495548</t>
  </si>
  <si>
    <t>N26495583</t>
  </si>
  <si>
    <t>N26495584</t>
  </si>
  <si>
    <t>N26495585</t>
  </si>
  <si>
    <t>N26495586</t>
  </si>
  <si>
    <t>N26495587</t>
  </si>
  <si>
    <t>N26495588</t>
  </si>
  <si>
    <t>N26495589</t>
  </si>
  <si>
    <t>N26495590</t>
  </si>
  <si>
    <t>N26495591</t>
  </si>
  <si>
    <t>N26495592</t>
  </si>
  <si>
    <t>N26495593</t>
  </si>
  <si>
    <t>N26495594</t>
  </si>
  <si>
    <t>N26495595</t>
  </si>
  <si>
    <t>N26495596</t>
  </si>
  <si>
    <t>N26495597</t>
  </si>
  <si>
    <t>N26495598</t>
  </si>
  <si>
    <t>N26495679</t>
  </si>
  <si>
    <t>N26495680</t>
  </si>
  <si>
    <t>N26495681</t>
  </si>
  <si>
    <t>N26495682</t>
  </si>
  <si>
    <t>N26495704</t>
  </si>
  <si>
    <t>N26495706</t>
  </si>
  <si>
    <t>N26495707</t>
  </si>
  <si>
    <t>N26495708</t>
  </si>
  <si>
    <t>N26495709</t>
  </si>
  <si>
    <t>N26495711</t>
  </si>
  <si>
    <t>N26495712</t>
  </si>
  <si>
    <t>N26495713</t>
  </si>
  <si>
    <t>N26495755</t>
  </si>
  <si>
    <t>N26495756</t>
  </si>
  <si>
    <t>N26495757</t>
  </si>
  <si>
    <t>N26495759</t>
  </si>
  <si>
    <t>N26495760</t>
  </si>
  <si>
    <t>N26495761</t>
  </si>
  <si>
    <t>N26495803</t>
  </si>
  <si>
    <t>N26495805</t>
  </si>
  <si>
    <t>N26495806</t>
  </si>
  <si>
    <t>N26495807</t>
  </si>
  <si>
    <t>N26495828</t>
  </si>
  <si>
    <t>N26495829</t>
  </si>
  <si>
    <t>N26495830</t>
  </si>
  <si>
    <t>N26495831</t>
  </si>
  <si>
    <t>N26495834</t>
  </si>
  <si>
    <t>N26495835</t>
  </si>
  <si>
    <t>N26495836</t>
  </si>
  <si>
    <t>N26495837</t>
  </si>
  <si>
    <t>N26495839</t>
  </si>
  <si>
    <t>N26495840</t>
  </si>
  <si>
    <t>N26495841</t>
  </si>
  <si>
    <t>N26495843</t>
  </si>
  <si>
    <t>N26495844</t>
  </si>
  <si>
    <t>N26495845</t>
  </si>
  <si>
    <t>N26495846</t>
  </si>
  <si>
    <t>N26495847</t>
  </si>
  <si>
    <t>N26496033</t>
  </si>
  <si>
    <t>N26496035</t>
  </si>
  <si>
    <t>N26496039</t>
  </si>
  <si>
    <t>N26496040</t>
  </si>
  <si>
    <t>N26496047</t>
  </si>
  <si>
    <t>N26496049</t>
  </si>
  <si>
    <t>N26496050</t>
  </si>
  <si>
    <t>N26496051</t>
  </si>
  <si>
    <t>N26496080</t>
  </si>
  <si>
    <t>N26496081</t>
  </si>
  <si>
    <t>N26496142</t>
  </si>
  <si>
    <t>N26496146</t>
  </si>
  <si>
    <t>N26500269</t>
  </si>
  <si>
    <t>N26500273</t>
  </si>
  <si>
    <t>N26500275</t>
  </si>
  <si>
    <t>N26500282</t>
  </si>
  <si>
    <t>N26500307</t>
  </si>
  <si>
    <t>N26500316</t>
  </si>
  <si>
    <t>N26500343</t>
  </si>
  <si>
    <t>N26500354</t>
  </si>
  <si>
    <t>N26501112</t>
  </si>
  <si>
    <t>N26501118</t>
  </si>
  <si>
    <t>N26501123</t>
  </si>
  <si>
    <t>N26501243</t>
  </si>
  <si>
    <t>N26501249</t>
  </si>
  <si>
    <t>N26501321</t>
  </si>
  <si>
    <t>N26501327</t>
  </si>
  <si>
    <t>N26501460</t>
  </si>
  <si>
    <t>N26501466</t>
  </si>
  <si>
    <t>N26501470</t>
  </si>
  <si>
    <t>N26501472</t>
  </si>
  <si>
    <t>N26501478</t>
  </si>
  <si>
    <t>N26504239</t>
  </si>
  <si>
    <t>N26504240</t>
  </si>
  <si>
    <t>N26504241</t>
  </si>
  <si>
    <t>N26504242</t>
  </si>
  <si>
    <t>N26504244</t>
  </si>
  <si>
    <t>N26504245</t>
  </si>
  <si>
    <t>N26504246</t>
  </si>
  <si>
    <t>N26504247</t>
  </si>
  <si>
    <t>N26504249</t>
  </si>
  <si>
    <t>N26504250</t>
  </si>
  <si>
    <t>N26504257</t>
  </si>
  <si>
    <t>N26504258</t>
  </si>
  <si>
    <t>N26504259</t>
  </si>
  <si>
    <t>N26504260</t>
  </si>
  <si>
    <t>N26504261</t>
  </si>
  <si>
    <t>N26504262</t>
  </si>
  <si>
    <t>N26504264</t>
  </si>
  <si>
    <t>N26504265</t>
  </si>
  <si>
    <t>N26504266</t>
  </si>
  <si>
    <t>N26504267</t>
  </si>
  <si>
    <t>N26504282</t>
  </si>
  <si>
    <t>N26504283</t>
  </si>
  <si>
    <t>N26504284</t>
  </si>
  <si>
    <t>N26504285</t>
  </si>
  <si>
    <t>N26504400</t>
  </si>
  <si>
    <t>N26504405</t>
  </si>
  <si>
    <t>N26504440</t>
  </si>
  <si>
    <t>N26504441</t>
  </si>
  <si>
    <t>N26504442</t>
  </si>
  <si>
    <t>N26504443</t>
  </si>
  <si>
    <t>N26504444</t>
  </si>
  <si>
    <t>N26504445</t>
  </si>
  <si>
    <t>N26504446</t>
  </si>
  <si>
    <t>N26504447</t>
  </si>
  <si>
    <t>N26504448</t>
  </si>
  <si>
    <t>N26504449</t>
  </si>
  <si>
    <t>N26504450</t>
  </si>
  <si>
    <t>N26504451</t>
  </si>
  <si>
    <t>N26504452</t>
  </si>
  <si>
    <t>N26504453</t>
  </si>
  <si>
    <t>N26504454</t>
  </si>
  <si>
    <t>N26504455</t>
  </si>
  <si>
    <t>N26504536</t>
  </si>
  <si>
    <t>N26504537</t>
  </si>
  <si>
    <t>N26504538</t>
  </si>
  <si>
    <t>N26504539</t>
  </si>
  <si>
    <t>N26504561</t>
  </si>
  <si>
    <t>N26504563</t>
  </si>
  <si>
    <t>N26504564</t>
  </si>
  <si>
    <t>N26504565</t>
  </si>
  <si>
    <t>N26504566</t>
  </si>
  <si>
    <t>N26504568</t>
  </si>
  <si>
    <t>N26504569</t>
  </si>
  <si>
    <t>N26504570</t>
  </si>
  <si>
    <t>N26504612</t>
  </si>
  <si>
    <t>N26504613</t>
  </si>
  <si>
    <t>N26504614</t>
  </si>
  <si>
    <t>N26504616</t>
  </si>
  <si>
    <t>N26504617</t>
  </si>
  <si>
    <t>N26504618</t>
  </si>
  <si>
    <t>N26504660</t>
  </si>
  <si>
    <t>N26504662</t>
  </si>
  <si>
    <t>N26504663</t>
  </si>
  <si>
    <t>N26504664</t>
  </si>
  <si>
    <t>N26504685</t>
  </si>
  <si>
    <t>N26504686</t>
  </si>
  <si>
    <t>N26504687</t>
  </si>
  <si>
    <t>N26504688</t>
  </si>
  <si>
    <t>N26504691</t>
  </si>
  <si>
    <t>N26504692</t>
  </si>
  <si>
    <t>N26504693</t>
  </si>
  <si>
    <t>N26504694</t>
  </si>
  <si>
    <t>N26504696</t>
  </si>
  <si>
    <t>N26504697</t>
  </si>
  <si>
    <t>N26504698</t>
  </si>
  <si>
    <t>N26504700</t>
  </si>
  <si>
    <t>N26504701</t>
  </si>
  <si>
    <t>N26504702</t>
  </si>
  <si>
    <t>N26504703</t>
  </si>
  <si>
    <t>N26504704</t>
  </si>
  <si>
    <t>N26504890</t>
  </si>
  <si>
    <t>N26504892</t>
  </si>
  <si>
    <t>N26504896</t>
  </si>
  <si>
    <t>N26504897</t>
  </si>
  <si>
    <t>N26504904</t>
  </si>
  <si>
    <t>N26504906</t>
  </si>
  <si>
    <t>N26504907</t>
  </si>
  <si>
    <t>N26504908</t>
  </si>
  <si>
    <t>N26504937</t>
  </si>
  <si>
    <t>N26504938</t>
  </si>
  <si>
    <t>N26504999</t>
  </si>
  <si>
    <t>N26505003</t>
  </si>
  <si>
    <t>N26509126</t>
  </si>
  <si>
    <t>N26509130</t>
  </si>
  <si>
    <t>N26509132</t>
  </si>
  <si>
    <t>N26509139</t>
  </si>
  <si>
    <t>N26509164</t>
  </si>
  <si>
    <t>N26509173</t>
  </si>
  <si>
    <t>N26509200</t>
  </si>
  <si>
    <t>N26509211</t>
  </si>
  <si>
    <t>N26509969</t>
  </si>
  <si>
    <t>N26509975</t>
  </si>
  <si>
    <t>N26509980</t>
  </si>
  <si>
    <t>N26510100</t>
  </si>
  <si>
    <t>N26510106</t>
  </si>
  <si>
    <t>N26510178</t>
  </si>
  <si>
    <t>N26510184</t>
  </si>
  <si>
    <t>N26510317</t>
  </si>
  <si>
    <t>N26510323</t>
  </si>
  <si>
    <t>N26510327</t>
  </si>
  <si>
    <t>N26510329</t>
  </si>
  <si>
    <t>N26510335</t>
  </si>
  <si>
    <t>S1_1SPI_CSN</t>
  </si>
  <si>
    <t>S1_1SPI_SCK</t>
  </si>
  <si>
    <t>S1_1SPI_SDI</t>
  </si>
  <si>
    <t>S1_1SPI_SDO</t>
  </si>
  <si>
    <t>S1_AVDD11_RX</t>
  </si>
  <si>
    <t>S1_AVDD11_XTAL</t>
  </si>
  <si>
    <t>S1_AVDD18_RX</t>
  </si>
  <si>
    <t>S1_DPS_F_001</t>
  </si>
  <si>
    <t>S1_DPS_F_002</t>
  </si>
  <si>
    <t>S1_DPS_F_003</t>
  </si>
  <si>
    <t>S1_DPS_F_006</t>
  </si>
  <si>
    <t>S1_DPS_F_007</t>
  </si>
  <si>
    <t>S1_DPS_F_009</t>
  </si>
  <si>
    <t>S1_DPS_F_010</t>
  </si>
  <si>
    <t>S1_DPS_F_011</t>
  </si>
  <si>
    <t>S1_DPS_F_012</t>
  </si>
  <si>
    <t>S1_DPS_F_013</t>
  </si>
  <si>
    <t>S1_ISP00+</t>
  </si>
  <si>
    <t>S1_ISP14+</t>
  </si>
  <si>
    <t>S1_ISP_1LOCK</t>
  </si>
  <si>
    <t>S1_M_DPS_F_001</t>
  </si>
  <si>
    <t>S1_PS9G_DCH002</t>
  </si>
  <si>
    <t>S1_PS9G_DCH010</t>
  </si>
  <si>
    <t>S1_PS9G_DCH011</t>
  </si>
  <si>
    <t>S1_PS9G_DCH030</t>
  </si>
  <si>
    <t>S1_RLY_001</t>
  </si>
  <si>
    <t>S1_RLY_003</t>
  </si>
  <si>
    <t>S1_RLY_005</t>
  </si>
  <si>
    <t>S1_RLY_008</t>
  </si>
  <si>
    <t>S1_RLY_016</t>
  </si>
  <si>
    <t>S1_RLY_021</t>
  </si>
  <si>
    <t>S1_RLY_022</t>
  </si>
  <si>
    <t>S1_RLY_025</t>
  </si>
  <si>
    <t>S1_SPI_11_SDI</t>
  </si>
  <si>
    <t>S1_SPI_11_SDO</t>
  </si>
  <si>
    <t>S1_SPI_1_CSN</t>
  </si>
  <si>
    <t>S1_SPI_1_SCK</t>
  </si>
  <si>
    <t>S1_SPI_1_SDI</t>
  </si>
  <si>
    <t>S1_SPI_1_SDO</t>
  </si>
  <si>
    <t>S1_XTAL_IN</t>
  </si>
  <si>
    <t>S1_XTAL_OUT</t>
  </si>
  <si>
    <t>S2_AVDD11_RX</t>
  </si>
  <si>
    <t>S2_AVDD11_XTAL</t>
  </si>
  <si>
    <t>S2_AVDD18_RX</t>
  </si>
  <si>
    <t>S2_DPS_F_001</t>
  </si>
  <si>
    <t>S2_DPS_F_002</t>
  </si>
  <si>
    <t>S2_DPS_F_003</t>
  </si>
  <si>
    <t>S2_DPS_F_006</t>
  </si>
  <si>
    <t>S2_DPS_F_007</t>
  </si>
  <si>
    <t>S2_DPS_F_009</t>
  </si>
  <si>
    <t>S2_DPS_F_010</t>
  </si>
  <si>
    <t>S2_DPS_F_011</t>
  </si>
  <si>
    <t>S2_DPS_F_012</t>
  </si>
  <si>
    <t>S2_DPS_F_013</t>
  </si>
  <si>
    <t>S2_ISP_1LOCK</t>
  </si>
  <si>
    <t>S2_M_DPS_F_001</t>
  </si>
  <si>
    <t>S2_PS9G_DCH002</t>
  </si>
  <si>
    <t>S2_PS9G_DCH010</t>
  </si>
  <si>
    <t>S2_PS9G_DCH011</t>
  </si>
  <si>
    <t>S2_PS9G_DCH030</t>
  </si>
  <si>
    <t>S2_RLY_001</t>
  </si>
  <si>
    <t>S2_RLY_003</t>
  </si>
  <si>
    <t>S2_RLY_005</t>
  </si>
  <si>
    <t>S2_RLY_008</t>
  </si>
  <si>
    <t>S2_RLY_016</t>
  </si>
  <si>
    <t>S2_RLY_021</t>
  </si>
  <si>
    <t>S2_RLY_022</t>
  </si>
  <si>
    <t>S2_RLY_025</t>
  </si>
  <si>
    <t>S2_XTAL_IN</t>
  </si>
  <si>
    <t>S2_XTAL_OUT</t>
  </si>
  <si>
    <t>S3_AVDD11_RX</t>
  </si>
  <si>
    <t>S3_AVDD11_XTAL</t>
  </si>
  <si>
    <t>S3_AVDD18_RX</t>
  </si>
  <si>
    <t>S3_DPS_F_001</t>
  </si>
  <si>
    <t>S3_DPS_F_002</t>
  </si>
  <si>
    <t>S3_DPS_F_003</t>
  </si>
  <si>
    <t>S3_DPS_F_006</t>
  </si>
  <si>
    <t>S3_DPS_F_007</t>
  </si>
  <si>
    <t>S3_DPS_F_009</t>
  </si>
  <si>
    <t>S3_DPS_F_010</t>
  </si>
  <si>
    <t>S3_DPS_F_011</t>
  </si>
  <si>
    <t>S3_DPS_F_012</t>
  </si>
  <si>
    <t>S3_DPS_F_013</t>
  </si>
  <si>
    <t>S3_ISP_1LOCK</t>
  </si>
  <si>
    <t>S3_M_DPS_F_001</t>
  </si>
  <si>
    <t>S3_PS9G_DCH002</t>
  </si>
  <si>
    <t>S3_PS9G_DCH010</t>
  </si>
  <si>
    <t>S3_PS9G_DCH011</t>
  </si>
  <si>
    <t>S3_PS9G_DCH030</t>
  </si>
  <si>
    <t>S3_RLY_001</t>
  </si>
  <si>
    <t>S3_RLY_003</t>
  </si>
  <si>
    <t>S3_RLY_005</t>
  </si>
  <si>
    <t>S3_RLY_008</t>
  </si>
  <si>
    <t>S3_RLY_016</t>
  </si>
  <si>
    <t>S3_RLY_021</t>
  </si>
  <si>
    <t>S3_RLY_022</t>
  </si>
  <si>
    <t>S3_RLY_025</t>
  </si>
  <si>
    <t>S3_XTAL_IN</t>
  </si>
  <si>
    <t>S3_XTAL_OUT</t>
  </si>
  <si>
    <t>S4_AVDD11_RX</t>
  </si>
  <si>
    <t>S4_AVDD11_XTAL</t>
  </si>
  <si>
    <t>S4_AVDD18_RX</t>
  </si>
  <si>
    <t>S4_DPS_F_001</t>
  </si>
  <si>
    <t>S4_DPS_F_002</t>
  </si>
  <si>
    <t>S4_DPS_F_003</t>
  </si>
  <si>
    <t>S4_DPS_F_006</t>
  </si>
  <si>
    <t>S4_DPS_F_007</t>
  </si>
  <si>
    <t>S4_DPS_F_009</t>
  </si>
  <si>
    <t>S4_DPS_F_010</t>
  </si>
  <si>
    <t>S4_DPS_F_011</t>
  </si>
  <si>
    <t>S4_DPS_F_012</t>
  </si>
  <si>
    <t>S4_DPS_F_013</t>
  </si>
  <si>
    <t>S4_ISP_1LOCK</t>
  </si>
  <si>
    <t>S4_M_DPS_F_001</t>
  </si>
  <si>
    <t>S4_PS9G_DCH002</t>
  </si>
  <si>
    <t>S4_PS9G_DCH010</t>
  </si>
  <si>
    <t>S4_PS9G_DCH011</t>
  </si>
  <si>
    <t>S4_PS9G_DCH030</t>
  </si>
  <si>
    <t>S4_RLY_001</t>
  </si>
  <si>
    <t>S4_RLY_003</t>
  </si>
  <si>
    <t>S4_RLY_005</t>
  </si>
  <si>
    <t>S4_RLY_008</t>
  </si>
  <si>
    <t>S4_RLY_016</t>
  </si>
  <si>
    <t>S4_RLY_021</t>
  </si>
  <si>
    <t>S4_RLY_022</t>
  </si>
  <si>
    <t>S4_RLY_025</t>
  </si>
  <si>
    <t>S4_XTAL_IN</t>
  </si>
  <si>
    <t>S4_XTAL_OUT</t>
  </si>
  <si>
    <t>UDBGND</t>
  </si>
  <si>
    <t>UT1_UP5V</t>
  </si>
  <si>
    <t>UT1_UW14</t>
  </si>
  <si>
    <t>UT1_UW15</t>
  </si>
  <si>
    <t>D10204</t>
  </si>
  <si>
    <t>D10202</t>
  </si>
  <si>
    <t>D10208</t>
  </si>
  <si>
    <t>D10206</t>
  </si>
  <si>
    <t>D10604</t>
  </si>
  <si>
    <t>D10602</t>
  </si>
  <si>
    <t>D10608</t>
  </si>
  <si>
    <t>D10606</t>
  </si>
  <si>
    <t>D10311</t>
  </si>
  <si>
    <t>D10309</t>
  </si>
  <si>
    <t>D10315</t>
  </si>
  <si>
    <t>D10313</t>
  </si>
  <si>
    <t>D10612</t>
  </si>
  <si>
    <t>D10610</t>
  </si>
  <si>
    <t>D10611</t>
  </si>
  <si>
    <t>D10609</t>
  </si>
  <si>
    <t>D10704</t>
  </si>
  <si>
    <t>D10702</t>
  </si>
  <si>
    <t>D10316</t>
  </si>
  <si>
    <t>D10314</t>
  </si>
  <si>
    <t>D10312</t>
  </si>
  <si>
    <t>D10310</t>
  </si>
  <si>
    <t>D10215</t>
  </si>
  <si>
    <t>D10213</t>
  </si>
  <si>
    <t>D10607</t>
  </si>
  <si>
    <t>D10605</t>
  </si>
  <si>
    <t>D10711</t>
  </si>
  <si>
    <t>D10709</t>
  </si>
  <si>
    <t>D10707</t>
  </si>
  <si>
    <t>D10705</t>
  </si>
  <si>
    <t>D10307</t>
  </si>
  <si>
    <t>D10305</t>
  </si>
  <si>
    <t>D10303</t>
  </si>
  <si>
    <t>D10301</t>
  </si>
  <si>
    <t>D10616</t>
  </si>
  <si>
    <t>D10614</t>
  </si>
  <si>
    <t>D10715</t>
  </si>
  <si>
    <t>D10713</t>
  </si>
  <si>
    <t>D10703</t>
  </si>
  <si>
    <t>D10701</t>
  </si>
  <si>
    <t>D10615</t>
  </si>
  <si>
    <t>D10613</t>
  </si>
  <si>
    <t>D10212</t>
  </si>
  <si>
    <t>D10210</t>
  </si>
  <si>
    <t>D10216</t>
  </si>
  <si>
    <t>D10214</t>
  </si>
  <si>
    <t>D10603</t>
  </si>
  <si>
    <t>D10601</t>
  </si>
  <si>
    <t>D10708</t>
  </si>
  <si>
    <t>D10706</t>
  </si>
  <si>
    <t>D10712</t>
  </si>
  <si>
    <t>D10710</t>
  </si>
  <si>
    <t>D10716</t>
  </si>
  <si>
    <t>D10714</t>
  </si>
  <si>
    <t>D11207</t>
  </si>
  <si>
    <t>D11205</t>
  </si>
  <si>
    <t>D11203</t>
  </si>
  <si>
    <t>D11201</t>
  </si>
  <si>
    <t>D11216</t>
  </si>
  <si>
    <t>D11214</t>
  </si>
  <si>
    <t>D11215</t>
  </si>
  <si>
    <t>D11213</t>
  </si>
  <si>
    <t>D11015</t>
  </si>
  <si>
    <t>D11013</t>
  </si>
  <si>
    <t>D11016</t>
  </si>
  <si>
    <t>D11014</t>
  </si>
  <si>
    <t>D11405</t>
  </si>
  <si>
    <t>D11403</t>
  </si>
  <si>
    <t>D11409</t>
  </si>
  <si>
    <t>D11407</t>
  </si>
  <si>
    <t>D11408</t>
  </si>
  <si>
    <t>D11406</t>
  </si>
  <si>
    <t>D11211</t>
  </si>
  <si>
    <t>D11209</t>
  </si>
  <si>
    <t>D11204</t>
  </si>
  <si>
    <t>D11202</t>
  </si>
  <si>
    <t>D11108</t>
  </si>
  <si>
    <t>D11106</t>
  </si>
  <si>
    <t>D11212</t>
  </si>
  <si>
    <t>D11210</t>
  </si>
  <si>
    <t>D11115</t>
  </si>
  <si>
    <t>D11113</t>
  </si>
  <si>
    <t>D11111</t>
  </si>
  <si>
    <t>D11109</t>
  </si>
  <si>
    <t>D11011</t>
  </si>
  <si>
    <t>D11009</t>
  </si>
  <si>
    <t>D11012</t>
  </si>
  <si>
    <t>D11010</t>
  </si>
  <si>
    <t>D11004</t>
  </si>
  <si>
    <t>D11002</t>
  </si>
  <si>
    <t>D11008</t>
  </si>
  <si>
    <t>D11006</t>
  </si>
  <si>
    <t>D11413</t>
  </si>
  <si>
    <t>D11411</t>
  </si>
  <si>
    <t>D11404</t>
  </si>
  <si>
    <t>D11402</t>
  </si>
  <si>
    <t>D11003</t>
  </si>
  <si>
    <t>D11001</t>
  </si>
  <si>
    <t>D11007</t>
  </si>
  <si>
    <t>D11005</t>
  </si>
  <si>
    <t>D11208</t>
  </si>
  <si>
    <t>D11206</t>
  </si>
  <si>
    <t>D11107</t>
  </si>
  <si>
    <t>D11105</t>
  </si>
  <si>
    <t>D11103</t>
  </si>
  <si>
    <t>D11101</t>
  </si>
  <si>
    <t>D11104</t>
  </si>
  <si>
    <t>D11102</t>
  </si>
  <si>
    <t>D13107</t>
  </si>
  <si>
    <t>D13105</t>
  </si>
  <si>
    <t>S4_4Tx_100Dch007-</t>
  </si>
  <si>
    <t>S4_4Tx_100Dch007+</t>
  </si>
  <si>
    <t>S4_4Tx_100Dch006-</t>
  </si>
  <si>
    <t>S4_4Tx_100Dch006+</t>
  </si>
  <si>
    <t>S4_4Tx_100Dch005-</t>
  </si>
  <si>
    <t>S4_4Tx_100Dch005+</t>
  </si>
  <si>
    <t>S4_4Tx_100Dch004-</t>
  </si>
  <si>
    <t>S4_4Tx_100Dch004+</t>
  </si>
  <si>
    <t>S4_4Tx_100Dch003-</t>
  </si>
  <si>
    <t>S4_4Tx_100Dch003+</t>
  </si>
  <si>
    <t>S4_4Tx_100Dch002-</t>
  </si>
  <si>
    <t>S4_4Tx_100Dch002+</t>
  </si>
  <si>
    <t>S4_4Tx_100Dch001-</t>
  </si>
  <si>
    <t>S4_4Tx_100Dch001+</t>
  </si>
  <si>
    <t>S4_3Tx_100Dch007-</t>
  </si>
  <si>
    <t>S4_3Tx_100Dch007+</t>
  </si>
  <si>
    <t>S4_3Tx_100Dch006-</t>
  </si>
  <si>
    <t>S4_3Tx_100Dch006+</t>
  </si>
  <si>
    <t>S4_3Tx_100Dch005-</t>
  </si>
  <si>
    <t>S4_3Tx_100Dch005+</t>
  </si>
  <si>
    <t>S4_3Tx_100Dch004-</t>
  </si>
  <si>
    <t>S4_3Tx_100Dch004+</t>
  </si>
  <si>
    <t>S4_3Tx_100Dch003-</t>
  </si>
  <si>
    <t>S4_3Tx_100Dch003+</t>
  </si>
  <si>
    <t>S4_3Tx_100Dch002-</t>
  </si>
  <si>
    <t>S4_3Tx_100Dch002+</t>
  </si>
  <si>
    <t>S4_2Tx_100Dch007-</t>
  </si>
  <si>
    <t>S4_2Tx_100Dch007+</t>
  </si>
  <si>
    <t>S4_2Tx_100Dch006-</t>
  </si>
  <si>
    <t>S4_2Tx_100Dch006+</t>
  </si>
  <si>
    <t>S4_2Tx_100Dch005-</t>
  </si>
  <si>
    <t>S4_2Tx_100Dch005+</t>
  </si>
  <si>
    <t>S4_2Tx_100Dch004-</t>
  </si>
  <si>
    <t>S4_2Tx_100Dch004+</t>
  </si>
  <si>
    <t>S4_2Tx_100Dch003-</t>
  </si>
  <si>
    <t>S4_2Tx_100Dch003+</t>
  </si>
  <si>
    <t>S4_2Tx_100Dch002-</t>
  </si>
  <si>
    <t>S4_2Tx_100Dch002+</t>
  </si>
  <si>
    <t>S4_2Tx_100Dch001-</t>
  </si>
  <si>
    <t>S4_2Tx_100Dch001+</t>
  </si>
  <si>
    <t>S4_1Tx_100Dch007-</t>
  </si>
  <si>
    <t>S4_1Tx_100Dch007+</t>
  </si>
  <si>
    <t>S4_1Tx_100Dch006-</t>
  </si>
  <si>
    <t>S4_1Tx_100Dch006+</t>
  </si>
  <si>
    <t>S4_1Tx_100Dch005-</t>
  </si>
  <si>
    <t>S4_1Tx_100Dch005+</t>
  </si>
  <si>
    <t>S4_1Tx_100Dch004-</t>
  </si>
  <si>
    <t>S4_1Tx_100Dch004+</t>
  </si>
  <si>
    <t>S4_1Tx_100Dch003-</t>
  </si>
  <si>
    <t>S4_1Tx_100Dch003+</t>
  </si>
  <si>
    <t>S4_1Tx_100Dch002-</t>
  </si>
  <si>
    <t>S4_1Tx_100Dch002+</t>
  </si>
  <si>
    <t>S4_1Tx_100Dch001-</t>
  </si>
  <si>
    <t>S4_1Tx_100Dch001+</t>
  </si>
  <si>
    <t>S2_4Tx_100Dch007-</t>
  </si>
  <si>
    <t>S2_4Tx_100Dch007+</t>
  </si>
  <si>
    <t>S2_4Tx_100Dch006-</t>
  </si>
  <si>
    <t>S2_4Tx_100Dch006+</t>
  </si>
  <si>
    <t>S2_4Tx_100Dch005-</t>
  </si>
  <si>
    <t>S2_4Tx_100Dch005+</t>
  </si>
  <si>
    <t>S2_4Tx_100Dch004-</t>
  </si>
  <si>
    <t>S2_4Tx_100Dch004+</t>
  </si>
  <si>
    <t>S2_4Tx_100Dch003-</t>
  </si>
  <si>
    <t>S2_4Tx_100Dch003+</t>
  </si>
  <si>
    <t>S2_4Tx_100Dch002-</t>
  </si>
  <si>
    <t>S2_4Tx_100Dch002+</t>
  </si>
  <si>
    <t>S2_4Tx_100Dch001-</t>
  </si>
  <si>
    <t>S2_4Tx_100Dch001+</t>
  </si>
  <si>
    <t>S2_3Tx_100Dch007-</t>
  </si>
  <si>
    <t>S2_3Tx_100Dch007+</t>
  </si>
  <si>
    <t>S2_3Tx_100Dch006-</t>
  </si>
  <si>
    <t>S2_3Tx_100Dch006+</t>
  </si>
  <si>
    <t>S2_3Tx_100Dch005-</t>
  </si>
  <si>
    <t>S2_3Tx_100Dch005+</t>
  </si>
  <si>
    <t>S2_3Tx_100Dch004-</t>
  </si>
  <si>
    <t>S2_3Tx_100Dch004+</t>
  </si>
  <si>
    <t>S2_3Tx_100Dch003-</t>
  </si>
  <si>
    <t>S2_3Tx_100Dch003+</t>
  </si>
  <si>
    <t>S2_3Tx_100Dch002-</t>
  </si>
  <si>
    <t>S2_3Tx_100Dch002+</t>
  </si>
  <si>
    <t>S2_2Tx_100Dch007-</t>
  </si>
  <si>
    <t>S2_2Tx_100Dch007+</t>
  </si>
  <si>
    <t>S2_2Tx_100Dch006-</t>
  </si>
  <si>
    <t>S2_2Tx_100Dch006+</t>
  </si>
  <si>
    <t>S2_2Tx_100Dch005-</t>
  </si>
  <si>
    <t>S2_2Tx_100Dch005+</t>
  </si>
  <si>
    <t>S2_2Tx_100Dch004-</t>
  </si>
  <si>
    <t>S2_2Tx_100Dch004+</t>
  </si>
  <si>
    <t>S2_2Tx_100Dch003-</t>
  </si>
  <si>
    <t>S2_2Tx_100Dch003+</t>
  </si>
  <si>
    <t>S2_2Tx_100Dch002-</t>
  </si>
  <si>
    <t>S2_2Tx_100Dch002+</t>
  </si>
  <si>
    <t>S2_2Tx_100Dch001-</t>
  </si>
  <si>
    <t>S2_2Tx_100Dch001+</t>
  </si>
  <si>
    <t>S2_1Tx_100Dch007-</t>
  </si>
  <si>
    <t>S2_1Tx_100Dch007+</t>
  </si>
  <si>
    <t>S2_1Tx_100Dch006-</t>
  </si>
  <si>
    <t>S2_1Tx_100Dch006+</t>
  </si>
  <si>
    <t>S2_1Tx_100Dch005-</t>
  </si>
  <si>
    <t>S2_1Tx_100Dch005+</t>
  </si>
  <si>
    <t>S2_1Tx_100Dch004-</t>
  </si>
  <si>
    <t>S2_1Tx_100Dch004+</t>
  </si>
  <si>
    <t>S2_1Tx_100Dch003-</t>
  </si>
  <si>
    <t>S2_1Tx_100Dch003+</t>
  </si>
  <si>
    <t>S2_1Tx_100Dch002-</t>
  </si>
  <si>
    <t>S2_1Tx_100Dch002+</t>
  </si>
  <si>
    <t>S2_1Tx_100Dch001-</t>
  </si>
  <si>
    <t>S2_1Tx_100Dch001+</t>
  </si>
  <si>
    <t>S1_1Tx_100Dch001-</t>
  </si>
  <si>
    <t>S1_1Tx_100Dch001+</t>
  </si>
  <si>
    <t>S1_1Tx_100Dch004-</t>
  </si>
  <si>
    <t>S1_4Tx_100Dch001-</t>
  </si>
  <si>
    <t>S1_1Tx_100Dch004+</t>
  </si>
  <si>
    <t>S1_4Tx_100Dch001+</t>
  </si>
  <si>
    <t>S1_3Tx_100Dch003-</t>
  </si>
  <si>
    <t>S1_3Tx_100Dch002-</t>
  </si>
  <si>
    <t>S1_3Tx_100Dch003+</t>
  </si>
  <si>
    <t>S1_3Tx_100Dch002+</t>
  </si>
  <si>
    <t>S1_4Tx_100Dch006-</t>
  </si>
  <si>
    <t>S1_4Tx_100Dch005-</t>
  </si>
  <si>
    <t>S1_4Tx_100Dch006+</t>
  </si>
  <si>
    <t>S1_4Tx_100Dch005+</t>
  </si>
  <si>
    <t>S1_4Tx_100Dch007-</t>
  </si>
  <si>
    <t>S1_4Tx_100Dch004-</t>
  </si>
  <si>
    <t>S1_4Tx_100Dch007+</t>
  </si>
  <si>
    <t>S1_4Tx_100Dch004+</t>
  </si>
  <si>
    <t>S1_1Tx_100Dch003-</t>
  </si>
  <si>
    <t>S1_1Tx_100Dch003+</t>
  </si>
  <si>
    <t>S1_1Tx_100Dch002-</t>
  </si>
  <si>
    <t>S1_1Tx_100Dch002+</t>
  </si>
  <si>
    <t>S1_3Tx_100Dch005-</t>
  </si>
  <si>
    <t>S1_2Tx_100Dch003-</t>
  </si>
  <si>
    <t>S1_3Tx_100Dch005+</t>
  </si>
  <si>
    <t>S1_2Tx_100Dch003+</t>
  </si>
  <si>
    <t>S1_4Tx_100Dch003-</t>
  </si>
  <si>
    <t>S1_2Tx_100Dch002-</t>
  </si>
  <si>
    <t>S1_4Tx_100Dch003+</t>
  </si>
  <si>
    <t>S1_2Tx_100Dch002+</t>
  </si>
  <si>
    <t>S1_3Tx_100Dch007-</t>
  </si>
  <si>
    <t>S1_2Tx_100Dch004-</t>
  </si>
  <si>
    <t>S1_3Tx_100Dch007+</t>
  </si>
  <si>
    <t>S1_2Tx_100Dch004+</t>
  </si>
  <si>
    <t>S1_3Tx_100Dch006-</t>
  </si>
  <si>
    <t>S1_2Tx_100Dch006-</t>
  </si>
  <si>
    <t>S1_3Tx_100Dch006+</t>
  </si>
  <si>
    <t>S1_2Tx_100Dch006+</t>
  </si>
  <si>
    <t>S1_4Tx_100Dch002-</t>
  </si>
  <si>
    <t>S1_1Tx_100Dch007-</t>
  </si>
  <si>
    <t>S1_4Tx_100Dch002+</t>
  </si>
  <si>
    <t>S1_1Tx_100Dch007+</t>
  </si>
  <si>
    <t>S1_3Tx_100Dch004-</t>
  </si>
  <si>
    <t>S1_1Tx_100Dch005-</t>
  </si>
  <si>
    <t>S1_3Tx_100Dch004+</t>
  </si>
  <si>
    <t>S1_1Tx_100Dch005+</t>
  </si>
  <si>
    <t>S1_1Tx_100Dch006-</t>
  </si>
  <si>
    <t>S1_2Tx_100Dch005-</t>
  </si>
  <si>
    <t>S1_1Tx_100Dch006+</t>
  </si>
  <si>
    <t>S1_2Tx_100Dch005+</t>
  </si>
  <si>
    <t>S1_2Tx_100Dch001-</t>
  </si>
  <si>
    <t>S1_2Tx_100Dch007-</t>
  </si>
  <si>
    <t>S1_2Tx_100Dch001+</t>
  </si>
  <si>
    <t>S1_2Tx_100Dch007+</t>
  </si>
  <si>
    <t>S3_2Tx_100Dch005-</t>
  </si>
  <si>
    <t>S3_2Tx_100Dch002-</t>
  </si>
  <si>
    <t>S3_2Tx_100Dch005+</t>
  </si>
  <si>
    <t>S3_2Tx_100Dch002+</t>
  </si>
  <si>
    <t>S3_4Tx_100Dch003-</t>
  </si>
  <si>
    <t>S3_2Tx_100Dch006-</t>
  </si>
  <si>
    <t>S3_4Tx_100Dch003+</t>
  </si>
  <si>
    <t>S3_2Tx_100Dch006+</t>
  </si>
  <si>
    <t>S3_1Tx_100Dch002-</t>
  </si>
  <si>
    <t>S3_1Tx_100Dch001-</t>
  </si>
  <si>
    <t>S3_1Tx_100Dch002+</t>
  </si>
  <si>
    <t>S3_1Tx_100Dch001+</t>
  </si>
  <si>
    <t>S3_1Tx_100Dch003-</t>
  </si>
  <si>
    <t>S3_1Tx_100Dch003+</t>
  </si>
  <si>
    <t>S3_1Tx_100Dch005-</t>
  </si>
  <si>
    <t>S3_1Tx_100Dch006-</t>
  </si>
  <si>
    <t>S3_1Tx_100Dch005+</t>
  </si>
  <si>
    <t>S3_1Tx_100Dch006+</t>
  </si>
  <si>
    <t>S3_4Tx_100Dch002-</t>
  </si>
  <si>
    <t>S3_2Tx_100Dch004-</t>
  </si>
  <si>
    <t>S3_4Tx_100Dch002+</t>
  </si>
  <si>
    <t>S3_2Tx_100Dch004+</t>
  </si>
  <si>
    <t>S3_2Tx_100Dch007-</t>
  </si>
  <si>
    <t>S3_4Tx_100Dch004-</t>
  </si>
  <si>
    <t>S3_2Tx_100Dch007+</t>
  </si>
  <si>
    <t>S3_4Tx_100Dch004+</t>
  </si>
  <si>
    <t>S3_2Tx_100Dch003-</t>
  </si>
  <si>
    <t>S3_4Tx_100Dch006-</t>
  </si>
  <si>
    <t>S3_2Tx_100Dch003+</t>
  </si>
  <si>
    <t>S3_4Tx_100Dch006+</t>
  </si>
  <si>
    <t>S3_4Tx_100Dch007-</t>
  </si>
  <si>
    <t>S3_4Tx_100Dch001-</t>
  </si>
  <si>
    <t>S3_4Tx_100Dch007+</t>
  </si>
  <si>
    <t>S3_4Tx_100Dch001+</t>
  </si>
  <si>
    <t>S3_4Tx_100Dch005-</t>
  </si>
  <si>
    <t>S3_2Tx_100Dch001-</t>
  </si>
  <si>
    <t>S3_4Tx_100Dch005+</t>
  </si>
  <si>
    <t>S3_2Tx_100Dch001+</t>
  </si>
  <si>
    <t>S3_3Tx_100Dch006+</t>
  </si>
  <si>
    <t>S3_3Tx_100Dch005-</t>
  </si>
  <si>
    <t>S3_3Tx_100Dch006-</t>
  </si>
  <si>
    <t>S3_3Tx_100Dch005+</t>
  </si>
  <si>
    <t>S3_1Tx_100Dch007-</t>
  </si>
  <si>
    <t>S3_1Tx_100Dch004-</t>
  </si>
  <si>
    <t>S3_1Tx_100Dch007+</t>
  </si>
  <si>
    <t>S3_1Tx_100Dch004+</t>
  </si>
  <si>
    <t>S3_3Tx_100Dch002-</t>
  </si>
  <si>
    <t>S3_3Tx_100Dch004-</t>
  </si>
  <si>
    <t>S3_3Tx_100Dch002+</t>
  </si>
  <si>
    <t>S3_3Tx_100Dch004+</t>
  </si>
  <si>
    <t>S3_3Tx_100Dch007-</t>
  </si>
  <si>
    <t>S3_3Tx_100Dch003-</t>
  </si>
  <si>
    <t>S3_3Tx_100Dch007+</t>
  </si>
  <si>
    <t>S3_3Tx_100Dch003+</t>
  </si>
  <si>
    <t>D13216</t>
  </si>
  <si>
    <t>D13215</t>
  </si>
  <si>
    <t>D13214</t>
  </si>
  <si>
    <t>D13213</t>
  </si>
  <si>
    <t>D13212</t>
  </si>
  <si>
    <t>D13211</t>
  </si>
  <si>
    <t>D13210</t>
  </si>
  <si>
    <t>D13209</t>
  </si>
  <si>
    <t>D13208</t>
  </si>
  <si>
    <t>D13207</t>
  </si>
  <si>
    <t>D13206</t>
  </si>
  <si>
    <t>D13205</t>
  </si>
  <si>
    <t>D13204</t>
  </si>
  <si>
    <t>D13203</t>
  </si>
  <si>
    <t>D13202</t>
  </si>
  <si>
    <t>D13201</t>
  </si>
  <si>
    <t>D13115</t>
  </si>
  <si>
    <t>D13113</t>
  </si>
  <si>
    <t>D13111</t>
  </si>
  <si>
    <t>D13109</t>
  </si>
  <si>
    <t>D12816</t>
  </si>
  <si>
    <t>D12815</t>
  </si>
  <si>
    <t>D12814</t>
  </si>
  <si>
    <t>D12813</t>
  </si>
  <si>
    <t>D12812</t>
  </si>
  <si>
    <t>D12811</t>
  </si>
  <si>
    <t>D12810</t>
  </si>
  <si>
    <t>D12809</t>
  </si>
  <si>
    <t>D12808</t>
  </si>
  <si>
    <t>D12807</t>
  </si>
  <si>
    <t>D12806</t>
  </si>
  <si>
    <t>D12805</t>
  </si>
  <si>
    <t>D12804</t>
  </si>
  <si>
    <t>D12803</t>
  </si>
  <si>
    <t>D12802</t>
  </si>
  <si>
    <t>D12801</t>
  </si>
  <si>
    <t>D12716</t>
  </si>
  <si>
    <t>D12715</t>
  </si>
  <si>
    <t>D12714</t>
  </si>
  <si>
    <t>D12713</t>
  </si>
  <si>
    <t>D12712</t>
  </si>
  <si>
    <t>D12711</t>
  </si>
  <si>
    <t>D12710</t>
  </si>
  <si>
    <t>D12709</t>
  </si>
  <si>
    <t>D12708</t>
  </si>
  <si>
    <t>D12707</t>
  </si>
  <si>
    <t>D12706</t>
  </si>
  <si>
    <t>D12705</t>
  </si>
  <si>
    <t>D12704</t>
  </si>
  <si>
    <t>D12703</t>
  </si>
  <si>
    <t>D12702</t>
  </si>
  <si>
    <t>D12701</t>
  </si>
  <si>
    <t>D12408</t>
  </si>
  <si>
    <t>D12407</t>
  </si>
  <si>
    <t>D12406</t>
  </si>
  <si>
    <t>D12405</t>
  </si>
  <si>
    <t>D12404</t>
  </si>
  <si>
    <t>D12403</t>
  </si>
  <si>
    <t>D12402</t>
  </si>
  <si>
    <t>D12401</t>
  </si>
  <si>
    <t>D12316</t>
  </si>
  <si>
    <t>D12315</t>
  </si>
  <si>
    <t>D12314</t>
  </si>
  <si>
    <t>D12313</t>
  </si>
  <si>
    <t>D12311</t>
  </si>
  <si>
    <t>D12309</t>
  </si>
  <si>
    <t>D12308</t>
  </si>
  <si>
    <t>D12307</t>
  </si>
  <si>
    <t>D12306</t>
  </si>
  <si>
    <t>D12305</t>
  </si>
  <si>
    <t>D12304</t>
  </si>
  <si>
    <t>D12303</t>
  </si>
  <si>
    <t>D12302</t>
  </si>
  <si>
    <t>D12301</t>
  </si>
  <si>
    <t>D12016</t>
  </si>
  <si>
    <t>D12015</t>
  </si>
  <si>
    <t>D12014</t>
  </si>
  <si>
    <t>D12013</t>
  </si>
  <si>
    <t>D12012</t>
  </si>
  <si>
    <t>D12011</t>
  </si>
  <si>
    <t>D12010</t>
  </si>
  <si>
    <t>D12009</t>
  </si>
  <si>
    <t>D12008</t>
  </si>
  <si>
    <t>D12007</t>
  </si>
  <si>
    <t>D12006</t>
  </si>
  <si>
    <t>D12005</t>
  </si>
  <si>
    <t>D12004</t>
  </si>
  <si>
    <t>D12003</t>
  </si>
  <si>
    <t>D12002</t>
  </si>
  <si>
    <t>D12001</t>
  </si>
  <si>
    <t>D11916</t>
  </si>
  <si>
    <t>D11915</t>
  </si>
  <si>
    <t>D11914</t>
  </si>
  <si>
    <t>D11913</t>
  </si>
  <si>
    <t>D11912</t>
  </si>
  <si>
    <t>D11911</t>
  </si>
  <si>
    <t>D11910</t>
  </si>
  <si>
    <t>D11909</t>
  </si>
  <si>
    <t>D11908</t>
  </si>
  <si>
    <t>D11907</t>
  </si>
  <si>
    <t>D11906</t>
  </si>
  <si>
    <t>D11905</t>
  </si>
  <si>
    <t>D11904</t>
  </si>
  <si>
    <t>D11903</t>
  </si>
  <si>
    <t>D11902</t>
  </si>
  <si>
    <t>D11901</t>
  </si>
  <si>
    <r>
      <t>Design Name</t>
    </r>
    <r>
      <rPr>
        <b/>
        <sz val="12"/>
        <color theme="1"/>
        <rFont val="Calibri"/>
        <family val="2"/>
        <charset val="136"/>
        <scheme val="minor"/>
      </rPr>
      <t> D:/iTest/homeoffice/Test Hardware/980HX-8880F5-KBG-A10/8880F5-0817_PLACEMENT/8880F5-0823_13.brd</t>
    </r>
  </si>
  <si>
    <r>
      <t>Date</t>
    </r>
    <r>
      <rPr>
        <b/>
        <sz val="12"/>
        <color theme="1"/>
        <rFont val="Calibri"/>
        <family val="2"/>
        <charset val="136"/>
        <scheme val="minor"/>
      </rPr>
      <t> Sun Aug 23 22:16:00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</si>
</sst>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細明體"/>
      <family val="3"/>
      <charset val="136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9900"/>
      <name val="Times New Roman"/>
      <family val="1"/>
    </font>
    <font>
      <b/>
      <sz val="12"/>
      <color rgb="FF7030A0"/>
      <name val="Times New Roman"/>
      <family val="1"/>
    </font>
    <font>
      <b/>
      <sz val="12"/>
      <color theme="1"/>
      <name val="Calibri"/>
      <family val="2"/>
      <charset val="136"/>
      <scheme val="minor"/>
    </font>
    <font>
      <b/>
      <u/>
      <sz val="12"/>
      <color theme="1"/>
      <name val="Calibri"/>
      <family val="2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4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5" borderId="4" xfId="0" applyFont="1" applyFill="1" applyBorder="1">
      <alignment vertical="center"/>
    </xf>
    <xf numFmtId="0" fontId="6" fillId="5" borderId="13" xfId="0" applyFont="1" applyFill="1" applyBorder="1">
      <alignment vertical="center"/>
    </xf>
    <xf numFmtId="0" fontId="6" fillId="5" borderId="14" xfId="0" applyFont="1" applyFill="1" applyBorder="1">
      <alignment vertical="center"/>
    </xf>
    <xf numFmtId="0" fontId="6" fillId="7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6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0" fontId="6" fillId="5" borderId="6" xfId="0" applyFont="1" applyFill="1" applyBorder="1" applyAlignment="1">
      <alignment horizontal="center" vertical="center"/>
    </xf>
    <xf numFmtId="0" fontId="7" fillId="5" borderId="6" xfId="0" applyFont="1" applyFill="1" applyBorder="1">
      <alignment vertical="center"/>
    </xf>
    <xf numFmtId="0" fontId="4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6" fillId="10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6" fillId="9" borderId="1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11" borderId="6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6" fillId="4" borderId="6" xfId="0" applyFont="1" applyFill="1" applyBorder="1" applyAlignment="1">
      <alignment horizontal="center" vertical="center"/>
    </xf>
    <xf numFmtId="0" fontId="4" fillId="6" borderId="6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10" borderId="1" xfId="0" applyFont="1" applyFill="1" applyBorder="1" applyAlignment="1">
      <alignment horizontal="left" vertical="center"/>
    </xf>
    <xf numFmtId="0" fontId="4" fillId="13" borderId="1" xfId="0" applyFont="1" applyFill="1" applyBorder="1">
      <alignment vertical="center"/>
    </xf>
    <xf numFmtId="0" fontId="4" fillId="13" borderId="6" xfId="0" applyFont="1" applyFill="1" applyBorder="1">
      <alignment vertical="center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7" fillId="5" borderId="7" xfId="0" applyFont="1" applyFill="1" applyBorder="1">
      <alignment vertical="center"/>
    </xf>
    <xf numFmtId="0" fontId="4" fillId="12" borderId="10" xfId="0" applyFont="1" applyFill="1" applyBorder="1">
      <alignment vertical="center"/>
    </xf>
    <xf numFmtId="0" fontId="4" fillId="12" borderId="11" xfId="0" applyFont="1" applyFill="1" applyBorder="1">
      <alignment vertical="center"/>
    </xf>
    <xf numFmtId="0" fontId="4" fillId="12" borderId="13" xfId="0" applyFont="1" applyFill="1" applyBorder="1">
      <alignment vertical="center"/>
    </xf>
    <xf numFmtId="0" fontId="4" fillId="12" borderId="1" xfId="0" applyFont="1" applyFill="1" applyBorder="1">
      <alignment vertical="center"/>
    </xf>
    <xf numFmtId="0" fontId="4" fillId="12" borderId="20" xfId="0" applyFont="1" applyFill="1" applyBorder="1">
      <alignment vertical="center"/>
    </xf>
    <xf numFmtId="0" fontId="4" fillId="12" borderId="21" xfId="0" applyFont="1" applyFill="1" applyBorder="1">
      <alignment vertical="center"/>
    </xf>
    <xf numFmtId="0" fontId="4" fillId="12" borderId="14" xfId="0" applyFont="1" applyFill="1" applyBorder="1">
      <alignment vertical="center"/>
    </xf>
    <xf numFmtId="0" fontId="4" fillId="12" borderId="4" xfId="0" applyFont="1" applyFill="1" applyBorder="1">
      <alignment vertical="center"/>
    </xf>
    <xf numFmtId="0" fontId="6" fillId="11" borderId="11" xfId="0" applyFont="1" applyFill="1" applyBorder="1" applyAlignment="1">
      <alignment horizontal="left" vertical="center"/>
    </xf>
    <xf numFmtId="0" fontId="6" fillId="11" borderId="11" xfId="0" applyFont="1" applyFill="1" applyBorder="1">
      <alignment vertical="center"/>
    </xf>
    <xf numFmtId="0" fontId="6" fillId="11" borderId="4" xfId="0" applyFont="1" applyFill="1" applyBorder="1">
      <alignment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11" fillId="0" borderId="0" xfId="0" applyFont="1">
      <alignment vertical="center"/>
    </xf>
    <xf numFmtId="0" fontId="10" fillId="0" borderId="2" xfId="0" applyFont="1" applyBorder="1" applyAlignment="1">
      <alignment vertical="center" wrapText="1"/>
    </xf>
    <xf numFmtId="0" fontId="6" fillId="7" borderId="13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</cellXfs>
  <cellStyles count="1">
    <cellStyle name="Normal" xfId="0" builtinId="0"/>
  </cellStyles>
  <dxfs count="5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CCFF"/>
      <color rgb="FF99FFCC"/>
      <color rgb="FF009900"/>
      <color rgb="FFFF9900"/>
      <color rgb="FF66FF66"/>
      <color rgb="FF33CC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zoomScaleNormal="100" workbookViewId="0">
      <pane ySplit="1" topLeftCell="A11" activePane="bottomLeft" state="frozen"/>
      <selection pane="bottomLeft" activeCell="L6" sqref="L6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125" style="4" bestFit="1" customWidth="1"/>
    <col min="5" max="5" width="20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3" width="9" style="4"/>
    <col min="14" max="14" width="19.375" style="4" bestFit="1" customWidth="1"/>
    <col min="15" max="16384" width="9" style="4"/>
  </cols>
  <sheetData>
    <row r="1" spans="1:9">
      <c r="B1" s="121" t="s">
        <v>328</v>
      </c>
      <c r="C1" s="122"/>
      <c r="D1" s="122"/>
      <c r="E1" s="122"/>
      <c r="F1" s="122"/>
      <c r="G1" s="122"/>
      <c r="H1" s="122"/>
      <c r="I1" s="123"/>
    </row>
    <row r="2" spans="1:9" s="5" customFormat="1" ht="16.5" thickBot="1">
      <c r="A2" s="124"/>
      <c r="B2" s="75" t="s">
        <v>10</v>
      </c>
      <c r="C2" s="28" t="s">
        <v>8</v>
      </c>
      <c r="D2" s="28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4"/>
      <c r="B3" s="125" t="s">
        <v>7</v>
      </c>
      <c r="C3" s="95">
        <v>26</v>
      </c>
      <c r="D3" s="95" t="s">
        <v>13</v>
      </c>
      <c r="E3" s="94" t="s">
        <v>295</v>
      </c>
      <c r="F3" s="94" t="str">
        <f>VLOOKUP(E3,'CH assign'!A:B,2,0)</f>
        <v>D32102</v>
      </c>
      <c r="G3" s="76">
        <f>VLOOKUP(F3,Etch_Length_From_Layout!A:B,2,0)</f>
        <v>7574</v>
      </c>
      <c r="H3" s="80">
        <f>G3</f>
        <v>7574</v>
      </c>
      <c r="I3" s="14" t="str">
        <f>IF(ABS(H3-H4)&lt;1,"PASS","FAIL")</f>
        <v>PASS</v>
      </c>
    </row>
    <row r="4" spans="1:9">
      <c r="A4" s="124"/>
      <c r="B4" s="120"/>
      <c r="C4" s="96">
        <v>27</v>
      </c>
      <c r="D4" s="96" t="s">
        <v>14</v>
      </c>
      <c r="E4" s="6" t="s">
        <v>294</v>
      </c>
      <c r="F4" s="6" t="str">
        <f>VLOOKUP(E4,'CH assign'!A:B,2,0)</f>
        <v>D32104</v>
      </c>
      <c r="G4" s="7">
        <f>VLOOKUP(F4,Etch_Length_From_Layout!A:B,2,0)</f>
        <v>7573.01</v>
      </c>
      <c r="H4" s="10">
        <f t="shared" ref="H4:H18" si="0">G4</f>
        <v>7573.01</v>
      </c>
      <c r="I4" s="11"/>
    </row>
    <row r="5" spans="1:9">
      <c r="A5" s="124"/>
      <c r="B5" s="120"/>
      <c r="C5" s="96">
        <v>29</v>
      </c>
      <c r="D5" s="96" t="s">
        <v>15</v>
      </c>
      <c r="E5" s="6" t="s">
        <v>297</v>
      </c>
      <c r="F5" s="6" t="str">
        <f>VLOOKUP(E5,'CH assign'!A:B,2,0)</f>
        <v>D32106</v>
      </c>
      <c r="G5" s="7">
        <f>VLOOKUP(F5,Etch_Length_From_Layout!A:B,2,0)</f>
        <v>7573.48</v>
      </c>
      <c r="H5" s="10">
        <f t="shared" si="0"/>
        <v>7573.48</v>
      </c>
      <c r="I5" s="11" t="str">
        <f>IF(ABS(H5-H6)&lt;1,"PASS","FAIL")</f>
        <v>PASS</v>
      </c>
    </row>
    <row r="6" spans="1:9">
      <c r="A6" s="124"/>
      <c r="B6" s="120"/>
      <c r="C6" s="96">
        <v>30</v>
      </c>
      <c r="D6" s="96" t="s">
        <v>16</v>
      </c>
      <c r="E6" s="6" t="s">
        <v>296</v>
      </c>
      <c r="F6" s="6" t="str">
        <f>VLOOKUP(E6,'CH assign'!A:B,2,0)</f>
        <v>D32108</v>
      </c>
      <c r="G6" s="7">
        <f>VLOOKUP(F6,Etch_Length_From_Layout!A:B,2,0)</f>
        <v>7573.02</v>
      </c>
      <c r="H6" s="10">
        <f t="shared" si="0"/>
        <v>7573.02</v>
      </c>
      <c r="I6" s="11"/>
    </row>
    <row r="7" spans="1:9">
      <c r="B7" s="120"/>
      <c r="C7" s="96">
        <v>32</v>
      </c>
      <c r="D7" s="96" t="s">
        <v>17</v>
      </c>
      <c r="E7" s="6" t="s">
        <v>299</v>
      </c>
      <c r="F7" s="6" t="str">
        <f>VLOOKUP(E7,'CH assign'!A:B,2,0)</f>
        <v>D32110</v>
      </c>
      <c r="G7" s="7">
        <f>VLOOKUP(F7,Etch_Length_From_Layout!A:B,2,0)</f>
        <v>7573.06</v>
      </c>
      <c r="H7" s="10">
        <f t="shared" si="0"/>
        <v>7573.06</v>
      </c>
      <c r="I7" s="11" t="str">
        <f>IF(ABS(H7-H8)&lt;1,"PASS","FAIL")</f>
        <v>PASS</v>
      </c>
    </row>
    <row r="8" spans="1:9">
      <c r="B8" s="120"/>
      <c r="C8" s="96">
        <v>33</v>
      </c>
      <c r="D8" s="96" t="s">
        <v>18</v>
      </c>
      <c r="E8" s="6" t="s">
        <v>298</v>
      </c>
      <c r="F8" s="6" t="str">
        <f>VLOOKUP(E8,'CH assign'!A:B,2,0)</f>
        <v>D32112</v>
      </c>
      <c r="G8" s="7">
        <f>VLOOKUP(F8,Etch_Length_From_Layout!A:B,2,0)</f>
        <v>7573.62</v>
      </c>
      <c r="H8" s="10">
        <f t="shared" si="0"/>
        <v>7573.62</v>
      </c>
      <c r="I8" s="11"/>
    </row>
    <row r="9" spans="1:9">
      <c r="B9" s="120"/>
      <c r="C9" s="96">
        <v>35</v>
      </c>
      <c r="D9" s="96" t="s">
        <v>19</v>
      </c>
      <c r="E9" s="6" t="s">
        <v>301</v>
      </c>
      <c r="F9" s="6" t="str">
        <f>VLOOKUP(E9,'CH assign'!A:B,2,0)</f>
        <v>D32114</v>
      </c>
      <c r="G9" s="7">
        <f>VLOOKUP(F9,Etch_Length_From_Layout!A:B,2,0)</f>
        <v>7573.1</v>
      </c>
      <c r="H9" s="10">
        <f t="shared" si="0"/>
        <v>7573.1</v>
      </c>
      <c r="I9" s="11" t="str">
        <f>IF(ABS(H9-H10)&lt;1,"PASS","FAIL")</f>
        <v>PASS</v>
      </c>
    </row>
    <row r="10" spans="1:9">
      <c r="B10" s="120"/>
      <c r="C10" s="96">
        <v>36</v>
      </c>
      <c r="D10" s="96" t="s">
        <v>20</v>
      </c>
      <c r="E10" s="6" t="s">
        <v>300</v>
      </c>
      <c r="F10" s="6" t="str">
        <f>VLOOKUP(E10,'CH assign'!A:B,2,0)</f>
        <v>D32116</v>
      </c>
      <c r="G10" s="7">
        <f>VLOOKUP(F10,Etch_Length_From_Layout!A:B,2,0)</f>
        <v>7573.15</v>
      </c>
      <c r="H10" s="10">
        <f t="shared" si="0"/>
        <v>7573.15</v>
      </c>
      <c r="I10" s="11"/>
    </row>
    <row r="11" spans="1:9">
      <c r="B11" s="120" t="s">
        <v>11</v>
      </c>
      <c r="C11" s="96">
        <v>26</v>
      </c>
      <c r="D11" s="96" t="s">
        <v>13</v>
      </c>
      <c r="E11" s="6" t="s">
        <v>304</v>
      </c>
      <c r="F11" s="6" t="str">
        <f>VLOOKUP(E11,'CH assign'!A:B,2,0)</f>
        <v>D30502</v>
      </c>
      <c r="G11" s="7">
        <f>VLOOKUP(F11,Etch_Length_From_Layout!A:B,2,0)</f>
        <v>7573.06</v>
      </c>
      <c r="H11" s="10">
        <f t="shared" si="0"/>
        <v>7573.06</v>
      </c>
      <c r="I11" s="11" t="str">
        <f>IF(ABS(H11-H12)&lt;1,"PASS","FAIL")</f>
        <v>PASS</v>
      </c>
    </row>
    <row r="12" spans="1:9">
      <c r="B12" s="120"/>
      <c r="C12" s="96">
        <v>27</v>
      </c>
      <c r="D12" s="96" t="s">
        <v>14</v>
      </c>
      <c r="E12" s="6" t="s">
        <v>305</v>
      </c>
      <c r="F12" s="6" t="str">
        <f>VLOOKUP(E12,'CH assign'!A:B,2,0)</f>
        <v>D30504</v>
      </c>
      <c r="G12" s="7">
        <f>VLOOKUP(F12,Etch_Length_From_Layout!A:B,2,0)</f>
        <v>7573.95</v>
      </c>
      <c r="H12" s="10">
        <f t="shared" si="0"/>
        <v>7573.95</v>
      </c>
      <c r="I12" s="11"/>
    </row>
    <row r="13" spans="1:9">
      <c r="B13" s="120"/>
      <c r="C13" s="96">
        <v>29</v>
      </c>
      <c r="D13" s="96" t="s">
        <v>15</v>
      </c>
      <c r="E13" s="6" t="s">
        <v>306</v>
      </c>
      <c r="F13" s="6" t="str">
        <f>VLOOKUP(E13,'CH assign'!A:B,2,0)</f>
        <v>D30506</v>
      </c>
      <c r="G13" s="7">
        <f>VLOOKUP(F13,Etch_Length_From_Layout!A:B,2,0)</f>
        <v>7573.03</v>
      </c>
      <c r="H13" s="10">
        <f t="shared" si="0"/>
        <v>7573.03</v>
      </c>
      <c r="I13" s="11" t="str">
        <f>IF(ABS(H13-H14)&lt;1,"PASS","FAIL")</f>
        <v>PASS</v>
      </c>
    </row>
    <row r="14" spans="1:9">
      <c r="B14" s="120"/>
      <c r="C14" s="96">
        <v>30</v>
      </c>
      <c r="D14" s="96" t="s">
        <v>16</v>
      </c>
      <c r="E14" s="6" t="s">
        <v>307</v>
      </c>
      <c r="F14" s="6" t="str">
        <f>VLOOKUP(E14,'CH assign'!A:B,2,0)</f>
        <v>D30508</v>
      </c>
      <c r="G14" s="7">
        <f>VLOOKUP(F14,Etch_Length_From_Layout!A:B,2,0)</f>
        <v>7573.94</v>
      </c>
      <c r="H14" s="10">
        <f t="shared" si="0"/>
        <v>7573.94</v>
      </c>
      <c r="I14" s="11"/>
    </row>
    <row r="15" spans="1:9">
      <c r="B15" s="120"/>
      <c r="C15" s="96">
        <v>32</v>
      </c>
      <c r="D15" s="96" t="s">
        <v>17</v>
      </c>
      <c r="E15" s="6" t="s">
        <v>308</v>
      </c>
      <c r="F15" s="6" t="str">
        <f>VLOOKUP(E15,'CH assign'!A:B,2,0)</f>
        <v>D30510</v>
      </c>
      <c r="G15" s="7">
        <f>VLOOKUP(F15,Etch_Length_From_Layout!A:B,2,0)</f>
        <v>7573.31</v>
      </c>
      <c r="H15" s="10">
        <f t="shared" si="0"/>
        <v>7573.31</v>
      </c>
      <c r="I15" s="11" t="str">
        <f>IF(ABS(H15-H16)&lt;1,"PASS","FAIL")</f>
        <v>PASS</v>
      </c>
    </row>
    <row r="16" spans="1:9">
      <c r="B16" s="120"/>
      <c r="C16" s="96">
        <v>33</v>
      </c>
      <c r="D16" s="96" t="s">
        <v>18</v>
      </c>
      <c r="E16" s="6" t="s">
        <v>309</v>
      </c>
      <c r="F16" s="6" t="str">
        <f>VLOOKUP(E16,'CH assign'!A:B,2,0)</f>
        <v>D30512</v>
      </c>
      <c r="G16" s="7">
        <f>VLOOKUP(F16,Etch_Length_From_Layout!A:B,2,0)</f>
        <v>7573.82</v>
      </c>
      <c r="H16" s="10">
        <f t="shared" si="0"/>
        <v>7573.82</v>
      </c>
      <c r="I16" s="11"/>
    </row>
    <row r="17" spans="2:9">
      <c r="B17" s="120"/>
      <c r="C17" s="96">
        <v>35</v>
      </c>
      <c r="D17" s="96" t="s">
        <v>19</v>
      </c>
      <c r="E17" s="6" t="s">
        <v>310</v>
      </c>
      <c r="F17" s="6" t="str">
        <f>VLOOKUP(E17,'CH assign'!A:B,2,0)</f>
        <v>D30514</v>
      </c>
      <c r="G17" s="7">
        <f>VLOOKUP(F17,Etch_Length_From_Layout!A:B,2,0)</f>
        <v>7573.7</v>
      </c>
      <c r="H17" s="10">
        <f t="shared" si="0"/>
        <v>7573.7</v>
      </c>
      <c r="I17" s="11" t="str">
        <f>IF(ABS(H17-H18)&lt;1,"PASS","FAIL")</f>
        <v>PASS</v>
      </c>
    </row>
    <row r="18" spans="2:9">
      <c r="B18" s="120"/>
      <c r="C18" s="96">
        <v>36</v>
      </c>
      <c r="D18" s="96" t="s">
        <v>20</v>
      </c>
      <c r="E18" s="6" t="s">
        <v>311</v>
      </c>
      <c r="F18" s="6" t="str">
        <f>VLOOKUP(E18,'CH assign'!A:B,2,0)</f>
        <v>D30516</v>
      </c>
      <c r="G18" s="7">
        <f>VLOOKUP(F18,Etch_Length_From_Layout!A:B,2,0)</f>
        <v>7573.11</v>
      </c>
      <c r="H18" s="10">
        <f t="shared" si="0"/>
        <v>7573.11</v>
      </c>
      <c r="I18" s="11"/>
    </row>
    <row r="19" spans="2:9">
      <c r="B19" s="120" t="s">
        <v>302</v>
      </c>
      <c r="C19" s="96">
        <v>26</v>
      </c>
      <c r="D19" s="96" t="s">
        <v>13</v>
      </c>
      <c r="E19" s="6" t="s">
        <v>312</v>
      </c>
      <c r="F19" s="6" t="str">
        <f>VLOOKUP(E19,'CH assign'!A:B,2,0)</f>
        <v>D31702</v>
      </c>
      <c r="G19" s="7">
        <f>VLOOKUP(F19,Etch_Length_From_Layout!A:B,2,0)</f>
        <v>7573.5</v>
      </c>
      <c r="H19" s="10">
        <f t="shared" ref="H19:H26" si="1">G19</f>
        <v>7573.5</v>
      </c>
      <c r="I19" s="11" t="str">
        <f>IF(ABS(H19-H20)&lt;1,"PASS","FAIL")</f>
        <v>PASS</v>
      </c>
    </row>
    <row r="20" spans="2:9">
      <c r="B20" s="120"/>
      <c r="C20" s="96">
        <v>27</v>
      </c>
      <c r="D20" s="96" t="s">
        <v>14</v>
      </c>
      <c r="E20" s="6" t="s">
        <v>313</v>
      </c>
      <c r="F20" s="6" t="str">
        <f>VLOOKUP(E20,'CH assign'!A:B,2,0)</f>
        <v>D31704</v>
      </c>
      <c r="G20" s="7">
        <f>VLOOKUP(F20,Etch_Length_From_Layout!A:B,2,0)</f>
        <v>7573.18</v>
      </c>
      <c r="H20" s="10">
        <f t="shared" si="1"/>
        <v>7573.18</v>
      </c>
      <c r="I20" s="11"/>
    </row>
    <row r="21" spans="2:9">
      <c r="B21" s="120"/>
      <c r="C21" s="96">
        <v>29</v>
      </c>
      <c r="D21" s="96" t="s">
        <v>15</v>
      </c>
      <c r="E21" s="6" t="s">
        <v>314</v>
      </c>
      <c r="F21" s="6" t="str">
        <f>VLOOKUP(E21,'CH assign'!A:B,2,0)</f>
        <v>D31706</v>
      </c>
      <c r="G21" s="7">
        <f>VLOOKUP(F21,Etch_Length_From_Layout!A:B,2,0)</f>
        <v>7573.36</v>
      </c>
      <c r="H21" s="10">
        <f t="shared" si="1"/>
        <v>7573.36</v>
      </c>
      <c r="I21" s="11" t="str">
        <f>IF(ABS(H21-H22)&lt;1,"PASS","FAIL")</f>
        <v>PASS</v>
      </c>
    </row>
    <row r="22" spans="2:9">
      <c r="B22" s="120"/>
      <c r="C22" s="96">
        <v>30</v>
      </c>
      <c r="D22" s="96" t="s">
        <v>16</v>
      </c>
      <c r="E22" s="6" t="s">
        <v>315</v>
      </c>
      <c r="F22" s="6" t="str">
        <f>VLOOKUP(E22,'CH assign'!A:B,2,0)</f>
        <v>D31708</v>
      </c>
      <c r="G22" s="7">
        <f>VLOOKUP(F22,Etch_Length_From_Layout!A:B,2,0)</f>
        <v>7573.17</v>
      </c>
      <c r="H22" s="10">
        <f t="shared" si="1"/>
        <v>7573.17</v>
      </c>
      <c r="I22" s="11"/>
    </row>
    <row r="23" spans="2:9">
      <c r="B23" s="120"/>
      <c r="C23" s="96">
        <v>32</v>
      </c>
      <c r="D23" s="96" t="s">
        <v>17</v>
      </c>
      <c r="E23" s="6" t="s">
        <v>316</v>
      </c>
      <c r="F23" s="6" t="str">
        <f>VLOOKUP(E23,'CH assign'!A:B,2,0)</f>
        <v>D31710</v>
      </c>
      <c r="G23" s="7">
        <f>VLOOKUP(F23,Etch_Length_From_Layout!A:B,2,0)</f>
        <v>7573.08</v>
      </c>
      <c r="H23" s="10">
        <f t="shared" si="1"/>
        <v>7573.08</v>
      </c>
      <c r="I23" s="11" t="str">
        <f>IF(ABS(H23-H24)&lt;1,"PASS","FAIL")</f>
        <v>PASS</v>
      </c>
    </row>
    <row r="24" spans="2:9">
      <c r="B24" s="120"/>
      <c r="C24" s="96">
        <v>33</v>
      </c>
      <c r="D24" s="96" t="s">
        <v>18</v>
      </c>
      <c r="E24" s="6" t="s">
        <v>317</v>
      </c>
      <c r="F24" s="6" t="str">
        <f>VLOOKUP(E24,'CH assign'!A:B,2,0)</f>
        <v>D31712</v>
      </c>
      <c r="G24" s="7">
        <f>VLOOKUP(F24,Etch_Length_From_Layout!A:B,2,0)</f>
        <v>7573.83</v>
      </c>
      <c r="H24" s="10">
        <f t="shared" si="1"/>
        <v>7573.83</v>
      </c>
      <c r="I24" s="11"/>
    </row>
    <row r="25" spans="2:9">
      <c r="B25" s="120"/>
      <c r="C25" s="96">
        <v>35</v>
      </c>
      <c r="D25" s="96" t="s">
        <v>19</v>
      </c>
      <c r="E25" s="6" t="s">
        <v>318</v>
      </c>
      <c r="F25" s="6" t="str">
        <f>VLOOKUP(E25,'CH assign'!A:B,2,0)</f>
        <v>D31714</v>
      </c>
      <c r="G25" s="7">
        <f>VLOOKUP(F25,Etch_Length_From_Layout!A:B,2,0)</f>
        <v>7573.05</v>
      </c>
      <c r="H25" s="10">
        <f t="shared" si="1"/>
        <v>7573.05</v>
      </c>
      <c r="I25" s="11" t="str">
        <f>IF(ABS(H25-H26)&lt;1,"PASS","FAIL")</f>
        <v>PASS</v>
      </c>
    </row>
    <row r="26" spans="2:9">
      <c r="B26" s="120"/>
      <c r="C26" s="96">
        <v>36</v>
      </c>
      <c r="D26" s="96" t="s">
        <v>20</v>
      </c>
      <c r="E26" s="6" t="s">
        <v>319</v>
      </c>
      <c r="F26" s="6" t="str">
        <f>VLOOKUP(E26,'CH assign'!A:B,2,0)</f>
        <v>D31716</v>
      </c>
      <c r="G26" s="7">
        <f>VLOOKUP(F26,Etch_Length_From_Layout!A:B,2,0)</f>
        <v>7573.86</v>
      </c>
      <c r="H26" s="10">
        <f t="shared" si="1"/>
        <v>7573.86</v>
      </c>
      <c r="I26" s="11"/>
    </row>
    <row r="27" spans="2:9">
      <c r="B27" s="120" t="s">
        <v>303</v>
      </c>
      <c r="C27" s="96">
        <v>26</v>
      </c>
      <c r="D27" s="96" t="s">
        <v>13</v>
      </c>
      <c r="E27" s="6" t="s">
        <v>320</v>
      </c>
      <c r="F27" s="6" t="str">
        <f>VLOOKUP(E27,'CH assign'!A:B,2,0)</f>
        <v>D30102</v>
      </c>
      <c r="G27" s="7">
        <f>VLOOKUP(F27,Etch_Length_From_Layout!A:B,2,0)</f>
        <v>7573.89</v>
      </c>
      <c r="H27" s="10">
        <f t="shared" ref="H27:H34" si="2">G27</f>
        <v>7573.89</v>
      </c>
      <c r="I27" s="11" t="str">
        <f>IF(ABS(H27-H28)&lt;1,"PASS","FAIL")</f>
        <v>PASS</v>
      </c>
    </row>
    <row r="28" spans="2:9">
      <c r="B28" s="120"/>
      <c r="C28" s="96">
        <v>27</v>
      </c>
      <c r="D28" s="96" t="s">
        <v>14</v>
      </c>
      <c r="E28" s="6" t="s">
        <v>321</v>
      </c>
      <c r="F28" s="6" t="str">
        <f>VLOOKUP(E28,'CH assign'!A:B,2,0)</f>
        <v>D30104</v>
      </c>
      <c r="G28" s="7">
        <f>VLOOKUP(F28,Etch_Length_From_Layout!A:B,2,0)</f>
        <v>7573.69</v>
      </c>
      <c r="H28" s="10">
        <f t="shared" si="2"/>
        <v>7573.69</v>
      </c>
      <c r="I28" s="11"/>
    </row>
    <row r="29" spans="2:9">
      <c r="B29" s="120"/>
      <c r="C29" s="96">
        <v>29</v>
      </c>
      <c r="D29" s="96" t="s">
        <v>15</v>
      </c>
      <c r="E29" s="6" t="s">
        <v>322</v>
      </c>
      <c r="F29" s="6" t="str">
        <f>VLOOKUP(E29,'CH assign'!A:B,2,0)</f>
        <v>D30106</v>
      </c>
      <c r="G29" s="7">
        <f>VLOOKUP(F29,Etch_Length_From_Layout!A:B,2,0)</f>
        <v>7573.64</v>
      </c>
      <c r="H29" s="10">
        <f t="shared" si="2"/>
        <v>7573.64</v>
      </c>
      <c r="I29" s="11" t="str">
        <f>IF(ABS(H29-H30)&lt;1,"PASS","FAIL")</f>
        <v>PASS</v>
      </c>
    </row>
    <row r="30" spans="2:9">
      <c r="B30" s="120"/>
      <c r="C30" s="96">
        <v>30</v>
      </c>
      <c r="D30" s="96" t="s">
        <v>16</v>
      </c>
      <c r="E30" s="6" t="s">
        <v>323</v>
      </c>
      <c r="F30" s="6" t="str">
        <f>VLOOKUP(E30,'CH assign'!A:B,2,0)</f>
        <v>D30108</v>
      </c>
      <c r="G30" s="7">
        <f>VLOOKUP(F30,Etch_Length_From_Layout!A:B,2,0)</f>
        <v>7573.03</v>
      </c>
      <c r="H30" s="10">
        <f t="shared" si="2"/>
        <v>7573.03</v>
      </c>
      <c r="I30" s="11"/>
    </row>
    <row r="31" spans="2:9">
      <c r="B31" s="120"/>
      <c r="C31" s="96">
        <v>32</v>
      </c>
      <c r="D31" s="96" t="s">
        <v>17</v>
      </c>
      <c r="E31" s="6" t="s">
        <v>324</v>
      </c>
      <c r="F31" s="6" t="str">
        <f>VLOOKUP(E31,'CH assign'!A:B,2,0)</f>
        <v>D30110</v>
      </c>
      <c r="G31" s="7">
        <f>VLOOKUP(F31,Etch_Length_From_Layout!A:B,2,0)</f>
        <v>7573.02</v>
      </c>
      <c r="H31" s="10">
        <f t="shared" si="2"/>
        <v>7573.02</v>
      </c>
      <c r="I31" s="11" t="str">
        <f>IF(ABS(H31-H32)&lt;1,"PASS","FAIL")</f>
        <v>PASS</v>
      </c>
    </row>
    <row r="32" spans="2:9">
      <c r="B32" s="120"/>
      <c r="C32" s="96">
        <v>33</v>
      </c>
      <c r="D32" s="96" t="s">
        <v>18</v>
      </c>
      <c r="E32" s="6" t="s">
        <v>325</v>
      </c>
      <c r="F32" s="6" t="str">
        <f>VLOOKUP(E32,'CH assign'!A:B,2,0)</f>
        <v>D30112</v>
      </c>
      <c r="G32" s="7">
        <f>VLOOKUP(F32,Etch_Length_From_Layout!A:B,2,0)</f>
        <v>7573.86</v>
      </c>
      <c r="H32" s="10">
        <f t="shared" si="2"/>
        <v>7573.86</v>
      </c>
      <c r="I32" s="11"/>
    </row>
    <row r="33" spans="2:9">
      <c r="B33" s="120"/>
      <c r="C33" s="96">
        <v>35</v>
      </c>
      <c r="D33" s="96" t="s">
        <v>19</v>
      </c>
      <c r="E33" s="6" t="s">
        <v>326</v>
      </c>
      <c r="F33" s="6" t="str">
        <f>VLOOKUP(E33,'CH assign'!A:B,2,0)</f>
        <v>D30114</v>
      </c>
      <c r="G33" s="7">
        <f>VLOOKUP(F33,Etch_Length_From_Layout!A:B,2,0)</f>
        <v>7573.42</v>
      </c>
      <c r="H33" s="10">
        <f t="shared" si="2"/>
        <v>7573.42</v>
      </c>
      <c r="I33" s="11" t="str">
        <f>IF(ABS(H33-H34)&lt;1,"PASS","FAIL")</f>
        <v>PASS</v>
      </c>
    </row>
    <row r="34" spans="2:9">
      <c r="B34" s="120"/>
      <c r="C34" s="96">
        <v>36</v>
      </c>
      <c r="D34" s="96" t="s">
        <v>20</v>
      </c>
      <c r="E34" s="6" t="s">
        <v>327</v>
      </c>
      <c r="F34" s="6" t="str">
        <f>VLOOKUP(E34,'CH assign'!A:B,2,0)</f>
        <v>D30116</v>
      </c>
      <c r="G34" s="7">
        <f>VLOOKUP(F34,Etch_Length_From_Layout!A:B,2,0)</f>
        <v>7573.3</v>
      </c>
      <c r="H34" s="10">
        <f t="shared" si="2"/>
        <v>7573.3</v>
      </c>
      <c r="I34" s="11"/>
    </row>
    <row r="35" spans="2:9">
      <c r="B35" s="22"/>
      <c r="C35" s="16"/>
      <c r="D35" s="16"/>
      <c r="E35" s="20"/>
      <c r="F35" s="20"/>
      <c r="G35" s="18" t="s">
        <v>0</v>
      </c>
      <c r="H35" s="8">
        <f>MAX(H3:H34)</f>
        <v>7574</v>
      </c>
      <c r="I35" s="92"/>
    </row>
    <row r="36" spans="2:9">
      <c r="B36" s="22"/>
      <c r="C36" s="16"/>
      <c r="D36" s="16"/>
      <c r="E36" s="20"/>
      <c r="F36" s="20"/>
      <c r="G36" s="18" t="s">
        <v>1</v>
      </c>
      <c r="H36" s="8">
        <f>MIN(H3:H34)</f>
        <v>7573.01</v>
      </c>
      <c r="I36" s="92"/>
    </row>
    <row r="37" spans="2:9">
      <c r="B37" s="22"/>
      <c r="C37" s="16"/>
      <c r="D37" s="16"/>
      <c r="E37" s="20"/>
      <c r="F37" s="20"/>
      <c r="G37" s="18" t="s">
        <v>2</v>
      </c>
      <c r="H37" s="8">
        <f>H35-H36</f>
        <v>0.98999999999978172</v>
      </c>
      <c r="I37" s="92"/>
    </row>
    <row r="38" spans="2:9" ht="16.5" thickBot="1">
      <c r="B38" s="23"/>
      <c r="C38" s="17"/>
      <c r="D38" s="17"/>
      <c r="E38" s="21"/>
      <c r="F38" s="21"/>
      <c r="G38" s="19" t="s">
        <v>3</v>
      </c>
      <c r="H38" s="9" t="str">
        <f>IF(H37&lt;=1,"PASS", "FAIL")</f>
        <v>PASS</v>
      </c>
      <c r="I38" s="93"/>
    </row>
  </sheetData>
  <sortState xmlns:xlrd2="http://schemas.microsoft.com/office/spreadsheetml/2017/richdata2" ref="Q6:S181">
    <sortCondition ref="Q6:Q181"/>
  </sortState>
  <mergeCells count="6">
    <mergeCell ref="B27:B34"/>
    <mergeCell ref="B1:I1"/>
    <mergeCell ref="A2:A6"/>
    <mergeCell ref="B3:B10"/>
    <mergeCell ref="B11:B18"/>
    <mergeCell ref="B19:B26"/>
  </mergeCells>
  <phoneticPr fontId="1" type="noConversion"/>
  <conditionalFormatting sqref="A5:O197 T5:XFD189">
    <cfRule type="containsText" dxfId="57" priority="3" operator="containsText" text="FAIL">
      <formula>NOT(ISERROR(SEARCH("FAIL",A5)))</formula>
    </cfRule>
  </conditionalFormatting>
  <conditionalFormatting sqref="A1:XFD4 Q190:XFD197 A198:XFD1048576">
    <cfRule type="containsText" dxfId="56" priority="7" operator="containsText" text="FAIL">
      <formula>NOT(ISERROR(SEARCH("FAIL",A1)))</formula>
    </cfRule>
    <cfRule type="containsText" dxfId="55" priority="8" operator="containsText" text="PASS">
      <formula>NOT(ISERROR(SEARCH("PASS",A1)))</formula>
    </cfRule>
  </conditionalFormatting>
  <conditionalFormatting sqref="H38">
    <cfRule type="containsText" dxfId="54" priority="1" operator="containsText" text="pass">
      <formula>NOT(ISERROR(SEARCH("pass",H38)))</formula>
    </cfRule>
    <cfRule type="containsText" dxfId="53" priority="2" operator="containsText" text="fail">
      <formula>NOT(ISERROR(SEARCH("fail",H38)))</formula>
    </cfRule>
  </conditionalFormatting>
  <conditionalFormatting sqref="T5:XFD189 A5:O197">
    <cfRule type="containsText" dxfId="52" priority="4" operator="containsText" text="PASS">
      <formula>NOT(ISERROR(SEARCH("PASS",A5)))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0"/>
  <sheetViews>
    <sheetView zoomScaleNormal="100" workbookViewId="0">
      <pane ySplit="1" topLeftCell="A218" activePane="bottomLeft" state="frozen"/>
      <selection pane="bottomLeft" activeCell="K243" sqref="K243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75" style="4" bestFit="1" customWidth="1"/>
    <col min="5" max="5" width="21.875" style="4" bestFit="1" customWidth="1"/>
    <col min="6" max="6" width="8.375" style="4" bestFit="1" customWidth="1"/>
    <col min="7" max="7" width="12.75" style="4" bestFit="1" customWidth="1"/>
    <col min="8" max="8" width="21.5" style="4" bestFit="1" customWidth="1"/>
    <col min="9" max="9" width="21.5" style="4" customWidth="1"/>
    <col min="10" max="10" width="12.75" style="4" customWidth="1"/>
    <col min="11" max="11" width="17.375" style="4" bestFit="1" customWidth="1"/>
    <col min="12" max="12" width="11.375" style="4" bestFit="1" customWidth="1"/>
    <col min="13" max="16" width="9" style="4"/>
    <col min="20" max="16384" width="9" style="4"/>
  </cols>
  <sheetData>
    <row r="1" spans="1:12">
      <c r="B1" s="121" t="s">
        <v>335</v>
      </c>
      <c r="C1" s="122"/>
      <c r="D1" s="122"/>
      <c r="E1" s="122"/>
      <c r="F1" s="122"/>
      <c r="G1" s="122"/>
      <c r="H1" s="122"/>
      <c r="I1" s="122"/>
      <c r="J1" s="122"/>
      <c r="K1" s="122"/>
      <c r="L1" s="123"/>
    </row>
    <row r="2" spans="1:12" s="5" customFormat="1" ht="16.5" thickBot="1">
      <c r="A2" s="124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/>
      <c r="I2" s="86" t="s">
        <v>336</v>
      </c>
      <c r="J2" s="86" t="s">
        <v>5</v>
      </c>
      <c r="K2" s="86" t="s">
        <v>12</v>
      </c>
      <c r="L2" s="87" t="s">
        <v>6</v>
      </c>
    </row>
    <row r="3" spans="1:12">
      <c r="A3" s="124"/>
      <c r="B3" s="125" t="s">
        <v>7</v>
      </c>
      <c r="C3" s="88">
        <v>73</v>
      </c>
      <c r="D3" s="88" t="s">
        <v>157</v>
      </c>
      <c r="E3" s="82" t="s">
        <v>333</v>
      </c>
      <c r="F3" s="83"/>
      <c r="G3" s="76">
        <f>VLOOKUP(E3,Etch_Length_From_Layout!A:B,2,0)</f>
        <v>2867.74</v>
      </c>
      <c r="H3" s="78" t="s">
        <v>330</v>
      </c>
      <c r="I3" s="84" t="str">
        <f>VLOOKUP(H3,'CH assign'!$A:$B,2,0)</f>
        <v>D13105</v>
      </c>
      <c r="J3" s="76">
        <f>VLOOKUP(I3,Etch_Length_From_Layout!$A:$B,2,0)</f>
        <v>29954.55</v>
      </c>
      <c r="K3" s="80">
        <f>G3+J3</f>
        <v>32822.29</v>
      </c>
      <c r="L3" s="14" t="str">
        <f>IF(ABS(K3-K4)&lt;1,"PASS","FAIL")</f>
        <v>PASS</v>
      </c>
    </row>
    <row r="4" spans="1:12">
      <c r="A4" s="124"/>
      <c r="B4" s="120"/>
      <c r="C4" s="89">
        <v>74</v>
      </c>
      <c r="D4" s="89" t="s">
        <v>158</v>
      </c>
      <c r="E4" s="81" t="s">
        <v>209</v>
      </c>
      <c r="F4" s="42"/>
      <c r="G4" s="7">
        <f>VLOOKUP(E4,Etch_Length_From_Layout!A:B,2,0)</f>
        <v>2867.9</v>
      </c>
      <c r="H4" s="77" t="s">
        <v>332</v>
      </c>
      <c r="I4" s="79" t="str">
        <f>VLOOKUP(H4,'CH assign'!$A:$B,2,0)</f>
        <v>D13107</v>
      </c>
      <c r="J4" s="7">
        <f>VLOOKUP(I4,Etch_Length_From_Layout!$A:$B,2,0)</f>
        <v>29954.69</v>
      </c>
      <c r="K4" s="10">
        <f t="shared" ref="K4:K58" si="0">G4+J4</f>
        <v>32822.589999999997</v>
      </c>
      <c r="L4" s="11"/>
    </row>
    <row r="5" spans="1:12">
      <c r="A5" s="124"/>
      <c r="B5" s="120"/>
      <c r="C5" s="89">
        <v>75</v>
      </c>
      <c r="D5" s="89" t="s">
        <v>159</v>
      </c>
      <c r="E5" s="81" t="s">
        <v>211</v>
      </c>
      <c r="F5" s="42" t="str">
        <f>VLOOKUP(E5,'CH assign'!$A:$B,2,0)</f>
        <v>D13109</v>
      </c>
      <c r="G5" s="7">
        <f>VLOOKUP(F5,Etch_Length_From_Layout!A:B,2,0)</f>
        <v>32822.32</v>
      </c>
      <c r="H5" s="7"/>
      <c r="I5" s="7"/>
      <c r="J5" s="7"/>
      <c r="K5" s="10">
        <f t="shared" si="0"/>
        <v>32822.32</v>
      </c>
      <c r="L5" s="11" t="str">
        <f>IF(ABS(K5-K6)&lt;1,"PASS","FAIL")</f>
        <v>PASS</v>
      </c>
    </row>
    <row r="6" spans="1:12">
      <c r="A6" s="124"/>
      <c r="B6" s="120"/>
      <c r="C6" s="89">
        <v>76</v>
      </c>
      <c r="D6" s="89" t="s">
        <v>160</v>
      </c>
      <c r="E6" s="81" t="s">
        <v>210</v>
      </c>
      <c r="F6" s="42" t="str">
        <f>VLOOKUP(E6,'CH assign'!A:B,2,0)</f>
        <v>D13111</v>
      </c>
      <c r="G6" s="7">
        <f>VLOOKUP(F6,Etch_Length_From_Layout!A:B,2,0)</f>
        <v>32822.01</v>
      </c>
      <c r="H6" s="7"/>
      <c r="I6" s="7"/>
      <c r="J6" s="7"/>
      <c r="K6" s="10">
        <f t="shared" si="0"/>
        <v>32822.01</v>
      </c>
      <c r="L6" s="11"/>
    </row>
    <row r="7" spans="1:12">
      <c r="B7" s="120"/>
      <c r="C7" s="89">
        <v>79</v>
      </c>
      <c r="D7" s="89" t="s">
        <v>161</v>
      </c>
      <c r="E7" s="81" t="s">
        <v>213</v>
      </c>
      <c r="F7" s="42" t="str">
        <f>VLOOKUP(E7,'CH assign'!A:B,2,0)</f>
        <v>D13113</v>
      </c>
      <c r="G7" s="7">
        <f>VLOOKUP(F7,Etch_Length_From_Layout!A:B,2,0)</f>
        <v>32822.49</v>
      </c>
      <c r="H7" s="7"/>
      <c r="I7" s="7"/>
      <c r="J7" s="7"/>
      <c r="K7" s="10">
        <f t="shared" si="0"/>
        <v>32822.49</v>
      </c>
      <c r="L7" s="11" t="str">
        <f>IF(ABS(K7-K8)&lt;1,"PASS","FAIL")</f>
        <v>PASS</v>
      </c>
    </row>
    <row r="8" spans="1:12">
      <c r="B8" s="120"/>
      <c r="C8" s="89">
        <v>80</v>
      </c>
      <c r="D8" s="89" t="s">
        <v>162</v>
      </c>
      <c r="E8" s="81" t="s">
        <v>212</v>
      </c>
      <c r="F8" s="42" t="str">
        <f>VLOOKUP(E8,'CH assign'!A:B,2,0)</f>
        <v>D13115</v>
      </c>
      <c r="G8" s="7">
        <f>VLOOKUP(F8,Etch_Length_From_Layout!A:B,2,0)</f>
        <v>32822</v>
      </c>
      <c r="H8" s="7"/>
      <c r="I8" s="7"/>
      <c r="J8" s="7"/>
      <c r="K8" s="10">
        <f t="shared" si="0"/>
        <v>32822</v>
      </c>
      <c r="L8" s="11"/>
    </row>
    <row r="9" spans="1:12">
      <c r="B9" s="120"/>
      <c r="C9" s="89">
        <v>81</v>
      </c>
      <c r="D9" s="89" t="s">
        <v>163</v>
      </c>
      <c r="E9" s="81" t="s">
        <v>221</v>
      </c>
      <c r="F9" s="42" t="str">
        <f>VLOOKUP(E9,'CH assign'!A:B,2,0)</f>
        <v>D13214</v>
      </c>
      <c r="G9" s="7">
        <f>VLOOKUP(F9,Etch_Length_From_Layout!A:B,2,0)</f>
        <v>32822.339999999997</v>
      </c>
      <c r="H9" s="7"/>
      <c r="I9" s="7"/>
      <c r="J9" s="7"/>
      <c r="K9" s="10">
        <f t="shared" si="0"/>
        <v>32822.339999999997</v>
      </c>
      <c r="L9" s="11" t="str">
        <f>IF(ABS(K9-K10)&lt;1,"PASS","FAIL")</f>
        <v>PASS</v>
      </c>
    </row>
    <row r="10" spans="1:12">
      <c r="B10" s="120"/>
      <c r="C10" s="89">
        <v>82</v>
      </c>
      <c r="D10" s="89" t="s">
        <v>164</v>
      </c>
      <c r="E10" s="81" t="s">
        <v>220</v>
      </c>
      <c r="F10" s="42" t="str">
        <f>VLOOKUP(E10,'CH assign'!A:B,2,0)</f>
        <v>D13216</v>
      </c>
      <c r="G10" s="7">
        <f>VLOOKUP(F10,Etch_Length_From_Layout!A:B,2,0)</f>
        <v>32822.230000000003</v>
      </c>
      <c r="H10" s="7"/>
      <c r="I10" s="7"/>
      <c r="J10" s="7"/>
      <c r="K10" s="10">
        <f t="shared" si="0"/>
        <v>32822.230000000003</v>
      </c>
      <c r="L10" s="11"/>
    </row>
    <row r="11" spans="1:12">
      <c r="B11" s="120"/>
      <c r="C11" s="89">
        <v>83</v>
      </c>
      <c r="D11" s="89" t="s">
        <v>165</v>
      </c>
      <c r="E11" s="81" t="s">
        <v>215</v>
      </c>
      <c r="F11" s="42" t="str">
        <f>VLOOKUP(E11,'CH assign'!A:B,2,0)</f>
        <v>D12709</v>
      </c>
      <c r="G11" s="7">
        <f>VLOOKUP(F11,Etch_Length_From_Layout!A:B,2,0)</f>
        <v>32822.42</v>
      </c>
      <c r="H11" s="7"/>
      <c r="I11" s="7"/>
      <c r="J11" s="7"/>
      <c r="K11" s="10">
        <f t="shared" si="0"/>
        <v>32822.42</v>
      </c>
      <c r="L11" s="11" t="str">
        <f>IF(ABS(K11-K12)&lt;1,"PASS","FAIL")</f>
        <v>PASS</v>
      </c>
    </row>
    <row r="12" spans="1:12">
      <c r="B12" s="120"/>
      <c r="C12" s="89">
        <v>84</v>
      </c>
      <c r="D12" s="89" t="s">
        <v>166</v>
      </c>
      <c r="E12" s="81" t="s">
        <v>214</v>
      </c>
      <c r="F12" s="42" t="str">
        <f>VLOOKUP(E12,'CH assign'!A:B,2,0)</f>
        <v>D12711</v>
      </c>
      <c r="G12" s="7">
        <f>VLOOKUP(F12,Etch_Length_From_Layout!A:B,2,0)</f>
        <v>32822.07</v>
      </c>
      <c r="H12" s="7"/>
      <c r="I12" s="7"/>
      <c r="J12" s="7"/>
      <c r="K12" s="10">
        <f t="shared" si="0"/>
        <v>32822.07</v>
      </c>
      <c r="L12" s="11"/>
    </row>
    <row r="13" spans="1:12">
      <c r="B13" s="120"/>
      <c r="C13" s="89">
        <v>85</v>
      </c>
      <c r="D13" s="89" t="s">
        <v>167</v>
      </c>
      <c r="E13" s="81" t="s">
        <v>217</v>
      </c>
      <c r="F13" s="42" t="str">
        <f>VLOOKUP(E13,'CH assign'!A:B,2,0)</f>
        <v>D12706</v>
      </c>
      <c r="G13" s="7">
        <f>VLOOKUP(F13,Etch_Length_From_Layout!A:B,2,0)</f>
        <v>32822.480000000003</v>
      </c>
      <c r="H13" s="7"/>
      <c r="I13" s="7"/>
      <c r="J13" s="7"/>
      <c r="K13" s="10">
        <f t="shared" si="0"/>
        <v>32822.480000000003</v>
      </c>
      <c r="L13" s="11" t="str">
        <f>IF(ABS(K13-K14)&lt;1,"PASS","FAIL")</f>
        <v>PASS</v>
      </c>
    </row>
    <row r="14" spans="1:12">
      <c r="B14" s="120"/>
      <c r="C14" s="89">
        <v>86</v>
      </c>
      <c r="D14" s="89" t="s">
        <v>168</v>
      </c>
      <c r="E14" s="81" t="s">
        <v>216</v>
      </c>
      <c r="F14" s="42" t="str">
        <f>VLOOKUP(E14,'CH assign'!A:B,2,0)</f>
        <v>D12708</v>
      </c>
      <c r="G14" s="7">
        <f>VLOOKUP(F14,Etch_Length_From_Layout!A:B,2,0)</f>
        <v>32822.129999999997</v>
      </c>
      <c r="H14" s="7"/>
      <c r="I14" s="7"/>
      <c r="J14" s="7"/>
      <c r="K14" s="10">
        <f t="shared" si="0"/>
        <v>32822.129999999997</v>
      </c>
      <c r="L14" s="11"/>
    </row>
    <row r="15" spans="1:12">
      <c r="B15" s="120"/>
      <c r="C15" s="89">
        <v>87</v>
      </c>
      <c r="D15" s="89" t="s">
        <v>169</v>
      </c>
      <c r="E15" s="81" t="s">
        <v>219</v>
      </c>
      <c r="F15" s="42" t="str">
        <f>VLOOKUP(E15,'CH assign'!A:B,2,0)</f>
        <v>D12713</v>
      </c>
      <c r="G15" s="7">
        <f>VLOOKUP(F15,Etch_Length_From_Layout!A:B,2,0)</f>
        <v>32822.28</v>
      </c>
      <c r="H15" s="7"/>
      <c r="I15" s="7"/>
      <c r="J15" s="7"/>
      <c r="K15" s="10">
        <f t="shared" si="0"/>
        <v>32822.28</v>
      </c>
      <c r="L15" s="11" t="str">
        <f>IF(ABS(K15-K16)&lt;1,"PASS","FAIL")</f>
        <v>PASS</v>
      </c>
    </row>
    <row r="16" spans="1:12">
      <c r="B16" s="120"/>
      <c r="C16" s="89">
        <v>88</v>
      </c>
      <c r="D16" s="89" t="s">
        <v>170</v>
      </c>
      <c r="E16" s="81" t="s">
        <v>218</v>
      </c>
      <c r="F16" s="42" t="str">
        <f>VLOOKUP(E16,'CH assign'!A:B,2,0)</f>
        <v>D12715</v>
      </c>
      <c r="G16" s="7">
        <f>VLOOKUP(F16,Etch_Length_From_Layout!A:B,2,0)</f>
        <v>32822.42</v>
      </c>
      <c r="H16" s="7"/>
      <c r="I16" s="7"/>
      <c r="J16" s="7"/>
      <c r="K16" s="10">
        <f t="shared" si="0"/>
        <v>32822.42</v>
      </c>
      <c r="L16" s="11"/>
    </row>
    <row r="17" spans="2:12">
      <c r="B17" s="120"/>
      <c r="C17" s="89">
        <v>89</v>
      </c>
      <c r="D17" s="89" t="s">
        <v>171</v>
      </c>
      <c r="E17" s="81" t="s">
        <v>223</v>
      </c>
      <c r="F17" s="41" t="str">
        <f>VLOOKUP(E17,'CH assign'!A:B,2,0)</f>
        <v>D12702</v>
      </c>
      <c r="G17" s="7">
        <f>VLOOKUP(F17,Etch_Length_From_Layout!A:B,2,0)</f>
        <v>32822.28</v>
      </c>
      <c r="H17" s="7"/>
      <c r="I17" s="7"/>
      <c r="J17" s="7"/>
      <c r="K17" s="10">
        <f t="shared" si="0"/>
        <v>32822.28</v>
      </c>
      <c r="L17" s="11" t="str">
        <f>IF(ABS(K17-K18)&lt;1,"PASS","FAIL")</f>
        <v>PASS</v>
      </c>
    </row>
    <row r="18" spans="2:12">
      <c r="B18" s="120"/>
      <c r="C18" s="89">
        <v>90</v>
      </c>
      <c r="D18" s="89" t="s">
        <v>172</v>
      </c>
      <c r="E18" s="81" t="s">
        <v>222</v>
      </c>
      <c r="F18" s="41" t="str">
        <f>VLOOKUP(E18,'CH assign'!A:B,2,0)</f>
        <v>D12704</v>
      </c>
      <c r="G18" s="7">
        <f>VLOOKUP(F18,Etch_Length_From_Layout!A:B,2,0)</f>
        <v>32822.1</v>
      </c>
      <c r="H18" s="7"/>
      <c r="I18" s="7"/>
      <c r="J18" s="7"/>
      <c r="K18" s="10">
        <f t="shared" si="0"/>
        <v>32822.1</v>
      </c>
      <c r="L18" s="11"/>
    </row>
    <row r="19" spans="2:12">
      <c r="B19" s="120"/>
      <c r="C19" s="89">
        <v>91</v>
      </c>
      <c r="D19" s="89" t="s">
        <v>173</v>
      </c>
      <c r="E19" s="81" t="s">
        <v>225</v>
      </c>
      <c r="F19" s="41" t="str">
        <f>VLOOKUP(E19,'CH assign'!A:B,2,0)</f>
        <v>D12809</v>
      </c>
      <c r="G19" s="7">
        <f>VLOOKUP(F19,Etch_Length_From_Layout!A:B,2,0)</f>
        <v>32822.14</v>
      </c>
      <c r="H19" s="7"/>
      <c r="I19" s="7"/>
      <c r="J19" s="7"/>
      <c r="K19" s="10">
        <f t="shared" si="0"/>
        <v>32822.14</v>
      </c>
      <c r="L19" s="11" t="str">
        <f>IF(ABS(K19-K20)&lt;1,"PASS","FAIL")</f>
        <v>PASS</v>
      </c>
    </row>
    <row r="20" spans="2:12">
      <c r="B20" s="120"/>
      <c r="C20" s="89">
        <v>92</v>
      </c>
      <c r="D20" s="89" t="s">
        <v>174</v>
      </c>
      <c r="E20" s="81" t="s">
        <v>224</v>
      </c>
      <c r="F20" s="41" t="str">
        <f>VLOOKUP(E20,'CH assign'!A:B,2,0)</f>
        <v>D12811</v>
      </c>
      <c r="G20" s="7">
        <f>VLOOKUP(F20,Etch_Length_From_Layout!A:B,2,0)</f>
        <v>32822.07</v>
      </c>
      <c r="H20" s="7"/>
      <c r="I20" s="7"/>
      <c r="J20" s="7"/>
      <c r="K20" s="10">
        <f t="shared" si="0"/>
        <v>32822.07</v>
      </c>
      <c r="L20" s="11"/>
    </row>
    <row r="21" spans="2:12">
      <c r="B21" s="120"/>
      <c r="C21" s="89">
        <v>93</v>
      </c>
      <c r="D21" s="89" t="s">
        <v>175</v>
      </c>
      <c r="E21" s="81" t="s">
        <v>227</v>
      </c>
      <c r="F21" s="41" t="str">
        <f>VLOOKUP(E21,'CH assign'!A:B,2,0)</f>
        <v>D12813</v>
      </c>
      <c r="G21" s="7">
        <f>VLOOKUP(F21,Etch_Length_From_Layout!A:B,2,0)</f>
        <v>32822.35</v>
      </c>
      <c r="H21" s="7"/>
      <c r="I21" s="7"/>
      <c r="J21" s="7"/>
      <c r="K21" s="10">
        <f t="shared" si="0"/>
        <v>32822.35</v>
      </c>
      <c r="L21" s="11" t="str">
        <f>IF(ABS(K21-K22)&lt;1,"PASS","FAIL")</f>
        <v>PASS</v>
      </c>
    </row>
    <row r="22" spans="2:12">
      <c r="B22" s="120"/>
      <c r="C22" s="89">
        <v>94</v>
      </c>
      <c r="D22" s="89" t="s">
        <v>176</v>
      </c>
      <c r="E22" s="81" t="s">
        <v>226</v>
      </c>
      <c r="F22" s="41" t="str">
        <f>VLOOKUP(E22,'CH assign'!A:B,2,0)</f>
        <v>D12815</v>
      </c>
      <c r="G22" s="7">
        <f>VLOOKUP(F22,Etch_Length_From_Layout!A:B,2,0)</f>
        <v>32822.49</v>
      </c>
      <c r="H22" s="7"/>
      <c r="I22" s="7"/>
      <c r="J22" s="7"/>
      <c r="K22" s="10">
        <f t="shared" si="0"/>
        <v>32822.49</v>
      </c>
      <c r="L22" s="11"/>
    </row>
    <row r="23" spans="2:12">
      <c r="B23" s="120"/>
      <c r="C23" s="89">
        <v>95</v>
      </c>
      <c r="D23" s="89" t="s">
        <v>177</v>
      </c>
      <c r="E23" s="81" t="s">
        <v>235</v>
      </c>
      <c r="F23" s="41" t="str">
        <f>VLOOKUP(E23,'CH assign'!A:B,2,0)</f>
        <v>D12805</v>
      </c>
      <c r="G23" s="7">
        <f>VLOOKUP(F23,Etch_Length_From_Layout!A:B,2,0)</f>
        <v>32822.019999999997</v>
      </c>
      <c r="H23" s="7"/>
      <c r="I23" s="7"/>
      <c r="J23" s="7"/>
      <c r="K23" s="10">
        <f t="shared" si="0"/>
        <v>32822.019999999997</v>
      </c>
      <c r="L23" s="11" t="str">
        <f>IF(ABS(K23-K24)&lt;1,"PASS","FAIL")</f>
        <v>PASS</v>
      </c>
    </row>
    <row r="24" spans="2:12">
      <c r="B24" s="120"/>
      <c r="C24" s="89">
        <v>96</v>
      </c>
      <c r="D24" s="89" t="s">
        <v>178</v>
      </c>
      <c r="E24" s="81" t="s">
        <v>234</v>
      </c>
      <c r="F24" s="41" t="str">
        <f>VLOOKUP(E24,'CH assign'!A:B,2,0)</f>
        <v>D12807</v>
      </c>
      <c r="G24" s="7">
        <f>VLOOKUP(F24,Etch_Length_From_Layout!A:B,2,0)</f>
        <v>32822.300000000003</v>
      </c>
      <c r="H24" s="7"/>
      <c r="I24" s="7"/>
      <c r="J24" s="7"/>
      <c r="K24" s="10">
        <f t="shared" si="0"/>
        <v>32822.300000000003</v>
      </c>
      <c r="L24" s="11"/>
    </row>
    <row r="25" spans="2:12">
      <c r="B25" s="120"/>
      <c r="C25" s="89">
        <v>98</v>
      </c>
      <c r="D25" s="89" t="s">
        <v>179</v>
      </c>
      <c r="E25" s="81" t="s">
        <v>229</v>
      </c>
      <c r="F25" s="41" t="str">
        <f>VLOOKUP(E25,'CH assign'!A:B,2,0)</f>
        <v>D12705</v>
      </c>
      <c r="G25" s="7">
        <f>VLOOKUP(F25,Etch_Length_From_Layout!A:B,2,0)</f>
        <v>32822.300000000003</v>
      </c>
      <c r="H25" s="7"/>
      <c r="I25" s="7"/>
      <c r="J25" s="7"/>
      <c r="K25" s="10">
        <f t="shared" si="0"/>
        <v>32822.300000000003</v>
      </c>
      <c r="L25" s="11" t="str">
        <f>IF(ABS(K25-K26)&lt;1,"PASS","FAIL")</f>
        <v>PASS</v>
      </c>
    </row>
    <row r="26" spans="2:12">
      <c r="B26" s="120"/>
      <c r="C26" s="89">
        <v>99</v>
      </c>
      <c r="D26" s="89" t="s">
        <v>180</v>
      </c>
      <c r="E26" s="81" t="s">
        <v>228</v>
      </c>
      <c r="F26" s="41" t="str">
        <f>VLOOKUP(E26,'CH assign'!A:B,2,0)</f>
        <v>D12707</v>
      </c>
      <c r="G26" s="7">
        <f>VLOOKUP(F26,Etch_Length_From_Layout!A:B,2,0)</f>
        <v>32822.339999999997</v>
      </c>
      <c r="H26" s="7"/>
      <c r="I26" s="7"/>
      <c r="J26" s="7"/>
      <c r="K26" s="10">
        <f t="shared" si="0"/>
        <v>32822.339999999997</v>
      </c>
      <c r="L26" s="11"/>
    </row>
    <row r="27" spans="2:12">
      <c r="B27" s="120"/>
      <c r="C27" s="89">
        <v>100</v>
      </c>
      <c r="D27" s="89" t="s">
        <v>181</v>
      </c>
      <c r="E27" s="81" t="s">
        <v>231</v>
      </c>
      <c r="F27" s="41" t="str">
        <f>VLOOKUP(E27,'CH assign'!A:B,2,0)</f>
        <v>D12801</v>
      </c>
      <c r="G27" s="7">
        <f>VLOOKUP(F27,Etch_Length_From_Layout!A:B,2,0)</f>
        <v>32822.19</v>
      </c>
      <c r="H27" s="7"/>
      <c r="I27" s="7"/>
      <c r="J27" s="7"/>
      <c r="K27" s="10">
        <f t="shared" si="0"/>
        <v>32822.19</v>
      </c>
      <c r="L27" s="11" t="str">
        <f>IF(ABS(K27-K28)&lt;1,"PASS","FAIL")</f>
        <v>PASS</v>
      </c>
    </row>
    <row r="28" spans="2:12">
      <c r="B28" s="120"/>
      <c r="C28" s="89">
        <v>101</v>
      </c>
      <c r="D28" s="89" t="s">
        <v>182</v>
      </c>
      <c r="E28" s="81" t="s">
        <v>230</v>
      </c>
      <c r="F28" s="41" t="str">
        <f>VLOOKUP(E28,'CH assign'!A:B,2,0)</f>
        <v>D12803</v>
      </c>
      <c r="G28" s="7">
        <f>VLOOKUP(F28,Etch_Length_From_Layout!A:B,2,0)</f>
        <v>32822.43</v>
      </c>
      <c r="H28" s="7"/>
      <c r="I28" s="7"/>
      <c r="J28" s="7"/>
      <c r="K28" s="10">
        <f t="shared" si="0"/>
        <v>32822.43</v>
      </c>
      <c r="L28" s="11"/>
    </row>
    <row r="29" spans="2:12">
      <c r="B29" s="120"/>
      <c r="C29" s="89">
        <v>102</v>
      </c>
      <c r="D29" s="89" t="s">
        <v>183</v>
      </c>
      <c r="E29" s="81" t="s">
        <v>233</v>
      </c>
      <c r="F29" s="41" t="str">
        <f>VLOOKUP(E29,'CH assign'!A:B,2,0)</f>
        <v>D12701</v>
      </c>
      <c r="G29" s="7">
        <f>VLOOKUP(F29,Etch_Length_From_Layout!A:B,2,0)</f>
        <v>32822.29</v>
      </c>
      <c r="H29" s="7"/>
      <c r="I29" s="7"/>
      <c r="J29" s="7"/>
      <c r="K29" s="10">
        <f t="shared" si="0"/>
        <v>32822.29</v>
      </c>
      <c r="L29" s="11" t="str">
        <f>IF(ABS(K29-K30)&lt;1,"PASS","FAIL")</f>
        <v>PASS</v>
      </c>
    </row>
    <row r="30" spans="2:12">
      <c r="B30" s="120"/>
      <c r="C30" s="89">
        <v>103</v>
      </c>
      <c r="D30" s="89" t="s">
        <v>184</v>
      </c>
      <c r="E30" s="81" t="s">
        <v>232</v>
      </c>
      <c r="F30" s="41" t="str">
        <f>VLOOKUP(E30,'CH assign'!A:B,2,0)</f>
        <v>D12703</v>
      </c>
      <c r="G30" s="7">
        <f>VLOOKUP(F30,Etch_Length_From_Layout!A:B,2,0)</f>
        <v>32822.339999999997</v>
      </c>
      <c r="H30" s="7"/>
      <c r="I30" s="7"/>
      <c r="J30" s="7"/>
      <c r="K30" s="10">
        <f t="shared" si="0"/>
        <v>32822.339999999997</v>
      </c>
      <c r="L30" s="11"/>
    </row>
    <row r="31" spans="2:12">
      <c r="B31" s="120"/>
      <c r="C31" s="89">
        <v>112</v>
      </c>
      <c r="D31" s="89" t="s">
        <v>22</v>
      </c>
      <c r="E31" s="81" t="s">
        <v>334</v>
      </c>
      <c r="F31" s="67"/>
      <c r="G31" s="7">
        <f>VLOOKUP(E31,Etch_Length_From_Layout!A:B,2,0)</f>
        <v>2867.66</v>
      </c>
      <c r="H31" s="7" t="s">
        <v>329</v>
      </c>
      <c r="I31" s="79" t="str">
        <f>VLOOKUP(H31,'CH assign'!$A:$B,2,0)</f>
        <v>D13105</v>
      </c>
      <c r="J31" s="7">
        <f>VLOOKUP(I31,Etch_Length_From_Layout!$A:$B,2,0)</f>
        <v>29954.55</v>
      </c>
      <c r="K31" s="10">
        <f t="shared" si="0"/>
        <v>32822.21</v>
      </c>
      <c r="L31" s="11" t="str">
        <f>IF(ABS(K31-K32)&lt;1,"PASS","FAIL")</f>
        <v>PASS</v>
      </c>
    </row>
    <row r="32" spans="2:12">
      <c r="B32" s="120"/>
      <c r="C32" s="89">
        <v>113</v>
      </c>
      <c r="D32" s="89" t="s">
        <v>23</v>
      </c>
      <c r="E32" s="81" t="s">
        <v>238</v>
      </c>
      <c r="F32" s="67"/>
      <c r="G32" s="7">
        <f>VLOOKUP(E32,Etch_Length_From_Layout!A:B,2,0)</f>
        <v>2867.99</v>
      </c>
      <c r="H32" s="7" t="s">
        <v>331</v>
      </c>
      <c r="I32" s="79" t="str">
        <f>VLOOKUP(H32,'CH assign'!$A:$B,2,0)</f>
        <v>D13107</v>
      </c>
      <c r="J32" s="7">
        <f>VLOOKUP(I32,Etch_Length_From_Layout!$A:$B,2,0)</f>
        <v>29954.69</v>
      </c>
      <c r="K32" s="10">
        <f t="shared" si="0"/>
        <v>32822.68</v>
      </c>
      <c r="L32" s="11"/>
    </row>
    <row r="33" spans="2:12">
      <c r="B33" s="120"/>
      <c r="C33" s="89">
        <v>114</v>
      </c>
      <c r="D33" s="89" t="s">
        <v>24</v>
      </c>
      <c r="E33" s="81" t="s">
        <v>240</v>
      </c>
      <c r="F33" s="67" t="str">
        <f>VLOOKUP(E33,'CH assign'!A:B,2,0)</f>
        <v>D13209</v>
      </c>
      <c r="G33" s="7">
        <f>VLOOKUP(F33,Etch_Length_From_Layout!A:B,2,0)</f>
        <v>32822.1</v>
      </c>
      <c r="H33" s="7"/>
      <c r="I33" s="7"/>
      <c r="J33" s="7"/>
      <c r="K33" s="10">
        <f t="shared" si="0"/>
        <v>32822.1</v>
      </c>
      <c r="L33" s="11" t="str">
        <f>IF(ABS(K33-K34)&lt;1,"PASS","FAIL")</f>
        <v>PASS</v>
      </c>
    </row>
    <row r="34" spans="2:12">
      <c r="B34" s="120"/>
      <c r="C34" s="89">
        <v>115</v>
      </c>
      <c r="D34" s="89" t="s">
        <v>25</v>
      </c>
      <c r="E34" s="81" t="s">
        <v>239</v>
      </c>
      <c r="F34" s="67" t="str">
        <f>VLOOKUP(E34,'CH assign'!A:B,2,0)</f>
        <v>D13211</v>
      </c>
      <c r="G34" s="7">
        <f>VLOOKUP(F34,Etch_Length_From_Layout!A:B,2,0)</f>
        <v>32822.46</v>
      </c>
      <c r="H34" s="7"/>
      <c r="I34" s="7"/>
      <c r="J34" s="7"/>
      <c r="K34" s="10">
        <f t="shared" si="0"/>
        <v>32822.46</v>
      </c>
      <c r="L34" s="11"/>
    </row>
    <row r="35" spans="2:12">
      <c r="B35" s="120"/>
      <c r="C35" s="89">
        <v>116</v>
      </c>
      <c r="D35" s="89" t="s">
        <v>185</v>
      </c>
      <c r="E35" s="81" t="s">
        <v>242</v>
      </c>
      <c r="F35" s="67" t="str">
        <f>VLOOKUP(E35,'CH assign'!A:B,2,0)</f>
        <v>D13210</v>
      </c>
      <c r="G35" s="7">
        <f>VLOOKUP(F35,Etch_Length_From_Layout!A:B,2,0)</f>
        <v>32822.11</v>
      </c>
      <c r="H35" s="7"/>
      <c r="I35" s="7"/>
      <c r="J35" s="7"/>
      <c r="K35" s="10">
        <f t="shared" si="0"/>
        <v>32822.11</v>
      </c>
      <c r="L35" s="11" t="str">
        <f>IF(ABS(K35-K36)&lt;1,"PASS","FAIL")</f>
        <v>PASS</v>
      </c>
    </row>
    <row r="36" spans="2:12">
      <c r="B36" s="120"/>
      <c r="C36" s="89">
        <v>117</v>
      </c>
      <c r="D36" s="89" t="s">
        <v>186</v>
      </c>
      <c r="E36" s="81" t="s">
        <v>241</v>
      </c>
      <c r="F36" s="67" t="str">
        <f>VLOOKUP(E36,'CH assign'!A:B,2,0)</f>
        <v>D13212</v>
      </c>
      <c r="G36" s="7">
        <f>VLOOKUP(F36,Etch_Length_From_Layout!A:B,2,0)</f>
        <v>32822.49</v>
      </c>
      <c r="H36" s="7"/>
      <c r="I36" s="7"/>
      <c r="J36" s="7"/>
      <c r="K36" s="10">
        <f t="shared" si="0"/>
        <v>32822.49</v>
      </c>
      <c r="L36" s="11"/>
    </row>
    <row r="37" spans="2:12">
      <c r="B37" s="120"/>
      <c r="C37" s="89">
        <v>120</v>
      </c>
      <c r="D37" s="89" t="s">
        <v>187</v>
      </c>
      <c r="E37" s="81" t="s">
        <v>250</v>
      </c>
      <c r="F37" s="67" t="str">
        <f>VLOOKUP(E37,'CH assign'!A:B,2,0)</f>
        <v>D12710</v>
      </c>
      <c r="G37" s="7">
        <f>VLOOKUP(F37,Etch_Length_From_Layout!A:B,2,0)</f>
        <v>32822.44</v>
      </c>
      <c r="H37" s="7"/>
      <c r="I37" s="7"/>
      <c r="J37" s="7"/>
      <c r="K37" s="10">
        <f t="shared" si="0"/>
        <v>32822.44</v>
      </c>
      <c r="L37" s="11" t="str">
        <f>IF(ABS(K37-K38)&lt;1,"PASS","FAIL")</f>
        <v>PASS</v>
      </c>
    </row>
    <row r="38" spans="2:12">
      <c r="B38" s="120"/>
      <c r="C38" s="89">
        <v>121</v>
      </c>
      <c r="D38" s="89" t="s">
        <v>188</v>
      </c>
      <c r="E38" s="81" t="s">
        <v>249</v>
      </c>
      <c r="F38" s="67" t="str">
        <f>VLOOKUP(E38,'CH assign'!A:B,2,0)</f>
        <v>D12712</v>
      </c>
      <c r="G38" s="7">
        <f>VLOOKUP(F38,Etch_Length_From_Layout!A:B,2,0)</f>
        <v>32822.01</v>
      </c>
      <c r="H38" s="7"/>
      <c r="I38" s="7"/>
      <c r="J38" s="7"/>
      <c r="K38" s="10">
        <f t="shared" si="0"/>
        <v>32822.01</v>
      </c>
      <c r="L38" s="11"/>
    </row>
    <row r="39" spans="2:12">
      <c r="B39" s="120"/>
      <c r="C39" s="89">
        <v>122</v>
      </c>
      <c r="D39" s="89" t="s">
        <v>189</v>
      </c>
      <c r="E39" s="81" t="s">
        <v>244</v>
      </c>
      <c r="F39" s="67" t="str">
        <f>VLOOKUP(E39,'CH assign'!A:B,2,0)</f>
        <v>D12814</v>
      </c>
      <c r="G39" s="7">
        <f>VLOOKUP(F39,Etch_Length_From_Layout!A:B,2,0)</f>
        <v>32822.480000000003</v>
      </c>
      <c r="H39" s="7"/>
      <c r="I39" s="7"/>
      <c r="J39" s="7"/>
      <c r="K39" s="10">
        <f t="shared" si="0"/>
        <v>32822.480000000003</v>
      </c>
      <c r="L39" s="11" t="str">
        <f>IF(ABS(K39-K40)&lt;1,"PASS","FAIL")</f>
        <v>PASS</v>
      </c>
    </row>
    <row r="40" spans="2:12">
      <c r="B40" s="120"/>
      <c r="C40" s="89">
        <v>123</v>
      </c>
      <c r="D40" s="89" t="s">
        <v>190</v>
      </c>
      <c r="E40" s="81" t="s">
        <v>243</v>
      </c>
      <c r="F40" s="67" t="str">
        <f>VLOOKUP(E40,'CH assign'!A:B,2,0)</f>
        <v>D12816</v>
      </c>
      <c r="G40" s="7">
        <f>VLOOKUP(F40,Etch_Length_From_Layout!A:B,2,0)</f>
        <v>32822.42</v>
      </c>
      <c r="H40" s="7"/>
      <c r="I40" s="7"/>
      <c r="J40" s="7"/>
      <c r="K40" s="10">
        <f t="shared" si="0"/>
        <v>32822.42</v>
      </c>
      <c r="L40" s="11"/>
    </row>
    <row r="41" spans="2:12">
      <c r="B41" s="120"/>
      <c r="C41" s="89">
        <v>124</v>
      </c>
      <c r="D41" s="89" t="s">
        <v>191</v>
      </c>
      <c r="E41" s="81" t="s">
        <v>246</v>
      </c>
      <c r="F41" s="67" t="str">
        <f>VLOOKUP(E41,'CH assign'!A:B,2,0)</f>
        <v>D12802</v>
      </c>
      <c r="G41" s="7">
        <f>VLOOKUP(F41,Etch_Length_From_Layout!A:B,2,0)</f>
        <v>32822.32</v>
      </c>
      <c r="H41" s="7"/>
      <c r="I41" s="7"/>
      <c r="J41" s="7"/>
      <c r="K41" s="10">
        <f t="shared" si="0"/>
        <v>32822.32</v>
      </c>
      <c r="L41" s="11" t="str">
        <f>IF(ABS(K41-K42)&lt;1,"PASS","FAIL")</f>
        <v>PASS</v>
      </c>
    </row>
    <row r="42" spans="2:12">
      <c r="B42" s="120"/>
      <c r="C42" s="89">
        <v>125</v>
      </c>
      <c r="D42" s="89" t="s">
        <v>192</v>
      </c>
      <c r="E42" s="81" t="s">
        <v>245</v>
      </c>
      <c r="F42" s="67" t="str">
        <f>VLOOKUP(E42,'CH assign'!A:B,2,0)</f>
        <v>D12804</v>
      </c>
      <c r="G42" s="7">
        <f>VLOOKUP(F42,Etch_Length_From_Layout!A:B,2,0)</f>
        <v>32822.39</v>
      </c>
      <c r="H42" s="7"/>
      <c r="I42" s="7"/>
      <c r="J42" s="7"/>
      <c r="K42" s="10">
        <f t="shared" si="0"/>
        <v>32822.39</v>
      </c>
      <c r="L42" s="11"/>
    </row>
    <row r="43" spans="2:12">
      <c r="B43" s="120"/>
      <c r="C43" s="89">
        <v>126</v>
      </c>
      <c r="D43" s="89" t="s">
        <v>193</v>
      </c>
      <c r="E43" s="81" t="s">
        <v>248</v>
      </c>
      <c r="F43" s="67" t="str">
        <f>VLOOKUP(E43,'CH assign'!A:B,2,0)</f>
        <v>D12806</v>
      </c>
      <c r="G43" s="7">
        <f>VLOOKUP(F43,Etch_Length_From_Layout!A:B,2,0)</f>
        <v>32822.35</v>
      </c>
      <c r="H43" s="7"/>
      <c r="I43" s="7"/>
      <c r="J43" s="7"/>
      <c r="K43" s="10">
        <f t="shared" si="0"/>
        <v>32822.35</v>
      </c>
      <c r="L43" s="11" t="str">
        <f>IF(ABS(K43-K44)&lt;1,"PASS","FAIL")</f>
        <v>PASS</v>
      </c>
    </row>
    <row r="44" spans="2:12">
      <c r="B44" s="120"/>
      <c r="C44" s="89">
        <v>127</v>
      </c>
      <c r="D44" s="89" t="s">
        <v>194</v>
      </c>
      <c r="E44" s="81" t="s">
        <v>247</v>
      </c>
      <c r="F44" s="67" t="str">
        <f>VLOOKUP(E44,'CH assign'!A:B,2,0)</f>
        <v>D12808</v>
      </c>
      <c r="G44" s="7">
        <f>VLOOKUP(F44,Etch_Length_From_Layout!A:B,2,0)</f>
        <v>32822.239999999998</v>
      </c>
      <c r="H44" s="7"/>
      <c r="I44" s="7"/>
      <c r="J44" s="7"/>
      <c r="K44" s="10">
        <f t="shared" si="0"/>
        <v>32822.239999999998</v>
      </c>
      <c r="L44" s="11"/>
    </row>
    <row r="45" spans="2:12">
      <c r="B45" s="120"/>
      <c r="C45" s="89">
        <v>129</v>
      </c>
      <c r="D45" s="89" t="s">
        <v>195</v>
      </c>
      <c r="E45" s="81" t="s">
        <v>252</v>
      </c>
      <c r="F45" s="68" t="str">
        <f>VLOOKUP(E45,'CH assign'!A:B,2,0)</f>
        <v>D13213</v>
      </c>
      <c r="G45" s="7">
        <f>VLOOKUP(F45,Etch_Length_From_Layout!A:B,2,0)</f>
        <v>32822.080000000002</v>
      </c>
      <c r="H45" s="7"/>
      <c r="I45" s="7"/>
      <c r="J45" s="7"/>
      <c r="K45" s="10">
        <f t="shared" si="0"/>
        <v>32822.080000000002</v>
      </c>
      <c r="L45" s="11" t="str">
        <f>IF(ABS(K45-K46)&lt;1,"PASS","FAIL")</f>
        <v>PASS</v>
      </c>
    </row>
    <row r="46" spans="2:12">
      <c r="B46" s="120"/>
      <c r="C46" s="89">
        <v>130</v>
      </c>
      <c r="D46" s="89" t="s">
        <v>196</v>
      </c>
      <c r="E46" s="81" t="s">
        <v>251</v>
      </c>
      <c r="F46" s="68" t="str">
        <f>VLOOKUP(E46,'CH assign'!A:B,2,0)</f>
        <v>D13215</v>
      </c>
      <c r="G46" s="7">
        <f>VLOOKUP(F46,Etch_Length_From_Layout!A:B,2,0)</f>
        <v>32822.01</v>
      </c>
      <c r="H46" s="7"/>
      <c r="I46" s="7"/>
      <c r="J46" s="7"/>
      <c r="K46" s="10">
        <f t="shared" si="0"/>
        <v>32822.01</v>
      </c>
      <c r="L46" s="11"/>
    </row>
    <row r="47" spans="2:12">
      <c r="B47" s="120"/>
      <c r="C47" s="89">
        <v>131</v>
      </c>
      <c r="D47" s="89" t="s">
        <v>197</v>
      </c>
      <c r="E47" s="81" t="s">
        <v>254</v>
      </c>
      <c r="F47" s="68" t="str">
        <f>VLOOKUP(E47,'CH assign'!A:B,2,0)</f>
        <v>D12714</v>
      </c>
      <c r="G47" s="7">
        <f>VLOOKUP(F47,Etch_Length_From_Layout!A:B,2,0)</f>
        <v>32822.199999999997</v>
      </c>
      <c r="H47" s="7"/>
      <c r="I47" s="7"/>
      <c r="J47" s="7"/>
      <c r="K47" s="10">
        <f t="shared" si="0"/>
        <v>32822.199999999997</v>
      </c>
      <c r="L47" s="11" t="str">
        <f>IF(ABS(K47-K48)&lt;1,"PASS","FAIL")</f>
        <v>PASS</v>
      </c>
    </row>
    <row r="48" spans="2:12">
      <c r="B48" s="120"/>
      <c r="C48" s="89">
        <v>132</v>
      </c>
      <c r="D48" s="89" t="s">
        <v>198</v>
      </c>
      <c r="E48" s="81" t="s">
        <v>253</v>
      </c>
      <c r="F48" s="68" t="str">
        <f>VLOOKUP(E48,'CH assign'!A:B,2,0)</f>
        <v>D12716</v>
      </c>
      <c r="G48" s="7">
        <f>VLOOKUP(F48,Etch_Length_From_Layout!A:B,2,0)</f>
        <v>32822.400000000001</v>
      </c>
      <c r="H48" s="7"/>
      <c r="I48" s="7"/>
      <c r="J48" s="7"/>
      <c r="K48" s="10">
        <f t="shared" si="0"/>
        <v>32822.400000000001</v>
      </c>
      <c r="L48" s="11"/>
    </row>
    <row r="49" spans="2:12">
      <c r="B49" s="120"/>
      <c r="C49" s="89">
        <v>133</v>
      </c>
      <c r="D49" s="89" t="s">
        <v>199</v>
      </c>
      <c r="E49" s="81" t="s">
        <v>256</v>
      </c>
      <c r="F49" s="68" t="str">
        <f>VLOOKUP(E49,'CH assign'!A:B,2,0)</f>
        <v>D12810</v>
      </c>
      <c r="G49" s="7">
        <f>VLOOKUP(F49,Etch_Length_From_Layout!A:B,2,0)</f>
        <v>32822.080000000002</v>
      </c>
      <c r="H49" s="7"/>
      <c r="I49" s="7"/>
      <c r="J49" s="7"/>
      <c r="K49" s="10">
        <f t="shared" si="0"/>
        <v>32822.080000000002</v>
      </c>
      <c r="L49" s="11" t="str">
        <f>IF(ABS(K49-K50)&lt;1,"PASS","FAIL")</f>
        <v>PASS</v>
      </c>
    </row>
    <row r="50" spans="2:12">
      <c r="B50" s="120"/>
      <c r="C50" s="89">
        <v>134</v>
      </c>
      <c r="D50" s="89" t="s">
        <v>200</v>
      </c>
      <c r="E50" s="81" t="s">
        <v>255</v>
      </c>
      <c r="F50" s="68" t="str">
        <f>VLOOKUP(E50,'CH assign'!A:B,2,0)</f>
        <v>D12812</v>
      </c>
      <c r="G50" s="7">
        <f>VLOOKUP(F50,Etch_Length_From_Layout!A:B,2,0)</f>
        <v>32822.42</v>
      </c>
      <c r="H50" s="7"/>
      <c r="I50" s="7"/>
      <c r="J50" s="7"/>
      <c r="K50" s="10">
        <f t="shared" si="0"/>
        <v>32822.42</v>
      </c>
      <c r="L50" s="11"/>
    </row>
    <row r="51" spans="2:12">
      <c r="B51" s="120"/>
      <c r="C51" s="89">
        <v>135</v>
      </c>
      <c r="D51" s="89" t="s">
        <v>201</v>
      </c>
      <c r="E51" s="81" t="s">
        <v>264</v>
      </c>
      <c r="F51" s="68" t="str">
        <f>VLOOKUP(E51,'CH assign'!A:B,2,0)</f>
        <v>D13201</v>
      </c>
      <c r="G51" s="7">
        <f>VLOOKUP(F51,Etch_Length_From_Layout!A:B,2,0)</f>
        <v>32822.03</v>
      </c>
      <c r="H51" s="7"/>
      <c r="I51" s="7"/>
      <c r="J51" s="7"/>
      <c r="K51" s="10">
        <f t="shared" si="0"/>
        <v>32822.03</v>
      </c>
      <c r="L51" s="11" t="str">
        <f>IF(ABS(K51-K52)&lt;1,"PASS","FAIL")</f>
        <v>PASS</v>
      </c>
    </row>
    <row r="52" spans="2:12">
      <c r="B52" s="120"/>
      <c r="C52" s="89">
        <v>136</v>
      </c>
      <c r="D52" s="89" t="s">
        <v>202</v>
      </c>
      <c r="E52" s="81" t="s">
        <v>263</v>
      </c>
      <c r="F52" s="68" t="str">
        <f>VLOOKUP(E52,'CH assign'!A:B,2,0)</f>
        <v>D13203</v>
      </c>
      <c r="G52" s="7">
        <f>VLOOKUP(F52,Etch_Length_From_Layout!A:B,2,0)</f>
        <v>32822.410000000003</v>
      </c>
      <c r="H52" s="7"/>
      <c r="I52" s="7"/>
      <c r="J52" s="7"/>
      <c r="K52" s="10">
        <f t="shared" si="0"/>
        <v>32822.410000000003</v>
      </c>
      <c r="L52" s="11"/>
    </row>
    <row r="53" spans="2:12">
      <c r="B53" s="120"/>
      <c r="C53" s="89">
        <v>137</v>
      </c>
      <c r="D53" s="89" t="s">
        <v>203</v>
      </c>
      <c r="E53" s="81" t="s">
        <v>258</v>
      </c>
      <c r="F53" s="68" t="str">
        <f>VLOOKUP(E53,'CH assign'!A:B,2,0)</f>
        <v>D13205</v>
      </c>
      <c r="G53" s="7">
        <f>VLOOKUP(F53,Etch_Length_From_Layout!A:B,2,0)</f>
        <v>32822.01</v>
      </c>
      <c r="H53" s="7"/>
      <c r="I53" s="7"/>
      <c r="J53" s="7"/>
      <c r="K53" s="10">
        <f t="shared" si="0"/>
        <v>32822.01</v>
      </c>
      <c r="L53" s="11" t="str">
        <f>IF(ABS(K53-K54)&lt;1,"PASS","FAIL")</f>
        <v>PASS</v>
      </c>
    </row>
    <row r="54" spans="2:12">
      <c r="B54" s="120"/>
      <c r="C54" s="89">
        <v>138</v>
      </c>
      <c r="D54" s="89" t="s">
        <v>204</v>
      </c>
      <c r="E54" s="81" t="s">
        <v>257</v>
      </c>
      <c r="F54" s="68" t="str">
        <f>VLOOKUP(E54,'CH assign'!A:B,2,0)</f>
        <v>D13207</v>
      </c>
      <c r="G54" s="7">
        <f>VLOOKUP(F54,Etch_Length_From_Layout!A:B,2,0)</f>
        <v>32822.410000000003</v>
      </c>
      <c r="H54" s="7"/>
      <c r="I54" s="7"/>
      <c r="J54" s="7"/>
      <c r="K54" s="10">
        <f t="shared" si="0"/>
        <v>32822.410000000003</v>
      </c>
      <c r="L54" s="11"/>
    </row>
    <row r="55" spans="2:12">
      <c r="B55" s="120"/>
      <c r="C55" s="89">
        <v>140</v>
      </c>
      <c r="D55" s="89" t="s">
        <v>205</v>
      </c>
      <c r="E55" s="81" t="s">
        <v>260</v>
      </c>
      <c r="F55" s="68" t="str">
        <f>VLOOKUP(E55,'CH assign'!A:B,2,0)</f>
        <v>D13206</v>
      </c>
      <c r="G55" s="7">
        <f>VLOOKUP(F55,Etch_Length_From_Layout!A:B,2,0)</f>
        <v>32822.47</v>
      </c>
      <c r="H55" s="7"/>
      <c r="I55" s="7"/>
      <c r="J55" s="7"/>
      <c r="K55" s="10">
        <f t="shared" si="0"/>
        <v>32822.47</v>
      </c>
      <c r="L55" s="11" t="str">
        <f>IF(ABS(K55-K56)&lt;1,"PASS","FAIL")</f>
        <v>PASS</v>
      </c>
    </row>
    <row r="56" spans="2:12">
      <c r="B56" s="120"/>
      <c r="C56" s="89">
        <v>141</v>
      </c>
      <c r="D56" s="89" t="s">
        <v>206</v>
      </c>
      <c r="E56" s="81" t="s">
        <v>259</v>
      </c>
      <c r="F56" s="68" t="str">
        <f>VLOOKUP(E56,'CH assign'!A:B,2,0)</f>
        <v>D13208</v>
      </c>
      <c r="G56" s="7">
        <f>VLOOKUP(F56,Etch_Length_From_Layout!A:B,2,0)</f>
        <v>32822.239999999998</v>
      </c>
      <c r="H56" s="7"/>
      <c r="I56" s="7"/>
      <c r="J56" s="7"/>
      <c r="K56" s="10">
        <f t="shared" si="0"/>
        <v>32822.239999999998</v>
      </c>
      <c r="L56" s="11"/>
    </row>
    <row r="57" spans="2:12">
      <c r="B57" s="120"/>
      <c r="C57" s="89">
        <v>142</v>
      </c>
      <c r="D57" s="89" t="s">
        <v>207</v>
      </c>
      <c r="E57" s="81" t="s">
        <v>262</v>
      </c>
      <c r="F57" s="68" t="str">
        <f>VLOOKUP(E57,'CH assign'!A:B,2,0)</f>
        <v>D13202</v>
      </c>
      <c r="G57" s="7">
        <f>VLOOKUP(F57,Etch_Length_From_Layout!A:B,2,0)</f>
        <v>32822.33</v>
      </c>
      <c r="H57" s="7"/>
      <c r="I57" s="7"/>
      <c r="J57" s="7"/>
      <c r="K57" s="10">
        <f t="shared" si="0"/>
        <v>32822.33</v>
      </c>
      <c r="L57" s="11" t="str">
        <f>IF(ABS(K57-K58)&lt;1,"PASS","FAIL")</f>
        <v>PASS</v>
      </c>
    </row>
    <row r="58" spans="2:12">
      <c r="B58" s="120"/>
      <c r="C58" s="89">
        <v>143</v>
      </c>
      <c r="D58" s="89" t="s">
        <v>208</v>
      </c>
      <c r="E58" s="81" t="s">
        <v>261</v>
      </c>
      <c r="F58" s="68" t="str">
        <f>VLOOKUP(E58,'CH assign'!A:B,2,0)</f>
        <v>D13204</v>
      </c>
      <c r="G58" s="7">
        <f>VLOOKUP(F58,Etch_Length_From_Layout!A:B,2,0)</f>
        <v>32822.120000000003</v>
      </c>
      <c r="H58" s="7"/>
      <c r="I58" s="7"/>
      <c r="J58" s="7"/>
      <c r="K58" s="10">
        <f t="shared" si="0"/>
        <v>32822.120000000003</v>
      </c>
      <c r="L58" s="11"/>
    </row>
    <row r="59" spans="2:12">
      <c r="B59" s="120" t="s">
        <v>11</v>
      </c>
      <c r="C59" s="89">
        <v>73</v>
      </c>
      <c r="D59" s="89" t="s">
        <v>157</v>
      </c>
      <c r="E59" s="81" t="s">
        <v>337</v>
      </c>
      <c r="F59" s="42"/>
      <c r="G59" s="7">
        <f>VLOOKUP(E59,Etch_Length_From_Layout!A:B,2,0)</f>
        <v>6105.93</v>
      </c>
      <c r="H59" s="77" t="s">
        <v>338</v>
      </c>
      <c r="I59" s="79" t="str">
        <f>VLOOKUP(H59,'CH assign'!$A:$B,2,0)</f>
        <v>D11102</v>
      </c>
      <c r="J59" s="7">
        <f>VLOOKUP(I59,Etch_Length_From_Layout!$A:$B,2,0)</f>
        <v>26716.47</v>
      </c>
      <c r="K59" s="10">
        <f>G59+J59</f>
        <v>32822.400000000001</v>
      </c>
      <c r="L59" s="11" t="str">
        <f>IF(ABS(K59-K60)&lt;1,"PASS","FAIL")</f>
        <v>PASS</v>
      </c>
    </row>
    <row r="60" spans="2:12">
      <c r="B60" s="120"/>
      <c r="C60" s="89">
        <v>74</v>
      </c>
      <c r="D60" s="89" t="s">
        <v>158</v>
      </c>
      <c r="E60" s="81" t="s">
        <v>339</v>
      </c>
      <c r="F60" s="42"/>
      <c r="G60" s="7">
        <f>VLOOKUP(E60,Etch_Length_From_Layout!A:B,2,0)</f>
        <v>6105.68</v>
      </c>
      <c r="H60" s="77" t="s">
        <v>340</v>
      </c>
      <c r="I60" s="79" t="str">
        <f>VLOOKUP(H60,'CH assign'!$A:$B,2,0)</f>
        <v>D11104</v>
      </c>
      <c r="J60" s="7">
        <f>VLOOKUP(I60,Etch_Length_From_Layout!$A:$B,2,0)</f>
        <v>26716.46</v>
      </c>
      <c r="K60" s="10">
        <f t="shared" ref="K60:K114" si="1">G60+J60</f>
        <v>32822.14</v>
      </c>
      <c r="L60" s="11"/>
    </row>
    <row r="61" spans="2:12">
      <c r="B61" s="120"/>
      <c r="C61" s="89">
        <v>75</v>
      </c>
      <c r="D61" s="89" t="s">
        <v>159</v>
      </c>
      <c r="E61" s="81" t="s">
        <v>341</v>
      </c>
      <c r="F61" s="42" t="str">
        <f>VLOOKUP(E61,'CH assign'!$A:$B,2,0)</f>
        <v>D11101</v>
      </c>
      <c r="G61" s="7">
        <f>VLOOKUP(F61,Etch_Length_From_Layout!A:B,2,0)</f>
        <v>32822.15</v>
      </c>
      <c r="H61" s="7"/>
      <c r="I61" s="7"/>
      <c r="J61" s="7"/>
      <c r="K61" s="10">
        <f t="shared" si="1"/>
        <v>32822.15</v>
      </c>
      <c r="L61" s="11" t="str">
        <f>IF(ABS(K61-K62)&lt;1,"PASS","FAIL")</f>
        <v>PASS</v>
      </c>
    </row>
    <row r="62" spans="2:12">
      <c r="B62" s="120"/>
      <c r="C62" s="89">
        <v>76</v>
      </c>
      <c r="D62" s="89" t="s">
        <v>160</v>
      </c>
      <c r="E62" s="81" t="s">
        <v>342</v>
      </c>
      <c r="F62" s="42" t="str">
        <f>VLOOKUP(E62,'CH assign'!A:B,2,0)</f>
        <v>D11103</v>
      </c>
      <c r="G62" s="7">
        <f>VLOOKUP(F62,Etch_Length_From_Layout!A:B,2,0)</f>
        <v>32822.04</v>
      </c>
      <c r="H62" s="7"/>
      <c r="I62" s="7"/>
      <c r="J62" s="7"/>
      <c r="K62" s="10">
        <f t="shared" si="1"/>
        <v>32822.04</v>
      </c>
      <c r="L62" s="11"/>
    </row>
    <row r="63" spans="2:12">
      <c r="B63" s="120"/>
      <c r="C63" s="89">
        <v>79</v>
      </c>
      <c r="D63" s="89" t="s">
        <v>161</v>
      </c>
      <c r="E63" s="81" t="s">
        <v>343</v>
      </c>
      <c r="F63" s="42" t="str">
        <f>VLOOKUP(E63,'CH assign'!A:B,2,0)</f>
        <v>D11105</v>
      </c>
      <c r="G63" s="7">
        <f>VLOOKUP(F63,Etch_Length_From_Layout!A:B,2,0)</f>
        <v>32822.49</v>
      </c>
      <c r="H63" s="7"/>
      <c r="I63" s="7"/>
      <c r="J63" s="7"/>
      <c r="K63" s="10">
        <f t="shared" si="1"/>
        <v>32822.49</v>
      </c>
      <c r="L63" s="11" t="str">
        <f>IF(ABS(K63-K64)&lt;1,"PASS","FAIL")</f>
        <v>PASS</v>
      </c>
    </row>
    <row r="64" spans="2:12">
      <c r="B64" s="120"/>
      <c r="C64" s="89">
        <v>80</v>
      </c>
      <c r="D64" s="89" t="s">
        <v>162</v>
      </c>
      <c r="E64" s="81" t="s">
        <v>344</v>
      </c>
      <c r="F64" s="42" t="str">
        <f>VLOOKUP(E64,'CH assign'!A:B,2,0)</f>
        <v>D11107</v>
      </c>
      <c r="G64" s="7">
        <f>VLOOKUP(F64,Etch_Length_From_Layout!A:B,2,0)</f>
        <v>32822.400000000001</v>
      </c>
      <c r="H64" s="7"/>
      <c r="I64" s="7"/>
      <c r="J64" s="7"/>
      <c r="K64" s="10">
        <f t="shared" si="1"/>
        <v>32822.400000000001</v>
      </c>
      <c r="L64" s="11"/>
    </row>
    <row r="65" spans="2:12">
      <c r="B65" s="120"/>
      <c r="C65" s="89">
        <v>81</v>
      </c>
      <c r="D65" s="89" t="s">
        <v>163</v>
      </c>
      <c r="E65" s="81" t="s">
        <v>345</v>
      </c>
      <c r="F65" s="42" t="str">
        <f>VLOOKUP(E65,'CH assign'!A:B,2,0)</f>
        <v>D11206</v>
      </c>
      <c r="G65" s="7">
        <f>VLOOKUP(F65,Etch_Length_From_Layout!A:B,2,0)</f>
        <v>32822.400000000001</v>
      </c>
      <c r="H65" s="7"/>
      <c r="I65" s="7"/>
      <c r="J65" s="7"/>
      <c r="K65" s="10">
        <f t="shared" si="1"/>
        <v>32822.400000000001</v>
      </c>
      <c r="L65" s="11" t="str">
        <f>IF(ABS(K65-K66)&lt;1,"PASS","FAIL")</f>
        <v>PASS</v>
      </c>
    </row>
    <row r="66" spans="2:12">
      <c r="B66" s="120"/>
      <c r="C66" s="89">
        <v>82</v>
      </c>
      <c r="D66" s="89" t="s">
        <v>164</v>
      </c>
      <c r="E66" s="81" t="s">
        <v>346</v>
      </c>
      <c r="F66" s="42" t="str">
        <f>VLOOKUP(E66,'CH assign'!A:B,2,0)</f>
        <v>D11208</v>
      </c>
      <c r="G66" s="7">
        <f>VLOOKUP(F66,Etch_Length_From_Layout!A:B,2,0)</f>
        <v>32822.31</v>
      </c>
      <c r="H66" s="7"/>
      <c r="I66" s="7"/>
      <c r="J66" s="7"/>
      <c r="K66" s="10">
        <f t="shared" si="1"/>
        <v>32822.31</v>
      </c>
      <c r="L66" s="11"/>
    </row>
    <row r="67" spans="2:12">
      <c r="B67" s="120"/>
      <c r="C67" s="89">
        <v>83</v>
      </c>
      <c r="D67" s="89" t="s">
        <v>165</v>
      </c>
      <c r="E67" s="81" t="s">
        <v>347</v>
      </c>
      <c r="F67" s="42" t="str">
        <f>VLOOKUP(E67,'CH assign'!A:B,2,0)</f>
        <v>D11005</v>
      </c>
      <c r="G67" s="7">
        <f>VLOOKUP(F67,Etch_Length_From_Layout!A:B,2,0)</f>
        <v>32822.050000000003</v>
      </c>
      <c r="H67" s="7"/>
      <c r="I67" s="7"/>
      <c r="J67" s="7"/>
      <c r="K67" s="10">
        <f t="shared" si="1"/>
        <v>32822.050000000003</v>
      </c>
      <c r="L67" s="11" t="str">
        <f>IF(ABS(K67-K68)&lt;1,"PASS","FAIL")</f>
        <v>PASS</v>
      </c>
    </row>
    <row r="68" spans="2:12">
      <c r="B68" s="120"/>
      <c r="C68" s="89">
        <v>84</v>
      </c>
      <c r="D68" s="89" t="s">
        <v>166</v>
      </c>
      <c r="E68" s="81" t="s">
        <v>348</v>
      </c>
      <c r="F68" s="42" t="str">
        <f>VLOOKUP(E68,'CH assign'!A:B,2,0)</f>
        <v>D11007</v>
      </c>
      <c r="G68" s="7">
        <f>VLOOKUP(F68,Etch_Length_From_Layout!A:B,2,0)</f>
        <v>32822.199999999997</v>
      </c>
      <c r="H68" s="7"/>
      <c r="I68" s="7"/>
      <c r="J68" s="7"/>
      <c r="K68" s="10">
        <f t="shared" si="1"/>
        <v>32822.199999999997</v>
      </c>
      <c r="L68" s="11"/>
    </row>
    <row r="69" spans="2:12">
      <c r="B69" s="120"/>
      <c r="C69" s="89">
        <v>85</v>
      </c>
      <c r="D69" s="89" t="s">
        <v>167</v>
      </c>
      <c r="E69" s="81" t="s">
        <v>349</v>
      </c>
      <c r="F69" s="42" t="str">
        <f>VLOOKUP(E69,'CH assign'!A:B,2,0)</f>
        <v>D11001</v>
      </c>
      <c r="G69" s="7">
        <f>VLOOKUP(F69,Etch_Length_From_Layout!A:B,2,0)</f>
        <v>32822.17</v>
      </c>
      <c r="H69" s="7"/>
      <c r="I69" s="7"/>
      <c r="J69" s="7"/>
      <c r="K69" s="10">
        <f t="shared" si="1"/>
        <v>32822.17</v>
      </c>
      <c r="L69" s="11" t="str">
        <f>IF(ABS(K69-K70)&lt;1,"PASS","FAIL")</f>
        <v>PASS</v>
      </c>
    </row>
    <row r="70" spans="2:12">
      <c r="B70" s="120"/>
      <c r="C70" s="89">
        <v>86</v>
      </c>
      <c r="D70" s="89" t="s">
        <v>168</v>
      </c>
      <c r="E70" s="81" t="s">
        <v>350</v>
      </c>
      <c r="F70" s="42" t="str">
        <f>VLOOKUP(E70,'CH assign'!A:B,2,0)</f>
        <v>D11003</v>
      </c>
      <c r="G70" s="7">
        <f>VLOOKUP(F70,Etch_Length_From_Layout!A:B,2,0)</f>
        <v>32822.49</v>
      </c>
      <c r="H70" s="7"/>
      <c r="I70" s="7"/>
      <c r="J70" s="7"/>
      <c r="K70" s="10">
        <f t="shared" si="1"/>
        <v>32822.49</v>
      </c>
      <c r="L70" s="11"/>
    </row>
    <row r="71" spans="2:12">
      <c r="B71" s="120"/>
      <c r="C71" s="89">
        <v>87</v>
      </c>
      <c r="D71" s="89" t="s">
        <v>169</v>
      </c>
      <c r="E71" s="81" t="s">
        <v>351</v>
      </c>
      <c r="F71" s="42" t="str">
        <f>VLOOKUP(E71,'CH assign'!A:B,2,0)</f>
        <v>D11402</v>
      </c>
      <c r="G71" s="7">
        <f>VLOOKUP(F71,Etch_Length_From_Layout!A:B,2,0)</f>
        <v>32822.44</v>
      </c>
      <c r="H71" s="7"/>
      <c r="I71" s="7"/>
      <c r="J71" s="7"/>
      <c r="K71" s="10">
        <f t="shared" si="1"/>
        <v>32822.44</v>
      </c>
      <c r="L71" s="11" t="str">
        <f>IF(ABS(K71-K72)&lt;1,"PASS","FAIL")</f>
        <v>PASS</v>
      </c>
    </row>
    <row r="72" spans="2:12">
      <c r="B72" s="120"/>
      <c r="C72" s="89">
        <v>88</v>
      </c>
      <c r="D72" s="89" t="s">
        <v>170</v>
      </c>
      <c r="E72" s="81" t="s">
        <v>352</v>
      </c>
      <c r="F72" s="42" t="str">
        <f>VLOOKUP(E72,'CH assign'!A:B,2,0)</f>
        <v>D11404</v>
      </c>
      <c r="G72" s="7">
        <f>VLOOKUP(F72,Etch_Length_From_Layout!A:B,2,0)</f>
        <v>32822.01</v>
      </c>
      <c r="H72" s="7"/>
      <c r="I72" s="7"/>
      <c r="J72" s="7"/>
      <c r="K72" s="10">
        <f t="shared" si="1"/>
        <v>32822.01</v>
      </c>
      <c r="L72" s="11"/>
    </row>
    <row r="73" spans="2:12">
      <c r="B73" s="120"/>
      <c r="C73" s="89">
        <v>89</v>
      </c>
      <c r="D73" s="89" t="s">
        <v>171</v>
      </c>
      <c r="E73" s="81" t="s">
        <v>353</v>
      </c>
      <c r="F73" s="41" t="str">
        <f>VLOOKUP(E73,'CH assign'!A:B,2,0)</f>
        <v>D11411</v>
      </c>
      <c r="G73" s="7">
        <f>VLOOKUP(F73,Etch_Length_From_Layout!A:B,2,0)</f>
        <v>32822.230000000003</v>
      </c>
      <c r="H73" s="7"/>
      <c r="I73" s="7"/>
      <c r="J73" s="7"/>
      <c r="K73" s="10">
        <f t="shared" si="1"/>
        <v>32822.230000000003</v>
      </c>
      <c r="L73" s="11" t="str">
        <f>IF(ABS(K73-K74)&lt;1,"PASS","FAIL")</f>
        <v>PASS</v>
      </c>
    </row>
    <row r="74" spans="2:12">
      <c r="B74" s="120"/>
      <c r="C74" s="89">
        <v>90</v>
      </c>
      <c r="D74" s="89" t="s">
        <v>172</v>
      </c>
      <c r="E74" s="81" t="s">
        <v>354</v>
      </c>
      <c r="F74" s="41" t="str">
        <f>VLOOKUP(E74,'CH assign'!A:B,2,0)</f>
        <v>D11413</v>
      </c>
      <c r="G74" s="7">
        <f>VLOOKUP(F74,Etch_Length_From_Layout!A:B,2,0)</f>
        <v>32822.07</v>
      </c>
      <c r="H74" s="7"/>
      <c r="I74" s="7"/>
      <c r="J74" s="7"/>
      <c r="K74" s="10">
        <f t="shared" si="1"/>
        <v>32822.07</v>
      </c>
      <c r="L74" s="11"/>
    </row>
    <row r="75" spans="2:12">
      <c r="B75" s="120"/>
      <c r="C75" s="89">
        <v>91</v>
      </c>
      <c r="D75" s="89" t="s">
        <v>173</v>
      </c>
      <c r="E75" s="81" t="s">
        <v>355</v>
      </c>
      <c r="F75" s="41" t="str">
        <f>VLOOKUP(E75,'CH assign'!A:B,2,0)</f>
        <v>D11006</v>
      </c>
      <c r="G75" s="7">
        <f>VLOOKUP(F75,Etch_Length_From_Layout!A:B,2,0)</f>
        <v>32822.449999999997</v>
      </c>
      <c r="H75" s="7"/>
      <c r="I75" s="7"/>
      <c r="J75" s="7"/>
      <c r="K75" s="10">
        <f t="shared" si="1"/>
        <v>32822.449999999997</v>
      </c>
      <c r="L75" s="11" t="str">
        <f>IF(ABS(K75-K76)&lt;1,"PASS","FAIL")</f>
        <v>PASS</v>
      </c>
    </row>
    <row r="76" spans="2:12">
      <c r="B76" s="120"/>
      <c r="C76" s="89">
        <v>92</v>
      </c>
      <c r="D76" s="89" t="s">
        <v>174</v>
      </c>
      <c r="E76" s="81" t="s">
        <v>356</v>
      </c>
      <c r="F76" s="41" t="str">
        <f>VLOOKUP(E76,'CH assign'!A:B,2,0)</f>
        <v>D11008</v>
      </c>
      <c r="G76" s="7">
        <f>VLOOKUP(F76,Etch_Length_From_Layout!A:B,2,0)</f>
        <v>32822.07</v>
      </c>
      <c r="H76" s="7"/>
      <c r="I76" s="7"/>
      <c r="J76" s="7"/>
      <c r="K76" s="10">
        <f t="shared" si="1"/>
        <v>32822.07</v>
      </c>
      <c r="L76" s="11"/>
    </row>
    <row r="77" spans="2:12">
      <c r="B77" s="120"/>
      <c r="C77" s="89">
        <v>93</v>
      </c>
      <c r="D77" s="89" t="s">
        <v>175</v>
      </c>
      <c r="E77" s="81" t="s">
        <v>357</v>
      </c>
      <c r="F77" s="41" t="str">
        <f>VLOOKUP(E77,'CH assign'!A:B,2,0)</f>
        <v>D11002</v>
      </c>
      <c r="G77" s="7">
        <f>VLOOKUP(F77,Etch_Length_From_Layout!A:B,2,0)</f>
        <v>32822.370000000003</v>
      </c>
      <c r="H77" s="7"/>
      <c r="I77" s="7"/>
      <c r="J77" s="7"/>
      <c r="K77" s="10">
        <f t="shared" si="1"/>
        <v>32822.370000000003</v>
      </c>
      <c r="L77" s="11" t="str">
        <f>IF(ABS(K77-K78)&lt;1,"PASS","FAIL")</f>
        <v>PASS</v>
      </c>
    </row>
    <row r="78" spans="2:12">
      <c r="B78" s="120"/>
      <c r="C78" s="89">
        <v>94</v>
      </c>
      <c r="D78" s="89" t="s">
        <v>176</v>
      </c>
      <c r="E78" s="81" t="s">
        <v>358</v>
      </c>
      <c r="F78" s="41" t="str">
        <f>VLOOKUP(E78,'CH assign'!A:B,2,0)</f>
        <v>D11004</v>
      </c>
      <c r="G78" s="7">
        <f>VLOOKUP(F78,Etch_Length_From_Layout!A:B,2,0)</f>
        <v>32822.400000000001</v>
      </c>
      <c r="H78" s="7"/>
      <c r="I78" s="7"/>
      <c r="J78" s="7"/>
      <c r="K78" s="10">
        <f t="shared" si="1"/>
        <v>32822.400000000001</v>
      </c>
      <c r="L78" s="11"/>
    </row>
    <row r="79" spans="2:12">
      <c r="B79" s="120"/>
      <c r="C79" s="89">
        <v>95</v>
      </c>
      <c r="D79" s="89" t="s">
        <v>177</v>
      </c>
      <c r="E79" s="81" t="s">
        <v>359</v>
      </c>
      <c r="F79" s="41" t="str">
        <f>VLOOKUP(E79,'CH assign'!A:B,2,0)</f>
        <v>D11010</v>
      </c>
      <c r="G79" s="7">
        <f>VLOOKUP(F79,Etch_Length_From_Layout!A:B,2,0)</f>
        <v>32822.42</v>
      </c>
      <c r="H79" s="7"/>
      <c r="I79" s="7"/>
      <c r="J79" s="7"/>
      <c r="K79" s="10">
        <f t="shared" si="1"/>
        <v>32822.42</v>
      </c>
      <c r="L79" s="11" t="str">
        <f>IF(ABS(K79-K80)&lt;1,"PASS","FAIL")</f>
        <v>PASS</v>
      </c>
    </row>
    <row r="80" spans="2:12">
      <c r="B80" s="120"/>
      <c r="C80" s="89">
        <v>96</v>
      </c>
      <c r="D80" s="89" t="s">
        <v>178</v>
      </c>
      <c r="E80" s="81" t="s">
        <v>360</v>
      </c>
      <c r="F80" s="41" t="str">
        <f>VLOOKUP(E80,'CH assign'!A:B,2,0)</f>
        <v>D11012</v>
      </c>
      <c r="G80" s="7">
        <f>VLOOKUP(F80,Etch_Length_From_Layout!A:B,2,0)</f>
        <v>32822.06</v>
      </c>
      <c r="H80" s="7"/>
      <c r="I80" s="7"/>
      <c r="J80" s="7"/>
      <c r="K80" s="10">
        <f t="shared" si="1"/>
        <v>32822.06</v>
      </c>
      <c r="L80" s="11"/>
    </row>
    <row r="81" spans="2:12">
      <c r="B81" s="120"/>
      <c r="C81" s="89">
        <v>98</v>
      </c>
      <c r="D81" s="89" t="s">
        <v>179</v>
      </c>
      <c r="E81" s="81" t="s">
        <v>361</v>
      </c>
      <c r="F81" s="41" t="str">
        <f>VLOOKUP(E81,'CH assign'!A:B,2,0)</f>
        <v>D11009</v>
      </c>
      <c r="G81" s="7">
        <f>VLOOKUP(F81,Etch_Length_From_Layout!A:B,2,0)</f>
        <v>32822.31</v>
      </c>
      <c r="H81" s="7"/>
      <c r="I81" s="7"/>
      <c r="J81" s="7"/>
      <c r="K81" s="10">
        <f t="shared" si="1"/>
        <v>32822.31</v>
      </c>
      <c r="L81" s="11" t="str">
        <f>IF(ABS(K81-K82)&lt;1,"PASS","FAIL")</f>
        <v>PASS</v>
      </c>
    </row>
    <row r="82" spans="2:12">
      <c r="B82" s="120"/>
      <c r="C82" s="89">
        <v>99</v>
      </c>
      <c r="D82" s="89" t="s">
        <v>180</v>
      </c>
      <c r="E82" s="81" t="s">
        <v>362</v>
      </c>
      <c r="F82" s="41" t="str">
        <f>VLOOKUP(E82,'CH assign'!A:B,2,0)</f>
        <v>D11011</v>
      </c>
      <c r="G82" s="7">
        <f>VLOOKUP(F82,Etch_Length_From_Layout!A:B,2,0)</f>
        <v>32822.17</v>
      </c>
      <c r="H82" s="7"/>
      <c r="I82" s="7"/>
      <c r="J82" s="7"/>
      <c r="K82" s="10">
        <f t="shared" si="1"/>
        <v>32822.17</v>
      </c>
      <c r="L82" s="11"/>
    </row>
    <row r="83" spans="2:12">
      <c r="B83" s="120"/>
      <c r="C83" s="89">
        <v>100</v>
      </c>
      <c r="D83" s="89" t="s">
        <v>181</v>
      </c>
      <c r="E83" s="81" t="s">
        <v>363</v>
      </c>
      <c r="F83" s="41" t="str">
        <f>VLOOKUP(E83,'CH assign'!A:B,2,0)</f>
        <v>D11109</v>
      </c>
      <c r="G83" s="7">
        <f>VLOOKUP(F83,Etch_Length_From_Layout!A:B,2,0)</f>
        <v>32822.44</v>
      </c>
      <c r="H83" s="7"/>
      <c r="I83" s="7"/>
      <c r="J83" s="7"/>
      <c r="K83" s="10">
        <f t="shared" si="1"/>
        <v>32822.44</v>
      </c>
      <c r="L83" s="11" t="str">
        <f>IF(ABS(K83-K84)&lt;1,"PASS","FAIL")</f>
        <v>PASS</v>
      </c>
    </row>
    <row r="84" spans="2:12">
      <c r="B84" s="120"/>
      <c r="C84" s="89">
        <v>101</v>
      </c>
      <c r="D84" s="89" t="s">
        <v>182</v>
      </c>
      <c r="E84" s="81" t="s">
        <v>364</v>
      </c>
      <c r="F84" s="41" t="str">
        <f>VLOOKUP(E84,'CH assign'!A:B,2,0)</f>
        <v>D11111</v>
      </c>
      <c r="G84" s="7">
        <f>VLOOKUP(F84,Etch_Length_From_Layout!A:B,2,0)</f>
        <v>32822.06</v>
      </c>
      <c r="H84" s="7"/>
      <c r="I84" s="7"/>
      <c r="J84" s="7"/>
      <c r="K84" s="10">
        <f t="shared" si="1"/>
        <v>32822.06</v>
      </c>
      <c r="L84" s="11"/>
    </row>
    <row r="85" spans="2:12">
      <c r="B85" s="120"/>
      <c r="C85" s="89">
        <v>102</v>
      </c>
      <c r="D85" s="89" t="s">
        <v>183</v>
      </c>
      <c r="E85" s="81" t="s">
        <v>365</v>
      </c>
      <c r="F85" s="41" t="str">
        <f>VLOOKUP(E85,'CH assign'!A:B,2,0)</f>
        <v>D11113</v>
      </c>
      <c r="G85" s="7">
        <f>VLOOKUP(F85,Etch_Length_From_Layout!A:B,2,0)</f>
        <v>32822.25</v>
      </c>
      <c r="H85" s="7"/>
      <c r="I85" s="7"/>
      <c r="J85" s="7"/>
      <c r="K85" s="10">
        <f t="shared" si="1"/>
        <v>32822.25</v>
      </c>
      <c r="L85" s="11" t="str">
        <f>IF(ABS(K85-K86)&lt;1,"PASS","FAIL")</f>
        <v>PASS</v>
      </c>
    </row>
    <row r="86" spans="2:12">
      <c r="B86" s="120"/>
      <c r="C86" s="89">
        <v>103</v>
      </c>
      <c r="D86" s="89" t="s">
        <v>184</v>
      </c>
      <c r="E86" s="81" t="s">
        <v>366</v>
      </c>
      <c r="F86" s="41" t="str">
        <f>VLOOKUP(E86,'CH assign'!A:B,2,0)</f>
        <v>D11115</v>
      </c>
      <c r="G86" s="7">
        <f>VLOOKUP(F86,Etch_Length_From_Layout!A:B,2,0)</f>
        <v>32822.49</v>
      </c>
      <c r="H86" s="7"/>
      <c r="I86" s="7"/>
      <c r="J86" s="7"/>
      <c r="K86" s="10">
        <f t="shared" si="1"/>
        <v>32822.49</v>
      </c>
      <c r="L86" s="11"/>
    </row>
    <row r="87" spans="2:12">
      <c r="B87" s="120"/>
      <c r="C87" s="89">
        <v>112</v>
      </c>
      <c r="D87" s="89" t="s">
        <v>22</v>
      </c>
      <c r="E87" s="81" t="s">
        <v>367</v>
      </c>
      <c r="F87" s="67"/>
      <c r="G87" s="7">
        <f>VLOOKUP(E87,Etch_Length_From_Layout!A:B,2,0)</f>
        <v>6105.68</v>
      </c>
      <c r="H87" s="7" t="s">
        <v>338</v>
      </c>
      <c r="I87" s="79" t="str">
        <f>VLOOKUP(H87,'CH assign'!$A:$B,2,0)</f>
        <v>D11102</v>
      </c>
      <c r="J87" s="7">
        <f>VLOOKUP(I87,Etch_Length_From_Layout!$A:$B,2,0)</f>
        <v>26716.47</v>
      </c>
      <c r="K87" s="10">
        <f t="shared" si="1"/>
        <v>32822.15</v>
      </c>
      <c r="L87" s="11" t="str">
        <f>IF(ABS(K87-K88)&lt;1,"PASS","FAIL")</f>
        <v>PASS</v>
      </c>
    </row>
    <row r="88" spans="2:12">
      <c r="B88" s="120"/>
      <c r="C88" s="89">
        <v>113</v>
      </c>
      <c r="D88" s="89" t="s">
        <v>23</v>
      </c>
      <c r="E88" s="81" t="s">
        <v>368</v>
      </c>
      <c r="F88" s="67"/>
      <c r="G88" s="7">
        <f>VLOOKUP(E88,Etch_Length_From_Layout!A:B,2,0)</f>
        <v>6105.81</v>
      </c>
      <c r="H88" s="7" t="s">
        <v>340</v>
      </c>
      <c r="I88" s="79" t="str">
        <f>VLOOKUP(H88,'CH assign'!$A:$B,2,0)</f>
        <v>D11104</v>
      </c>
      <c r="J88" s="7">
        <f>VLOOKUP(I88,Etch_Length_From_Layout!$A:$B,2,0)</f>
        <v>26716.46</v>
      </c>
      <c r="K88" s="10">
        <f t="shared" si="1"/>
        <v>32822.269999999997</v>
      </c>
      <c r="L88" s="11"/>
    </row>
    <row r="89" spans="2:12">
      <c r="B89" s="120"/>
      <c r="C89" s="89">
        <v>114</v>
      </c>
      <c r="D89" s="89" t="s">
        <v>24</v>
      </c>
      <c r="E89" s="81" t="s">
        <v>369</v>
      </c>
      <c r="F89" s="67" t="str">
        <f>VLOOKUP(E89,'CH assign'!A:B,2,0)</f>
        <v>D11210</v>
      </c>
      <c r="G89" s="7">
        <f>VLOOKUP(F89,Etch_Length_From_Layout!A:B,2,0)</f>
        <v>32822.44</v>
      </c>
      <c r="H89" s="7"/>
      <c r="I89" s="7"/>
      <c r="J89" s="7"/>
      <c r="K89" s="10">
        <f t="shared" si="1"/>
        <v>32822.44</v>
      </c>
      <c r="L89" s="11" t="str">
        <f>IF(ABS(K89-K90)&lt;1,"PASS","FAIL")</f>
        <v>PASS</v>
      </c>
    </row>
    <row r="90" spans="2:12">
      <c r="B90" s="120"/>
      <c r="C90" s="89">
        <v>115</v>
      </c>
      <c r="D90" s="89" t="s">
        <v>25</v>
      </c>
      <c r="E90" s="81" t="s">
        <v>370</v>
      </c>
      <c r="F90" s="67" t="str">
        <f>VLOOKUP(E90,'CH assign'!A:B,2,0)</f>
        <v>D11212</v>
      </c>
      <c r="G90" s="7">
        <f>VLOOKUP(F90,Etch_Length_From_Layout!A:B,2,0)</f>
        <v>32822.080000000002</v>
      </c>
      <c r="H90" s="7"/>
      <c r="I90" s="7"/>
      <c r="J90" s="7"/>
      <c r="K90" s="10">
        <f t="shared" si="1"/>
        <v>32822.080000000002</v>
      </c>
      <c r="L90" s="11"/>
    </row>
    <row r="91" spans="2:12">
      <c r="B91" s="120"/>
      <c r="C91" s="89">
        <v>116</v>
      </c>
      <c r="D91" s="89" t="s">
        <v>185</v>
      </c>
      <c r="E91" s="81" t="s">
        <v>371</v>
      </c>
      <c r="F91" s="67" t="str">
        <f>VLOOKUP(E91,'CH assign'!A:B,2,0)</f>
        <v>D11106</v>
      </c>
      <c r="G91" s="7">
        <f>VLOOKUP(F91,Etch_Length_From_Layout!A:B,2,0)</f>
        <v>32822.03</v>
      </c>
      <c r="H91" s="7"/>
      <c r="I91" s="7"/>
      <c r="J91" s="7"/>
      <c r="K91" s="10">
        <f t="shared" si="1"/>
        <v>32822.03</v>
      </c>
      <c r="L91" s="11" t="str">
        <f>IF(ABS(K91-K92)&lt;1,"PASS","FAIL")</f>
        <v>PASS</v>
      </c>
    </row>
    <row r="92" spans="2:12">
      <c r="B92" s="120"/>
      <c r="C92" s="89">
        <v>117</v>
      </c>
      <c r="D92" s="89" t="s">
        <v>186</v>
      </c>
      <c r="E92" s="81" t="s">
        <v>372</v>
      </c>
      <c r="F92" s="67" t="str">
        <f>VLOOKUP(E92,'CH assign'!A:B,2,0)</f>
        <v>D11108</v>
      </c>
      <c r="G92" s="7">
        <f>VLOOKUP(F92,Etch_Length_From_Layout!A:B,2,0)</f>
        <v>32822.42</v>
      </c>
      <c r="H92" s="7"/>
      <c r="I92" s="7"/>
      <c r="J92" s="7"/>
      <c r="K92" s="10">
        <f t="shared" si="1"/>
        <v>32822.42</v>
      </c>
      <c r="L92" s="11"/>
    </row>
    <row r="93" spans="2:12">
      <c r="B93" s="120"/>
      <c r="C93" s="89">
        <v>120</v>
      </c>
      <c r="D93" s="89" t="s">
        <v>187</v>
      </c>
      <c r="E93" s="81" t="s">
        <v>373</v>
      </c>
      <c r="F93" s="67" t="str">
        <f>VLOOKUP(E93,'CH assign'!A:B,2,0)</f>
        <v>D11202</v>
      </c>
      <c r="G93" s="7">
        <f>VLOOKUP(F93,Etch_Length_From_Layout!A:B,2,0)</f>
        <v>32822.089999999997</v>
      </c>
      <c r="H93" s="7"/>
      <c r="I93" s="7"/>
      <c r="J93" s="7"/>
      <c r="K93" s="10">
        <f t="shared" si="1"/>
        <v>32822.089999999997</v>
      </c>
      <c r="L93" s="11" t="str">
        <f>IF(ABS(K93-K94)&lt;1,"PASS","FAIL")</f>
        <v>PASS</v>
      </c>
    </row>
    <row r="94" spans="2:12">
      <c r="B94" s="120"/>
      <c r="C94" s="89">
        <v>121</v>
      </c>
      <c r="D94" s="89" t="s">
        <v>188</v>
      </c>
      <c r="E94" s="81" t="s">
        <v>374</v>
      </c>
      <c r="F94" s="67" t="str">
        <f>VLOOKUP(E94,'CH assign'!A:B,2,0)</f>
        <v>D11204</v>
      </c>
      <c r="G94" s="7">
        <f>VLOOKUP(F94,Etch_Length_From_Layout!A:B,2,0)</f>
        <v>32822.18</v>
      </c>
      <c r="H94" s="7"/>
      <c r="I94" s="7"/>
      <c r="J94" s="7"/>
      <c r="K94" s="10">
        <f t="shared" si="1"/>
        <v>32822.18</v>
      </c>
      <c r="L94" s="11"/>
    </row>
    <row r="95" spans="2:12">
      <c r="B95" s="120"/>
      <c r="C95" s="89">
        <v>122</v>
      </c>
      <c r="D95" s="89" t="s">
        <v>189</v>
      </c>
      <c r="E95" s="81" t="s">
        <v>375</v>
      </c>
      <c r="F95" s="67" t="str">
        <f>VLOOKUP(E95,'CH assign'!A:B,2,0)</f>
        <v>D11209</v>
      </c>
      <c r="G95" s="7">
        <f>VLOOKUP(F95,Etch_Length_From_Layout!A:B,2,0)</f>
        <v>32822.42</v>
      </c>
      <c r="H95" s="7"/>
      <c r="I95" s="7"/>
      <c r="J95" s="7"/>
      <c r="K95" s="10">
        <f t="shared" si="1"/>
        <v>32822.42</v>
      </c>
      <c r="L95" s="11" t="str">
        <f>IF(ABS(K95-K96)&lt;1,"PASS","FAIL")</f>
        <v>PASS</v>
      </c>
    </row>
    <row r="96" spans="2:12">
      <c r="B96" s="120"/>
      <c r="C96" s="89">
        <v>123</v>
      </c>
      <c r="D96" s="89" t="s">
        <v>190</v>
      </c>
      <c r="E96" s="81" t="s">
        <v>376</v>
      </c>
      <c r="F96" s="67" t="str">
        <f>VLOOKUP(E96,'CH assign'!A:B,2,0)</f>
        <v>D11211</v>
      </c>
      <c r="G96" s="7">
        <f>VLOOKUP(F96,Etch_Length_From_Layout!A:B,2,0)</f>
        <v>32822</v>
      </c>
      <c r="H96" s="7"/>
      <c r="I96" s="7"/>
      <c r="J96" s="7"/>
      <c r="K96" s="10">
        <f t="shared" si="1"/>
        <v>32822</v>
      </c>
      <c r="L96" s="11"/>
    </row>
    <row r="97" spans="2:12">
      <c r="B97" s="120"/>
      <c r="C97" s="89">
        <v>124</v>
      </c>
      <c r="D97" s="89" t="s">
        <v>191</v>
      </c>
      <c r="E97" s="81" t="s">
        <v>377</v>
      </c>
      <c r="F97" s="67" t="str">
        <f>VLOOKUP(E97,'CH assign'!A:B,2,0)</f>
        <v>D11406</v>
      </c>
      <c r="G97" s="7">
        <f>VLOOKUP(F97,Etch_Length_From_Layout!A:B,2,0)</f>
        <v>32822.42</v>
      </c>
      <c r="H97" s="7"/>
      <c r="I97" s="7"/>
      <c r="J97" s="7"/>
      <c r="K97" s="10">
        <f t="shared" si="1"/>
        <v>32822.42</v>
      </c>
      <c r="L97" s="11" t="str">
        <f>IF(ABS(K97-K98)&lt;1,"PASS","FAIL")</f>
        <v>PASS</v>
      </c>
    </row>
    <row r="98" spans="2:12">
      <c r="B98" s="120"/>
      <c r="C98" s="89">
        <v>125</v>
      </c>
      <c r="D98" s="89" t="s">
        <v>192</v>
      </c>
      <c r="E98" s="81" t="s">
        <v>378</v>
      </c>
      <c r="F98" s="67" t="str">
        <f>VLOOKUP(E98,'CH assign'!A:B,2,0)</f>
        <v>D11408</v>
      </c>
      <c r="G98" s="7">
        <f>VLOOKUP(F98,Etch_Length_From_Layout!A:B,2,0)</f>
        <v>32822.26</v>
      </c>
      <c r="H98" s="7"/>
      <c r="I98" s="7"/>
      <c r="J98" s="7"/>
      <c r="K98" s="10">
        <f t="shared" si="1"/>
        <v>32822.26</v>
      </c>
      <c r="L98" s="11"/>
    </row>
    <row r="99" spans="2:12">
      <c r="B99" s="120"/>
      <c r="C99" s="89">
        <v>126</v>
      </c>
      <c r="D99" s="89" t="s">
        <v>193</v>
      </c>
      <c r="E99" s="81" t="s">
        <v>379</v>
      </c>
      <c r="F99" s="67" t="str">
        <f>VLOOKUP(E99,'CH assign'!A:B,2,0)</f>
        <v>D11407</v>
      </c>
      <c r="G99" s="7">
        <f>VLOOKUP(F99,Etch_Length_From_Layout!A:B,2,0)</f>
        <v>32822.019999999997</v>
      </c>
      <c r="H99" s="7"/>
      <c r="I99" s="7"/>
      <c r="J99" s="7"/>
      <c r="K99" s="10">
        <f t="shared" si="1"/>
        <v>32822.019999999997</v>
      </c>
      <c r="L99" s="11" t="str">
        <f>IF(ABS(K99-K100)&lt;1,"PASS","FAIL")</f>
        <v>PASS</v>
      </c>
    </row>
    <row r="100" spans="2:12">
      <c r="B100" s="120"/>
      <c r="C100" s="89">
        <v>127</v>
      </c>
      <c r="D100" s="89" t="s">
        <v>194</v>
      </c>
      <c r="E100" s="81" t="s">
        <v>380</v>
      </c>
      <c r="F100" s="67" t="str">
        <f>VLOOKUP(E100,'CH assign'!A:B,2,0)</f>
        <v>D11409</v>
      </c>
      <c r="G100" s="7">
        <f>VLOOKUP(F100,Etch_Length_From_Layout!A:B,2,0)</f>
        <v>32822.49</v>
      </c>
      <c r="H100" s="7"/>
      <c r="I100" s="7"/>
      <c r="J100" s="7"/>
      <c r="K100" s="10">
        <f t="shared" si="1"/>
        <v>32822.49</v>
      </c>
      <c r="L100" s="11"/>
    </row>
    <row r="101" spans="2:12">
      <c r="B101" s="120"/>
      <c r="C101" s="89">
        <v>129</v>
      </c>
      <c r="D101" s="89" t="s">
        <v>195</v>
      </c>
      <c r="E101" s="81" t="s">
        <v>381</v>
      </c>
      <c r="F101" s="68" t="str">
        <f>VLOOKUP(E101,'CH assign'!A:B,2,0)</f>
        <v>D11403</v>
      </c>
      <c r="G101" s="7">
        <f>VLOOKUP(F101,Etch_Length_From_Layout!A:B,2,0)</f>
        <v>32822.449999999997</v>
      </c>
      <c r="H101" s="7"/>
      <c r="I101" s="7"/>
      <c r="J101" s="7"/>
      <c r="K101" s="10">
        <f t="shared" si="1"/>
        <v>32822.449999999997</v>
      </c>
      <c r="L101" s="11" t="str">
        <f>IF(ABS(K101-K102)&lt;1,"PASS","FAIL")</f>
        <v>PASS</v>
      </c>
    </row>
    <row r="102" spans="2:12">
      <c r="B102" s="120"/>
      <c r="C102" s="89">
        <v>130</v>
      </c>
      <c r="D102" s="89" t="s">
        <v>196</v>
      </c>
      <c r="E102" s="81" t="s">
        <v>382</v>
      </c>
      <c r="F102" s="68" t="str">
        <f>VLOOKUP(E102,'CH assign'!A:B,2,0)</f>
        <v>D11405</v>
      </c>
      <c r="G102" s="7">
        <f>VLOOKUP(F102,Etch_Length_From_Layout!A:B,2,0)</f>
        <v>32822.089999999997</v>
      </c>
      <c r="H102" s="7"/>
      <c r="I102" s="7"/>
      <c r="J102" s="7"/>
      <c r="K102" s="10">
        <f t="shared" si="1"/>
        <v>32822.089999999997</v>
      </c>
      <c r="L102" s="11"/>
    </row>
    <row r="103" spans="2:12">
      <c r="B103" s="120"/>
      <c r="C103" s="89">
        <v>131</v>
      </c>
      <c r="D103" s="89" t="s">
        <v>197</v>
      </c>
      <c r="E103" s="81" t="s">
        <v>383</v>
      </c>
      <c r="F103" s="68" t="str">
        <f>VLOOKUP(E103,'CH assign'!A:B,2,0)</f>
        <v>D11014</v>
      </c>
      <c r="G103" s="7">
        <f>VLOOKUP(F103,Etch_Length_From_Layout!A:B,2,0)</f>
        <v>32822.36</v>
      </c>
      <c r="H103" s="7"/>
      <c r="I103" s="7"/>
      <c r="J103" s="7"/>
      <c r="K103" s="10">
        <f t="shared" si="1"/>
        <v>32822.36</v>
      </c>
      <c r="L103" s="11" t="str">
        <f>IF(ABS(K103-K104)&lt;1,"PASS","FAIL")</f>
        <v>PASS</v>
      </c>
    </row>
    <row r="104" spans="2:12">
      <c r="B104" s="120"/>
      <c r="C104" s="89">
        <v>132</v>
      </c>
      <c r="D104" s="89" t="s">
        <v>198</v>
      </c>
      <c r="E104" s="81" t="s">
        <v>384</v>
      </c>
      <c r="F104" s="68" t="str">
        <f>VLOOKUP(E104,'CH assign'!A:B,2,0)</f>
        <v>D11016</v>
      </c>
      <c r="G104" s="7">
        <f>VLOOKUP(F104,Etch_Length_From_Layout!A:B,2,0)</f>
        <v>32822.15</v>
      </c>
      <c r="H104" s="7"/>
      <c r="I104" s="7"/>
      <c r="J104" s="7"/>
      <c r="K104" s="10">
        <f t="shared" si="1"/>
        <v>32822.15</v>
      </c>
      <c r="L104" s="11"/>
    </row>
    <row r="105" spans="2:12">
      <c r="B105" s="120"/>
      <c r="C105" s="89">
        <v>133</v>
      </c>
      <c r="D105" s="89" t="s">
        <v>199</v>
      </c>
      <c r="E105" s="81" t="s">
        <v>385</v>
      </c>
      <c r="F105" s="68" t="str">
        <f>VLOOKUP(E105,'CH assign'!A:B,2,0)</f>
        <v>D11013</v>
      </c>
      <c r="G105" s="7">
        <f>VLOOKUP(F105,Etch_Length_From_Layout!A:B,2,0)</f>
        <v>32822.160000000003</v>
      </c>
      <c r="H105" s="7"/>
      <c r="I105" s="7"/>
      <c r="J105" s="7"/>
      <c r="K105" s="10">
        <f t="shared" si="1"/>
        <v>32822.160000000003</v>
      </c>
      <c r="L105" s="11" t="str">
        <f>IF(ABS(K105-K106)&lt;1,"PASS","FAIL")</f>
        <v>PASS</v>
      </c>
    </row>
    <row r="106" spans="2:12">
      <c r="B106" s="120"/>
      <c r="C106" s="89">
        <v>134</v>
      </c>
      <c r="D106" s="89" t="s">
        <v>200</v>
      </c>
      <c r="E106" s="81" t="s">
        <v>386</v>
      </c>
      <c r="F106" s="68" t="str">
        <f>VLOOKUP(E106,'CH assign'!A:B,2,0)</f>
        <v>D11015</v>
      </c>
      <c r="G106" s="7">
        <f>VLOOKUP(F106,Etch_Length_From_Layout!A:B,2,0)</f>
        <v>32822.26</v>
      </c>
      <c r="H106" s="7"/>
      <c r="I106" s="7"/>
      <c r="J106" s="7"/>
      <c r="K106" s="10">
        <f t="shared" si="1"/>
        <v>32822.26</v>
      </c>
      <c r="L106" s="11"/>
    </row>
    <row r="107" spans="2:12">
      <c r="B107" s="120"/>
      <c r="C107" s="89">
        <v>135</v>
      </c>
      <c r="D107" s="89" t="s">
        <v>201</v>
      </c>
      <c r="E107" s="81" t="s">
        <v>387</v>
      </c>
      <c r="F107" s="68" t="str">
        <f>VLOOKUP(E107,'CH assign'!A:B,2,0)</f>
        <v>D11213</v>
      </c>
      <c r="G107" s="7">
        <f>VLOOKUP(F107,Etch_Length_From_Layout!A:B,2,0)</f>
        <v>32822.33</v>
      </c>
      <c r="H107" s="7"/>
      <c r="I107" s="7"/>
      <c r="J107" s="7"/>
      <c r="K107" s="10">
        <f t="shared" si="1"/>
        <v>32822.33</v>
      </c>
      <c r="L107" s="11" t="str">
        <f>IF(ABS(K107-K108)&lt;1,"PASS","FAIL")</f>
        <v>PASS</v>
      </c>
    </row>
    <row r="108" spans="2:12">
      <c r="B108" s="120"/>
      <c r="C108" s="89">
        <v>136</v>
      </c>
      <c r="D108" s="89" t="s">
        <v>202</v>
      </c>
      <c r="E108" s="81" t="s">
        <v>388</v>
      </c>
      <c r="F108" s="68" t="str">
        <f>VLOOKUP(E108,'CH assign'!A:B,2,0)</f>
        <v>D11215</v>
      </c>
      <c r="G108" s="7">
        <f>VLOOKUP(F108,Etch_Length_From_Layout!A:B,2,0)</f>
        <v>32822.400000000001</v>
      </c>
      <c r="H108" s="7"/>
      <c r="I108" s="7"/>
      <c r="J108" s="7"/>
      <c r="K108" s="10">
        <f t="shared" si="1"/>
        <v>32822.400000000001</v>
      </c>
      <c r="L108" s="11"/>
    </row>
    <row r="109" spans="2:12">
      <c r="B109" s="120"/>
      <c r="C109" s="89">
        <v>137</v>
      </c>
      <c r="D109" s="89" t="s">
        <v>203</v>
      </c>
      <c r="E109" s="81" t="s">
        <v>389</v>
      </c>
      <c r="F109" s="68" t="str">
        <f>VLOOKUP(E109,'CH assign'!A:B,2,0)</f>
        <v>D11214</v>
      </c>
      <c r="G109" s="7">
        <f>VLOOKUP(F109,Etch_Length_From_Layout!A:B,2,0)</f>
        <v>32822.120000000003</v>
      </c>
      <c r="H109" s="7"/>
      <c r="I109" s="7"/>
      <c r="J109" s="7"/>
      <c r="K109" s="10">
        <f t="shared" si="1"/>
        <v>32822.120000000003</v>
      </c>
      <c r="L109" s="11" t="str">
        <f>IF(ABS(K109-K110)&lt;1,"PASS","FAIL")</f>
        <v>PASS</v>
      </c>
    </row>
    <row r="110" spans="2:12">
      <c r="B110" s="120"/>
      <c r="C110" s="89">
        <v>138</v>
      </c>
      <c r="D110" s="89" t="s">
        <v>204</v>
      </c>
      <c r="E110" s="81" t="s">
        <v>390</v>
      </c>
      <c r="F110" s="68" t="str">
        <f>VLOOKUP(E110,'CH assign'!A:B,2,0)</f>
        <v>D11216</v>
      </c>
      <c r="G110" s="7">
        <f>VLOOKUP(F110,Etch_Length_From_Layout!A:B,2,0)</f>
        <v>32822.400000000001</v>
      </c>
      <c r="H110" s="7"/>
      <c r="I110" s="7"/>
      <c r="J110" s="7"/>
      <c r="K110" s="10">
        <f t="shared" si="1"/>
        <v>32822.400000000001</v>
      </c>
      <c r="L110" s="11"/>
    </row>
    <row r="111" spans="2:12">
      <c r="B111" s="120"/>
      <c r="C111" s="89">
        <v>140</v>
      </c>
      <c r="D111" s="89" t="s">
        <v>205</v>
      </c>
      <c r="E111" s="81" t="s">
        <v>391</v>
      </c>
      <c r="F111" s="68" t="str">
        <f>VLOOKUP(E111,'CH assign'!A:B,2,0)</f>
        <v>D11201</v>
      </c>
      <c r="G111" s="7">
        <f>VLOOKUP(F111,Etch_Length_From_Layout!A:B,2,0)</f>
        <v>32822.050000000003</v>
      </c>
      <c r="H111" s="7"/>
      <c r="I111" s="7"/>
      <c r="J111" s="7"/>
      <c r="K111" s="10">
        <f t="shared" si="1"/>
        <v>32822.050000000003</v>
      </c>
      <c r="L111" s="11" t="str">
        <f>IF(ABS(K111-K112)&lt;1,"PASS","FAIL")</f>
        <v>PASS</v>
      </c>
    </row>
    <row r="112" spans="2:12">
      <c r="B112" s="120"/>
      <c r="C112" s="89">
        <v>141</v>
      </c>
      <c r="D112" s="89" t="s">
        <v>206</v>
      </c>
      <c r="E112" s="81" t="s">
        <v>392</v>
      </c>
      <c r="F112" s="68" t="str">
        <f>VLOOKUP(E112,'CH assign'!A:B,2,0)</f>
        <v>D11203</v>
      </c>
      <c r="G112" s="7">
        <f>VLOOKUP(F112,Etch_Length_From_Layout!A:B,2,0)</f>
        <v>32822.39</v>
      </c>
      <c r="H112" s="7"/>
      <c r="I112" s="7"/>
      <c r="J112" s="7"/>
      <c r="K112" s="10">
        <f t="shared" si="1"/>
        <v>32822.39</v>
      </c>
      <c r="L112" s="11"/>
    </row>
    <row r="113" spans="2:12">
      <c r="B113" s="120"/>
      <c r="C113" s="89">
        <v>142</v>
      </c>
      <c r="D113" s="89" t="s">
        <v>207</v>
      </c>
      <c r="E113" s="81" t="s">
        <v>393</v>
      </c>
      <c r="F113" s="68" t="str">
        <f>VLOOKUP(E113,'CH assign'!A:B,2,0)</f>
        <v>D11205</v>
      </c>
      <c r="G113" s="7">
        <f>VLOOKUP(F113,Etch_Length_From_Layout!A:B,2,0)</f>
        <v>32822.14</v>
      </c>
      <c r="H113" s="7"/>
      <c r="I113" s="7"/>
      <c r="J113" s="7"/>
      <c r="K113" s="10">
        <f t="shared" si="1"/>
        <v>32822.14</v>
      </c>
      <c r="L113" s="11" t="str">
        <f>IF(ABS(K113-K114)&lt;1,"PASS","FAIL")</f>
        <v>PASS</v>
      </c>
    </row>
    <row r="114" spans="2:12">
      <c r="B114" s="120"/>
      <c r="C114" s="89">
        <v>143</v>
      </c>
      <c r="D114" s="89" t="s">
        <v>208</v>
      </c>
      <c r="E114" s="81" t="s">
        <v>394</v>
      </c>
      <c r="F114" s="68" t="str">
        <f>VLOOKUP(E114,'CH assign'!A:B,2,0)</f>
        <v>D11207</v>
      </c>
      <c r="G114" s="7">
        <f>VLOOKUP(F114,Etch_Length_From_Layout!A:B,2,0)</f>
        <v>32822.01</v>
      </c>
      <c r="H114" s="7"/>
      <c r="I114" s="7"/>
      <c r="J114" s="7"/>
      <c r="K114" s="10">
        <f t="shared" si="1"/>
        <v>32822.01</v>
      </c>
      <c r="L114" s="11"/>
    </row>
    <row r="115" spans="2:12">
      <c r="B115" s="120" t="s">
        <v>302</v>
      </c>
      <c r="C115" s="89">
        <v>73</v>
      </c>
      <c r="D115" s="89" t="s">
        <v>157</v>
      </c>
      <c r="E115" s="81" t="s">
        <v>395</v>
      </c>
      <c r="F115" s="42"/>
      <c r="G115" s="7">
        <f>VLOOKUP(E115,Etch_Length_From_Layout!A:B,2,0)</f>
        <v>19138.63</v>
      </c>
      <c r="H115" s="77" t="s">
        <v>396</v>
      </c>
      <c r="I115" s="79" t="str">
        <f>VLOOKUP(H115,'CH assign'!$A:$B,2,0)</f>
        <v>D12313</v>
      </c>
      <c r="J115" s="7">
        <f>VLOOKUP(I115,Etch_Length_From_Layout!$A:$B,2,0)</f>
        <v>13683.46</v>
      </c>
      <c r="K115" s="10">
        <f>G115+J115</f>
        <v>32822.089999999997</v>
      </c>
      <c r="L115" s="11" t="str">
        <f>IF(ABS(K115-K116)&lt;1,"PASS","FAIL")</f>
        <v>PASS</v>
      </c>
    </row>
    <row r="116" spans="2:12">
      <c r="B116" s="120"/>
      <c r="C116" s="89">
        <v>74</v>
      </c>
      <c r="D116" s="89" t="s">
        <v>158</v>
      </c>
      <c r="E116" s="81" t="s">
        <v>397</v>
      </c>
      <c r="F116" s="42"/>
      <c r="G116" s="7">
        <f>VLOOKUP(E116,Etch_Length_From_Layout!A:B,2,0)</f>
        <v>19138.919999999998</v>
      </c>
      <c r="H116" s="77" t="s">
        <v>398</v>
      </c>
      <c r="I116" s="79" t="str">
        <f>VLOOKUP(H116,'CH assign'!$A:$B,2,0)</f>
        <v>D12315</v>
      </c>
      <c r="J116" s="7">
        <f>VLOOKUP(I116,Etch_Length_From_Layout!$A:$B,2,0)</f>
        <v>13683.42</v>
      </c>
      <c r="K116" s="10">
        <f t="shared" ref="K116:K170" si="2">G116+J116</f>
        <v>32822.339999999997</v>
      </c>
      <c r="L116" s="11"/>
    </row>
    <row r="117" spans="2:12">
      <c r="B117" s="120"/>
      <c r="C117" s="89">
        <v>75</v>
      </c>
      <c r="D117" s="89" t="s">
        <v>159</v>
      </c>
      <c r="E117" s="81" t="s">
        <v>399</v>
      </c>
      <c r="F117" s="42" t="str">
        <f>VLOOKUP(E117,'CH assign'!$A:$B,2,0)</f>
        <v>D12314</v>
      </c>
      <c r="G117" s="7">
        <f>VLOOKUP(F117,Etch_Length_From_Layout!A:B,2,0)</f>
        <v>32822.410000000003</v>
      </c>
      <c r="H117" s="7"/>
      <c r="I117" s="7"/>
      <c r="J117" s="7"/>
      <c r="K117" s="10">
        <f t="shared" si="2"/>
        <v>32822.410000000003</v>
      </c>
      <c r="L117" s="11" t="str">
        <f>IF(ABS(K117-K118)&lt;1,"PASS","FAIL")</f>
        <v>PASS</v>
      </c>
    </row>
    <row r="118" spans="2:12">
      <c r="B118" s="120"/>
      <c r="C118" s="89">
        <v>76</v>
      </c>
      <c r="D118" s="89" t="s">
        <v>160</v>
      </c>
      <c r="E118" s="81" t="s">
        <v>400</v>
      </c>
      <c r="F118" s="42" t="str">
        <f>VLOOKUP(E118,'CH assign'!A:B,2,0)</f>
        <v>D12316</v>
      </c>
      <c r="G118" s="7">
        <f>VLOOKUP(F118,Etch_Length_From_Layout!A:B,2,0)</f>
        <v>32822.449999999997</v>
      </c>
      <c r="H118" s="7"/>
      <c r="I118" s="7"/>
      <c r="J118" s="7"/>
      <c r="K118" s="10">
        <f t="shared" si="2"/>
        <v>32822.449999999997</v>
      </c>
      <c r="L118" s="11"/>
    </row>
    <row r="119" spans="2:12">
      <c r="B119" s="120"/>
      <c r="C119" s="89">
        <v>79</v>
      </c>
      <c r="D119" s="89" t="s">
        <v>161</v>
      </c>
      <c r="E119" s="81" t="s">
        <v>401</v>
      </c>
      <c r="F119" s="42" t="str">
        <f>VLOOKUP(E119,'CH assign'!A:B,2,0)</f>
        <v>D12309</v>
      </c>
      <c r="G119" s="7">
        <f>VLOOKUP(F119,Etch_Length_From_Layout!A:B,2,0)</f>
        <v>32822.04</v>
      </c>
      <c r="H119" s="7"/>
      <c r="I119" s="7"/>
      <c r="J119" s="7"/>
      <c r="K119" s="10">
        <f t="shared" si="2"/>
        <v>32822.04</v>
      </c>
      <c r="L119" s="11" t="str">
        <f>IF(ABS(K119-K120)&lt;1,"PASS","FAIL")</f>
        <v>PASS</v>
      </c>
    </row>
    <row r="120" spans="2:12">
      <c r="B120" s="120"/>
      <c r="C120" s="89">
        <v>80</v>
      </c>
      <c r="D120" s="89" t="s">
        <v>162</v>
      </c>
      <c r="E120" s="81" t="s">
        <v>402</v>
      </c>
      <c r="F120" s="42" t="str">
        <f>VLOOKUP(E120,'CH assign'!A:B,2,0)</f>
        <v>D12311</v>
      </c>
      <c r="G120" s="7">
        <f>VLOOKUP(F120,Etch_Length_From_Layout!A:B,2,0)</f>
        <v>32822.47</v>
      </c>
      <c r="H120" s="7"/>
      <c r="I120" s="7"/>
      <c r="J120" s="7"/>
      <c r="K120" s="10">
        <f t="shared" si="2"/>
        <v>32822.47</v>
      </c>
      <c r="L120" s="11"/>
    </row>
    <row r="121" spans="2:12">
      <c r="B121" s="120"/>
      <c r="C121" s="89">
        <v>81</v>
      </c>
      <c r="D121" s="89" t="s">
        <v>163</v>
      </c>
      <c r="E121" s="81" t="s">
        <v>403</v>
      </c>
      <c r="F121" s="42" t="str">
        <f>VLOOKUP(E121,'CH assign'!A:B,2,0)</f>
        <v>D11909</v>
      </c>
      <c r="G121" s="7">
        <f>VLOOKUP(F121,Etch_Length_From_Layout!A:B,2,0)</f>
        <v>32822.410000000003</v>
      </c>
      <c r="H121" s="7"/>
      <c r="I121" s="7"/>
      <c r="J121" s="7"/>
      <c r="K121" s="10">
        <f t="shared" si="2"/>
        <v>32822.410000000003</v>
      </c>
      <c r="L121" s="11" t="str">
        <f>IF(ABS(K121-K122)&lt;1,"PASS","FAIL")</f>
        <v>PASS</v>
      </c>
    </row>
    <row r="122" spans="2:12">
      <c r="B122" s="120"/>
      <c r="C122" s="89">
        <v>82</v>
      </c>
      <c r="D122" s="89" t="s">
        <v>164</v>
      </c>
      <c r="E122" s="81" t="s">
        <v>404</v>
      </c>
      <c r="F122" s="42" t="str">
        <f>VLOOKUP(E122,'CH assign'!A:B,2,0)</f>
        <v>D11911</v>
      </c>
      <c r="G122" s="7">
        <f>VLOOKUP(F122,Etch_Length_From_Layout!A:B,2,0)</f>
        <v>32822.03</v>
      </c>
      <c r="H122" s="7"/>
      <c r="I122" s="7"/>
      <c r="J122" s="7"/>
      <c r="K122" s="10">
        <f t="shared" si="2"/>
        <v>32822.03</v>
      </c>
      <c r="L122" s="11"/>
    </row>
    <row r="123" spans="2:12">
      <c r="B123" s="120"/>
      <c r="C123" s="89">
        <v>83</v>
      </c>
      <c r="D123" s="89" t="s">
        <v>165</v>
      </c>
      <c r="E123" s="81" t="s">
        <v>405</v>
      </c>
      <c r="F123" s="42" t="str">
        <f>VLOOKUP(E123,'CH assign'!A:B,2,0)</f>
        <v>D12306</v>
      </c>
      <c r="G123" s="7">
        <f>VLOOKUP(F123,Etch_Length_From_Layout!A:B,2,0)</f>
        <v>32822.160000000003</v>
      </c>
      <c r="H123" s="7"/>
      <c r="I123" s="7"/>
      <c r="J123" s="7"/>
      <c r="K123" s="10">
        <f t="shared" si="2"/>
        <v>32822.160000000003</v>
      </c>
      <c r="L123" s="11" t="str">
        <f>IF(ABS(K123-K124)&lt;1,"PASS","FAIL")</f>
        <v>PASS</v>
      </c>
    </row>
    <row r="124" spans="2:12">
      <c r="B124" s="120"/>
      <c r="C124" s="89">
        <v>84</v>
      </c>
      <c r="D124" s="89" t="s">
        <v>166</v>
      </c>
      <c r="E124" s="81" t="s">
        <v>406</v>
      </c>
      <c r="F124" s="42" t="str">
        <f>VLOOKUP(E124,'CH assign'!A:B,2,0)</f>
        <v>D12308</v>
      </c>
      <c r="G124" s="7">
        <f>VLOOKUP(F124,Etch_Length_From_Layout!A:B,2,0)</f>
        <v>32822.36</v>
      </c>
      <c r="H124" s="7"/>
      <c r="I124" s="7"/>
      <c r="J124" s="7"/>
      <c r="K124" s="10">
        <f t="shared" si="2"/>
        <v>32822.36</v>
      </c>
      <c r="L124" s="11"/>
    </row>
    <row r="125" spans="2:12">
      <c r="B125" s="120"/>
      <c r="C125" s="89">
        <v>85</v>
      </c>
      <c r="D125" s="89" t="s">
        <v>167</v>
      </c>
      <c r="E125" s="81" t="s">
        <v>407</v>
      </c>
      <c r="F125" s="42" t="str">
        <f>VLOOKUP(E125,'CH assign'!A:B,2,0)</f>
        <v>D12305</v>
      </c>
      <c r="G125" s="7">
        <f>VLOOKUP(F125,Etch_Length_From_Layout!A:B,2,0)</f>
        <v>32822.17</v>
      </c>
      <c r="H125" s="7"/>
      <c r="I125" s="7"/>
      <c r="J125" s="7"/>
      <c r="K125" s="10">
        <f t="shared" si="2"/>
        <v>32822.17</v>
      </c>
      <c r="L125" s="11" t="str">
        <f>IF(ABS(K125-K126)&lt;1,"PASS","FAIL")</f>
        <v>PASS</v>
      </c>
    </row>
    <row r="126" spans="2:12">
      <c r="B126" s="120"/>
      <c r="C126" s="89">
        <v>86</v>
      </c>
      <c r="D126" s="89" t="s">
        <v>168</v>
      </c>
      <c r="E126" s="81" t="s">
        <v>408</v>
      </c>
      <c r="F126" s="42" t="str">
        <f>VLOOKUP(E126,'CH assign'!A:B,2,0)</f>
        <v>D12307</v>
      </c>
      <c r="G126" s="7">
        <f>VLOOKUP(F126,Etch_Length_From_Layout!A:B,2,0)</f>
        <v>32822.230000000003</v>
      </c>
      <c r="H126" s="7"/>
      <c r="I126" s="7"/>
      <c r="J126" s="7"/>
      <c r="K126" s="10">
        <f t="shared" si="2"/>
        <v>32822.230000000003</v>
      </c>
      <c r="L126" s="11"/>
    </row>
    <row r="127" spans="2:12">
      <c r="B127" s="120"/>
      <c r="C127" s="89">
        <v>87</v>
      </c>
      <c r="D127" s="89" t="s">
        <v>169</v>
      </c>
      <c r="E127" s="81" t="s">
        <v>409</v>
      </c>
      <c r="F127" s="42" t="str">
        <f>VLOOKUP(E127,'CH assign'!A:B,2,0)</f>
        <v>D11910</v>
      </c>
      <c r="G127" s="7">
        <f>VLOOKUP(F127,Etch_Length_From_Layout!A:B,2,0)</f>
        <v>32822.47</v>
      </c>
      <c r="H127" s="7"/>
      <c r="I127" s="7"/>
      <c r="J127" s="7"/>
      <c r="K127" s="10">
        <f t="shared" si="2"/>
        <v>32822.47</v>
      </c>
      <c r="L127" s="11" t="str">
        <f>IF(ABS(K127-K128)&lt;1,"PASS","FAIL")</f>
        <v>PASS</v>
      </c>
    </row>
    <row r="128" spans="2:12">
      <c r="B128" s="120"/>
      <c r="C128" s="89">
        <v>88</v>
      </c>
      <c r="D128" s="89" t="s">
        <v>170</v>
      </c>
      <c r="E128" s="81" t="s">
        <v>410</v>
      </c>
      <c r="F128" s="42" t="str">
        <f>VLOOKUP(E128,'CH assign'!A:B,2,0)</f>
        <v>D11912</v>
      </c>
      <c r="G128" s="7">
        <f>VLOOKUP(F128,Etch_Length_From_Layout!A:B,2,0)</f>
        <v>32822.01</v>
      </c>
      <c r="H128" s="7"/>
      <c r="I128" s="7"/>
      <c r="J128" s="7"/>
      <c r="K128" s="10">
        <f t="shared" si="2"/>
        <v>32822.01</v>
      </c>
      <c r="L128" s="11"/>
    </row>
    <row r="129" spans="2:12">
      <c r="B129" s="120"/>
      <c r="C129" s="89">
        <v>89</v>
      </c>
      <c r="D129" s="89" t="s">
        <v>171</v>
      </c>
      <c r="E129" s="81" t="s">
        <v>411</v>
      </c>
      <c r="F129" s="41" t="str">
        <f>VLOOKUP(E129,'CH assign'!A:B,2,0)</f>
        <v>D12001</v>
      </c>
      <c r="G129" s="7">
        <f>VLOOKUP(F129,Etch_Length_From_Layout!A:B,2,0)</f>
        <v>32822.39</v>
      </c>
      <c r="H129" s="7"/>
      <c r="I129" s="7"/>
      <c r="J129" s="7"/>
      <c r="K129" s="10">
        <f t="shared" si="2"/>
        <v>32822.39</v>
      </c>
      <c r="L129" s="11" t="str">
        <f>IF(ABS(K129-K130)&lt;1,"PASS","FAIL")</f>
        <v>PASS</v>
      </c>
    </row>
    <row r="130" spans="2:12">
      <c r="B130" s="120"/>
      <c r="C130" s="89">
        <v>90</v>
      </c>
      <c r="D130" s="89" t="s">
        <v>172</v>
      </c>
      <c r="E130" s="81" t="s">
        <v>412</v>
      </c>
      <c r="F130" s="41" t="str">
        <f>VLOOKUP(E130,'CH assign'!A:B,2,0)</f>
        <v>D12003</v>
      </c>
      <c r="G130" s="7">
        <f>VLOOKUP(F130,Etch_Length_From_Layout!A:B,2,0)</f>
        <v>32822.14</v>
      </c>
      <c r="H130" s="7"/>
      <c r="I130" s="7"/>
      <c r="J130" s="7"/>
      <c r="K130" s="10">
        <f t="shared" si="2"/>
        <v>32822.14</v>
      </c>
      <c r="L130" s="11"/>
    </row>
    <row r="131" spans="2:12">
      <c r="B131" s="120"/>
      <c r="C131" s="89">
        <v>91</v>
      </c>
      <c r="D131" s="89" t="s">
        <v>173</v>
      </c>
      <c r="E131" s="81" t="s">
        <v>413</v>
      </c>
      <c r="F131" s="41" t="str">
        <f>VLOOKUP(E131,'CH assign'!A:B,2,0)</f>
        <v>D12405</v>
      </c>
      <c r="G131" s="7">
        <f>VLOOKUP(F131,Etch_Length_From_Layout!A:B,2,0)</f>
        <v>32822.04</v>
      </c>
      <c r="H131" s="7"/>
      <c r="I131" s="7"/>
      <c r="J131" s="7"/>
      <c r="K131" s="10">
        <f t="shared" si="2"/>
        <v>32822.04</v>
      </c>
      <c r="L131" s="11" t="str">
        <f>IF(ABS(K131-K132)&lt;1,"PASS","FAIL")</f>
        <v>PASS</v>
      </c>
    </row>
    <row r="132" spans="2:12">
      <c r="B132" s="120"/>
      <c r="C132" s="89">
        <v>92</v>
      </c>
      <c r="D132" s="89" t="s">
        <v>174</v>
      </c>
      <c r="E132" s="81" t="s">
        <v>414</v>
      </c>
      <c r="F132" s="41" t="str">
        <f>VLOOKUP(E132,'CH assign'!A:B,2,0)</f>
        <v>D12407</v>
      </c>
      <c r="G132" s="7">
        <f>VLOOKUP(F132,Etch_Length_From_Layout!A:B,2,0)</f>
        <v>32822.339999999997</v>
      </c>
      <c r="H132" s="7"/>
      <c r="I132" s="7"/>
      <c r="J132" s="7"/>
      <c r="K132" s="10">
        <f t="shared" si="2"/>
        <v>32822.339999999997</v>
      </c>
      <c r="L132" s="11"/>
    </row>
    <row r="133" spans="2:12">
      <c r="B133" s="120"/>
      <c r="C133" s="89">
        <v>93</v>
      </c>
      <c r="D133" s="89" t="s">
        <v>175</v>
      </c>
      <c r="E133" s="81" t="s">
        <v>415</v>
      </c>
      <c r="F133" s="41" t="str">
        <f>VLOOKUP(E133,'CH assign'!A:B,2,0)</f>
        <v>D12010</v>
      </c>
      <c r="G133" s="7">
        <f>VLOOKUP(F133,Etch_Length_From_Layout!A:B,2,0)</f>
        <v>32822.120000000003</v>
      </c>
      <c r="H133" s="7"/>
      <c r="I133" s="7"/>
      <c r="J133" s="7"/>
      <c r="K133" s="10">
        <f t="shared" si="2"/>
        <v>32822.120000000003</v>
      </c>
      <c r="L133" s="11" t="str">
        <f>IF(ABS(K133-K134)&lt;1,"PASS","FAIL")</f>
        <v>PASS</v>
      </c>
    </row>
    <row r="134" spans="2:12">
      <c r="B134" s="120"/>
      <c r="C134" s="89">
        <v>94</v>
      </c>
      <c r="D134" s="89" t="s">
        <v>176</v>
      </c>
      <c r="E134" s="81" t="s">
        <v>416</v>
      </c>
      <c r="F134" s="41" t="str">
        <f>VLOOKUP(E134,'CH assign'!A:B,2,0)</f>
        <v>D12012</v>
      </c>
      <c r="G134" s="7">
        <f>VLOOKUP(F134,Etch_Length_From_Layout!A:B,2,0)</f>
        <v>32822.379999999997</v>
      </c>
      <c r="H134" s="7"/>
      <c r="I134" s="7"/>
      <c r="J134" s="7"/>
      <c r="K134" s="10">
        <f t="shared" si="2"/>
        <v>32822.379999999997</v>
      </c>
      <c r="L134" s="11"/>
    </row>
    <row r="135" spans="2:12">
      <c r="B135" s="120"/>
      <c r="C135" s="89">
        <v>95</v>
      </c>
      <c r="D135" s="89" t="s">
        <v>177</v>
      </c>
      <c r="E135" s="81" t="s">
        <v>417</v>
      </c>
      <c r="F135" s="41" t="str">
        <f>VLOOKUP(E135,'CH assign'!A:B,2,0)</f>
        <v>D12301</v>
      </c>
      <c r="G135" s="7">
        <f>VLOOKUP(F135,Etch_Length_From_Layout!A:B,2,0)</f>
        <v>32822.36</v>
      </c>
      <c r="H135" s="7"/>
      <c r="I135" s="7"/>
      <c r="J135" s="7"/>
      <c r="K135" s="10">
        <f t="shared" si="2"/>
        <v>32822.36</v>
      </c>
      <c r="L135" s="11" t="str">
        <f>IF(ABS(K135-K136)&lt;1,"PASS","FAIL")</f>
        <v>PASS</v>
      </c>
    </row>
    <row r="136" spans="2:12">
      <c r="B136" s="120"/>
      <c r="C136" s="89">
        <v>96</v>
      </c>
      <c r="D136" s="89" t="s">
        <v>178</v>
      </c>
      <c r="E136" s="81" t="s">
        <v>418</v>
      </c>
      <c r="F136" s="41" t="str">
        <f>VLOOKUP(E136,'CH assign'!A:B,2,0)</f>
        <v>D12303</v>
      </c>
      <c r="G136" s="7">
        <f>VLOOKUP(F136,Etch_Length_From_Layout!A:B,2,0)</f>
        <v>32822.120000000003</v>
      </c>
      <c r="H136" s="7"/>
      <c r="I136" s="7"/>
      <c r="J136" s="7"/>
      <c r="K136" s="10">
        <f t="shared" si="2"/>
        <v>32822.120000000003</v>
      </c>
      <c r="L136" s="11"/>
    </row>
    <row r="137" spans="2:12">
      <c r="B137" s="120"/>
      <c r="C137" s="89">
        <v>98</v>
      </c>
      <c r="D137" s="89" t="s">
        <v>179</v>
      </c>
      <c r="E137" s="81" t="s">
        <v>419</v>
      </c>
      <c r="F137" s="41" t="str">
        <f>VLOOKUP(E137,'CH assign'!A:B,2,0)</f>
        <v>D12406</v>
      </c>
      <c r="G137" s="7">
        <f>VLOOKUP(F137,Etch_Length_From_Layout!A:B,2,0)</f>
        <v>32822.449999999997</v>
      </c>
      <c r="H137" s="7"/>
      <c r="I137" s="7"/>
      <c r="J137" s="7"/>
      <c r="K137" s="10">
        <f t="shared" si="2"/>
        <v>32822.449999999997</v>
      </c>
      <c r="L137" s="11" t="str">
        <f>IF(ABS(K137-K138)&lt;1,"PASS","FAIL")</f>
        <v>PASS</v>
      </c>
    </row>
    <row r="138" spans="2:12">
      <c r="B138" s="120"/>
      <c r="C138" s="89">
        <v>99</v>
      </c>
      <c r="D138" s="89" t="s">
        <v>180</v>
      </c>
      <c r="E138" s="81" t="s">
        <v>420</v>
      </c>
      <c r="F138" s="41" t="str">
        <f>VLOOKUP(E138,'CH assign'!A:B,2,0)</f>
        <v>D12408</v>
      </c>
      <c r="G138" s="7">
        <f>VLOOKUP(F138,Etch_Length_From_Layout!A:B,2,0)</f>
        <v>32822</v>
      </c>
      <c r="H138" s="7"/>
      <c r="I138" s="7"/>
      <c r="J138" s="7"/>
      <c r="K138" s="10">
        <f t="shared" si="2"/>
        <v>32822</v>
      </c>
      <c r="L138" s="11"/>
    </row>
    <row r="139" spans="2:12">
      <c r="B139" s="120"/>
      <c r="C139" s="89">
        <v>100</v>
      </c>
      <c r="D139" s="89" t="s">
        <v>181</v>
      </c>
      <c r="E139" s="81" t="s">
        <v>421</v>
      </c>
      <c r="F139" s="41" t="str">
        <f>VLOOKUP(E139,'CH assign'!A:B,2,0)</f>
        <v>D12401</v>
      </c>
      <c r="G139" s="7">
        <f>VLOOKUP(F139,Etch_Length_From_Layout!A:B,2,0)</f>
        <v>32822.379999999997</v>
      </c>
      <c r="H139" s="7"/>
      <c r="I139" s="7"/>
      <c r="J139" s="7"/>
      <c r="K139" s="10">
        <f t="shared" si="2"/>
        <v>32822.379999999997</v>
      </c>
      <c r="L139" s="11" t="str">
        <f>IF(ABS(K139-K140)&lt;1,"PASS","FAIL")</f>
        <v>PASS</v>
      </c>
    </row>
    <row r="140" spans="2:12">
      <c r="B140" s="120"/>
      <c r="C140" s="89">
        <v>101</v>
      </c>
      <c r="D140" s="89" t="s">
        <v>182</v>
      </c>
      <c r="E140" s="81" t="s">
        <v>422</v>
      </c>
      <c r="F140" s="41" t="str">
        <f>VLOOKUP(E140,'CH assign'!A:B,2,0)</f>
        <v>D12403</v>
      </c>
      <c r="G140" s="7">
        <f>VLOOKUP(F140,Etch_Length_From_Layout!A:B,2,0)</f>
        <v>32822.19</v>
      </c>
      <c r="H140" s="7"/>
      <c r="I140" s="7"/>
      <c r="J140" s="7"/>
      <c r="K140" s="10">
        <f t="shared" si="2"/>
        <v>32822.19</v>
      </c>
      <c r="L140" s="11"/>
    </row>
    <row r="141" spans="2:12">
      <c r="B141" s="120"/>
      <c r="C141" s="89">
        <v>102</v>
      </c>
      <c r="D141" s="89" t="s">
        <v>183</v>
      </c>
      <c r="E141" s="81" t="s">
        <v>423</v>
      </c>
      <c r="F141" s="41" t="str">
        <f>VLOOKUP(E141,'CH assign'!A:B,2,0)</f>
        <v>D12014</v>
      </c>
      <c r="G141" s="7">
        <f>VLOOKUP(F141,Etch_Length_From_Layout!A:B,2,0)</f>
        <v>32822.1</v>
      </c>
      <c r="H141" s="7"/>
      <c r="I141" s="7"/>
      <c r="J141" s="7"/>
      <c r="K141" s="10">
        <f t="shared" si="2"/>
        <v>32822.1</v>
      </c>
      <c r="L141" s="11" t="str">
        <f>IF(ABS(K141-K142)&lt;1,"PASS","FAIL")</f>
        <v>PASS</v>
      </c>
    </row>
    <row r="142" spans="2:12">
      <c r="B142" s="120"/>
      <c r="C142" s="89">
        <v>103</v>
      </c>
      <c r="D142" s="89" t="s">
        <v>184</v>
      </c>
      <c r="E142" s="81" t="s">
        <v>424</v>
      </c>
      <c r="F142" s="41" t="str">
        <f>VLOOKUP(E142,'CH assign'!A:B,2,0)</f>
        <v>D12016</v>
      </c>
      <c r="G142" s="7">
        <f>VLOOKUP(F142,Etch_Length_From_Layout!A:B,2,0)</f>
        <v>32822.39</v>
      </c>
      <c r="H142" s="7"/>
      <c r="I142" s="7"/>
      <c r="J142" s="7"/>
      <c r="K142" s="10">
        <f t="shared" si="2"/>
        <v>32822.39</v>
      </c>
      <c r="L142" s="11"/>
    </row>
    <row r="143" spans="2:12">
      <c r="B143" s="120"/>
      <c r="C143" s="89">
        <v>112</v>
      </c>
      <c r="D143" s="89" t="s">
        <v>22</v>
      </c>
      <c r="E143" s="81" t="s">
        <v>425</v>
      </c>
      <c r="F143" s="67"/>
      <c r="G143" s="7">
        <f>VLOOKUP(E143,Etch_Length_From_Layout!A:B,2,0)</f>
        <v>19138.580000000002</v>
      </c>
      <c r="H143" s="7" t="s">
        <v>396</v>
      </c>
      <c r="I143" s="79" t="str">
        <f>VLOOKUP(H143,'CH assign'!$A:$B,2,0)</f>
        <v>D12313</v>
      </c>
      <c r="J143" s="7">
        <f>VLOOKUP(I143,Etch_Length_From_Layout!$A:$B,2,0)</f>
        <v>13683.46</v>
      </c>
      <c r="K143" s="10">
        <f t="shared" si="2"/>
        <v>32822.04</v>
      </c>
      <c r="L143" s="11" t="str">
        <f>IF(ABS(K143-K144)&lt;1,"PASS","FAIL")</f>
        <v>PASS</v>
      </c>
    </row>
    <row r="144" spans="2:12">
      <c r="B144" s="120"/>
      <c r="C144" s="89">
        <v>113</v>
      </c>
      <c r="D144" s="89" t="s">
        <v>23</v>
      </c>
      <c r="E144" s="81" t="s">
        <v>426</v>
      </c>
      <c r="F144" s="67"/>
      <c r="G144" s="7">
        <f>VLOOKUP(E144,Etch_Length_From_Layout!A:B,2,0)</f>
        <v>19138.88</v>
      </c>
      <c r="H144" s="7" t="s">
        <v>398</v>
      </c>
      <c r="I144" s="79" t="str">
        <f>VLOOKUP(H144,'CH assign'!$A:$B,2,0)</f>
        <v>D12315</v>
      </c>
      <c r="J144" s="7">
        <f>VLOOKUP(I144,Etch_Length_From_Layout!$A:$B,2,0)</f>
        <v>13683.42</v>
      </c>
      <c r="K144" s="10">
        <f t="shared" si="2"/>
        <v>32822.300000000003</v>
      </c>
      <c r="L144" s="11"/>
    </row>
    <row r="145" spans="2:12">
      <c r="B145" s="120"/>
      <c r="C145" s="89">
        <v>114</v>
      </c>
      <c r="D145" s="89" t="s">
        <v>24</v>
      </c>
      <c r="E145" s="81" t="s">
        <v>427</v>
      </c>
      <c r="F145" s="67" t="str">
        <f>VLOOKUP(E145,'CH assign'!A:B,2,0)</f>
        <v>D11906</v>
      </c>
      <c r="G145" s="7">
        <f>VLOOKUP(F145,Etch_Length_From_Layout!A:B,2,0)</f>
        <v>32822.129999999997</v>
      </c>
      <c r="H145" s="7"/>
      <c r="I145" s="7"/>
      <c r="J145" s="7"/>
      <c r="K145" s="10">
        <f t="shared" si="2"/>
        <v>32822.129999999997</v>
      </c>
      <c r="L145" s="11" t="str">
        <f>IF(ABS(K145-K146)&lt;1,"PASS","FAIL")</f>
        <v>PASS</v>
      </c>
    </row>
    <row r="146" spans="2:12">
      <c r="B146" s="120"/>
      <c r="C146" s="89">
        <v>115</v>
      </c>
      <c r="D146" s="89" t="s">
        <v>25</v>
      </c>
      <c r="E146" s="81" t="s">
        <v>428</v>
      </c>
      <c r="F146" s="67" t="str">
        <f>VLOOKUP(E146,'CH assign'!A:B,2,0)</f>
        <v>D11908</v>
      </c>
      <c r="G146" s="7">
        <f>VLOOKUP(F146,Etch_Length_From_Layout!A:B,2,0)</f>
        <v>32822.33</v>
      </c>
      <c r="H146" s="7"/>
      <c r="I146" s="7"/>
      <c r="J146" s="7"/>
      <c r="K146" s="10">
        <f t="shared" si="2"/>
        <v>32822.33</v>
      </c>
      <c r="L146" s="11"/>
    </row>
    <row r="147" spans="2:12">
      <c r="B147" s="120"/>
      <c r="C147" s="89">
        <v>116</v>
      </c>
      <c r="D147" s="89" t="s">
        <v>185</v>
      </c>
      <c r="E147" s="81" t="s">
        <v>429</v>
      </c>
      <c r="F147" s="67" t="str">
        <f>VLOOKUP(E147,'CH assign'!A:B,2,0)</f>
        <v>D11901</v>
      </c>
      <c r="G147" s="7">
        <f>VLOOKUP(F147,Etch_Length_From_Layout!A:B,2,0)</f>
        <v>32822.03</v>
      </c>
      <c r="H147" s="7"/>
      <c r="I147" s="7"/>
      <c r="J147" s="7"/>
      <c r="K147" s="10">
        <f t="shared" si="2"/>
        <v>32822.03</v>
      </c>
      <c r="L147" s="11" t="str">
        <f>IF(ABS(K147-K148)&lt;1,"PASS","FAIL")</f>
        <v>PASS</v>
      </c>
    </row>
    <row r="148" spans="2:12">
      <c r="B148" s="120"/>
      <c r="C148" s="89">
        <v>117</v>
      </c>
      <c r="D148" s="89" t="s">
        <v>186</v>
      </c>
      <c r="E148" s="81" t="s">
        <v>430</v>
      </c>
      <c r="F148" s="67" t="str">
        <f>VLOOKUP(E148,'CH assign'!A:B,2,0)</f>
        <v>D11903</v>
      </c>
      <c r="G148" s="7">
        <f>VLOOKUP(F148,Etch_Length_From_Layout!A:B,2,0)</f>
        <v>32822.47</v>
      </c>
      <c r="H148" s="7"/>
      <c r="I148" s="7"/>
      <c r="J148" s="7"/>
      <c r="K148" s="10">
        <f t="shared" si="2"/>
        <v>32822.47</v>
      </c>
      <c r="L148" s="11"/>
    </row>
    <row r="149" spans="2:12">
      <c r="B149" s="120"/>
      <c r="C149" s="89">
        <v>120</v>
      </c>
      <c r="D149" s="89" t="s">
        <v>187</v>
      </c>
      <c r="E149" s="81" t="s">
        <v>431</v>
      </c>
      <c r="F149" s="67" t="str">
        <f>VLOOKUP(E149,'CH assign'!A:B,2,0)</f>
        <v>D11905</v>
      </c>
      <c r="G149" s="7">
        <f>VLOOKUP(F149,Etch_Length_From_Layout!A:B,2,0)</f>
        <v>32822.29</v>
      </c>
      <c r="H149" s="7"/>
      <c r="I149" s="7"/>
      <c r="J149" s="7"/>
      <c r="K149" s="10">
        <f t="shared" si="2"/>
        <v>32822.29</v>
      </c>
      <c r="L149" s="11" t="str">
        <f>IF(ABS(K149-K150)&lt;1,"PASS","FAIL")</f>
        <v>PASS</v>
      </c>
    </row>
    <row r="150" spans="2:12">
      <c r="B150" s="120"/>
      <c r="C150" s="89">
        <v>121</v>
      </c>
      <c r="D150" s="89" t="s">
        <v>188</v>
      </c>
      <c r="E150" s="81" t="s">
        <v>432</v>
      </c>
      <c r="F150" s="67" t="str">
        <f>VLOOKUP(E150,'CH assign'!A:B,2,0)</f>
        <v>D11907</v>
      </c>
      <c r="G150" s="7">
        <f>VLOOKUP(F150,Etch_Length_From_Layout!A:B,2,0)</f>
        <v>32822.03</v>
      </c>
      <c r="H150" s="7"/>
      <c r="I150" s="7"/>
      <c r="J150" s="7"/>
      <c r="K150" s="10">
        <f t="shared" si="2"/>
        <v>32822.03</v>
      </c>
      <c r="L150" s="11"/>
    </row>
    <row r="151" spans="2:12">
      <c r="B151" s="120"/>
      <c r="C151" s="89">
        <v>122</v>
      </c>
      <c r="D151" s="89" t="s">
        <v>189</v>
      </c>
      <c r="E151" s="81" t="s">
        <v>433</v>
      </c>
      <c r="F151" s="67" t="str">
        <f>VLOOKUP(E151,'CH assign'!A:B,2,0)</f>
        <v>D11913</v>
      </c>
      <c r="G151" s="7">
        <f>VLOOKUP(F151,Etch_Length_From_Layout!A:B,2,0)</f>
        <v>32822.01</v>
      </c>
      <c r="H151" s="7"/>
      <c r="I151" s="7"/>
      <c r="J151" s="7"/>
      <c r="K151" s="10">
        <f t="shared" si="2"/>
        <v>32822.01</v>
      </c>
      <c r="L151" s="11" t="str">
        <f>IF(ABS(K151-K152)&lt;1,"PASS","FAIL")</f>
        <v>PASS</v>
      </c>
    </row>
    <row r="152" spans="2:12">
      <c r="B152" s="120"/>
      <c r="C152" s="89">
        <v>123</v>
      </c>
      <c r="D152" s="89" t="s">
        <v>190</v>
      </c>
      <c r="E152" s="81" t="s">
        <v>434</v>
      </c>
      <c r="F152" s="67" t="str">
        <f>VLOOKUP(E152,'CH assign'!A:B,2,0)</f>
        <v>D11915</v>
      </c>
      <c r="G152" s="7">
        <f>VLOOKUP(F152,Etch_Length_From_Layout!A:B,2,0)</f>
        <v>32822.29</v>
      </c>
      <c r="H152" s="7"/>
      <c r="I152" s="7"/>
      <c r="J152" s="7"/>
      <c r="K152" s="10">
        <f t="shared" si="2"/>
        <v>32822.29</v>
      </c>
      <c r="L152" s="11"/>
    </row>
    <row r="153" spans="2:12">
      <c r="B153" s="120"/>
      <c r="C153" s="89">
        <v>124</v>
      </c>
      <c r="D153" s="89" t="s">
        <v>191</v>
      </c>
      <c r="E153" s="81" t="s">
        <v>435</v>
      </c>
      <c r="F153" s="67" t="str">
        <f>VLOOKUP(E153,'CH assign'!A:B,2,0)</f>
        <v>D11916</v>
      </c>
      <c r="G153" s="7">
        <f>VLOOKUP(F153,Etch_Length_From_Layout!A:B,2,0)</f>
        <v>32822.04</v>
      </c>
      <c r="H153" s="7"/>
      <c r="I153" s="7"/>
      <c r="J153" s="7"/>
      <c r="K153" s="10">
        <f t="shared" si="2"/>
        <v>32822.04</v>
      </c>
      <c r="L153" s="11" t="str">
        <f>IF(ABS(K153-K154)&lt;1,"PASS","FAIL")</f>
        <v>PASS</v>
      </c>
    </row>
    <row r="154" spans="2:12">
      <c r="B154" s="120"/>
      <c r="C154" s="89">
        <v>125</v>
      </c>
      <c r="D154" s="89" t="s">
        <v>192</v>
      </c>
      <c r="E154" s="81" t="s">
        <v>436</v>
      </c>
      <c r="F154" s="67" t="str">
        <f>VLOOKUP(E154,'CH assign'!A:B,2,0)</f>
        <v>D11914</v>
      </c>
      <c r="G154" s="7">
        <f>VLOOKUP(F154,Etch_Length_From_Layout!A:B,2,0)</f>
        <v>32822.43</v>
      </c>
      <c r="H154" s="7"/>
      <c r="I154" s="7"/>
      <c r="J154" s="7"/>
      <c r="K154" s="10">
        <f t="shared" si="2"/>
        <v>32822.43</v>
      </c>
      <c r="L154" s="11"/>
    </row>
    <row r="155" spans="2:12">
      <c r="B155" s="120"/>
      <c r="C155" s="89">
        <v>126</v>
      </c>
      <c r="D155" s="89" t="s">
        <v>193</v>
      </c>
      <c r="E155" s="81" t="s">
        <v>437</v>
      </c>
      <c r="F155" s="67" t="str">
        <f>VLOOKUP(E155,'CH assign'!A:B,2,0)</f>
        <v>D11902</v>
      </c>
      <c r="G155" s="7">
        <f>VLOOKUP(F155,Etch_Length_From_Layout!A:B,2,0)</f>
        <v>32822.36</v>
      </c>
      <c r="H155" s="7"/>
      <c r="I155" s="7"/>
      <c r="J155" s="7"/>
      <c r="K155" s="10">
        <f t="shared" si="2"/>
        <v>32822.36</v>
      </c>
      <c r="L155" s="11" t="str">
        <f>IF(ABS(K155-K156)&lt;1,"PASS","FAIL")</f>
        <v>PASS</v>
      </c>
    </row>
    <row r="156" spans="2:12">
      <c r="B156" s="120"/>
      <c r="C156" s="89">
        <v>127</v>
      </c>
      <c r="D156" s="89" t="s">
        <v>194</v>
      </c>
      <c r="E156" s="81" t="s">
        <v>438</v>
      </c>
      <c r="F156" s="67" t="str">
        <f>VLOOKUP(E156,'CH assign'!A:B,2,0)</f>
        <v>D11904</v>
      </c>
      <c r="G156" s="7">
        <f>VLOOKUP(F156,Etch_Length_From_Layout!A:B,2,0)</f>
        <v>32822.31</v>
      </c>
      <c r="H156" s="7"/>
      <c r="I156" s="7"/>
      <c r="J156" s="7"/>
      <c r="K156" s="10">
        <f t="shared" si="2"/>
        <v>32822.31</v>
      </c>
      <c r="L156" s="11"/>
    </row>
    <row r="157" spans="2:12">
      <c r="B157" s="120"/>
      <c r="C157" s="89">
        <v>129</v>
      </c>
      <c r="D157" s="89" t="s">
        <v>195</v>
      </c>
      <c r="E157" s="81" t="s">
        <v>439</v>
      </c>
      <c r="F157" s="68" t="str">
        <f>VLOOKUP(E157,'CH assign'!A:B,2,0)</f>
        <v>D12005</v>
      </c>
      <c r="G157" s="7">
        <f>VLOOKUP(F157,Etch_Length_From_Layout!A:B,2,0)</f>
        <v>32822.449999999997</v>
      </c>
      <c r="H157" s="7"/>
      <c r="I157" s="7"/>
      <c r="J157" s="7"/>
      <c r="K157" s="10">
        <f t="shared" si="2"/>
        <v>32822.449999999997</v>
      </c>
      <c r="L157" s="11" t="str">
        <f>IF(ABS(K157-K158)&lt;1,"PASS","FAIL")</f>
        <v>PASS</v>
      </c>
    </row>
    <row r="158" spans="2:12">
      <c r="B158" s="120"/>
      <c r="C158" s="89">
        <v>130</v>
      </c>
      <c r="D158" s="89" t="s">
        <v>196</v>
      </c>
      <c r="E158" s="81" t="s">
        <v>440</v>
      </c>
      <c r="F158" s="68" t="str">
        <f>VLOOKUP(E158,'CH assign'!A:B,2,0)</f>
        <v>D12007</v>
      </c>
      <c r="G158" s="7">
        <f>VLOOKUP(F158,Etch_Length_From_Layout!A:B,2,0)</f>
        <v>32822.230000000003</v>
      </c>
      <c r="H158" s="7"/>
      <c r="I158" s="7"/>
      <c r="J158" s="7"/>
      <c r="K158" s="10">
        <f t="shared" si="2"/>
        <v>32822.230000000003</v>
      </c>
      <c r="L158" s="11"/>
    </row>
    <row r="159" spans="2:12">
      <c r="B159" s="120"/>
      <c r="C159" s="89">
        <v>131</v>
      </c>
      <c r="D159" s="89" t="s">
        <v>197</v>
      </c>
      <c r="E159" s="81" t="s">
        <v>441</v>
      </c>
      <c r="F159" s="68" t="str">
        <f>VLOOKUP(E159,'CH assign'!A:B,2,0)</f>
        <v>D12302</v>
      </c>
      <c r="G159" s="7">
        <f>VLOOKUP(F159,Etch_Length_From_Layout!A:B,2,0)</f>
        <v>32822.42</v>
      </c>
      <c r="H159" s="7"/>
      <c r="I159" s="7"/>
      <c r="J159" s="7"/>
      <c r="K159" s="10">
        <f t="shared" si="2"/>
        <v>32822.42</v>
      </c>
      <c r="L159" s="11" t="str">
        <f>IF(ABS(K159-K160)&lt;1,"PASS","FAIL")</f>
        <v>PASS</v>
      </c>
    </row>
    <row r="160" spans="2:12">
      <c r="B160" s="120"/>
      <c r="C160" s="89">
        <v>132</v>
      </c>
      <c r="D160" s="89" t="s">
        <v>198</v>
      </c>
      <c r="E160" s="81" t="s">
        <v>442</v>
      </c>
      <c r="F160" s="68" t="str">
        <f>VLOOKUP(E160,'CH assign'!A:B,2,0)</f>
        <v>D12304</v>
      </c>
      <c r="G160" s="7">
        <f>VLOOKUP(F160,Etch_Length_From_Layout!A:B,2,0)</f>
        <v>32822.080000000002</v>
      </c>
      <c r="H160" s="7"/>
      <c r="I160" s="7"/>
      <c r="J160" s="7"/>
      <c r="K160" s="10">
        <f t="shared" si="2"/>
        <v>32822.080000000002</v>
      </c>
      <c r="L160" s="11"/>
    </row>
    <row r="161" spans="2:12">
      <c r="B161" s="120"/>
      <c r="C161" s="89">
        <v>133</v>
      </c>
      <c r="D161" s="89" t="s">
        <v>199</v>
      </c>
      <c r="E161" s="81" t="s">
        <v>443</v>
      </c>
      <c r="F161" s="68" t="str">
        <f>VLOOKUP(E161,'CH assign'!A:B,2,0)</f>
        <v>D12402</v>
      </c>
      <c r="G161" s="7">
        <f>VLOOKUP(F161,Etch_Length_From_Layout!A:B,2,0)</f>
        <v>32822.04</v>
      </c>
      <c r="H161" s="7"/>
      <c r="I161" s="7"/>
      <c r="J161" s="7"/>
      <c r="K161" s="10">
        <f t="shared" si="2"/>
        <v>32822.04</v>
      </c>
      <c r="L161" s="11" t="str">
        <f>IF(ABS(K161-K162)&lt;1,"PASS","FAIL")</f>
        <v>PASS</v>
      </c>
    </row>
    <row r="162" spans="2:12">
      <c r="B162" s="120"/>
      <c r="C162" s="89">
        <v>134</v>
      </c>
      <c r="D162" s="89" t="s">
        <v>200</v>
      </c>
      <c r="E162" s="81" t="s">
        <v>444</v>
      </c>
      <c r="F162" s="68" t="str">
        <f>VLOOKUP(E162,'CH assign'!A:B,2,0)</f>
        <v>D12404</v>
      </c>
      <c r="G162" s="7">
        <f>VLOOKUP(F162,Etch_Length_From_Layout!A:B,2,0)</f>
        <v>32822.370000000003</v>
      </c>
      <c r="H162" s="7"/>
      <c r="I162" s="7"/>
      <c r="J162" s="7"/>
      <c r="K162" s="10">
        <f t="shared" si="2"/>
        <v>32822.370000000003</v>
      </c>
      <c r="L162" s="11"/>
    </row>
    <row r="163" spans="2:12">
      <c r="B163" s="120"/>
      <c r="C163" s="89">
        <v>135</v>
      </c>
      <c r="D163" s="89" t="s">
        <v>201</v>
      </c>
      <c r="E163" s="81" t="s">
        <v>445</v>
      </c>
      <c r="F163" s="68" t="str">
        <f>VLOOKUP(E163,'CH assign'!A:B,2,0)</f>
        <v>D12013</v>
      </c>
      <c r="G163" s="7">
        <f>VLOOKUP(F163,Etch_Length_From_Layout!A:B,2,0)</f>
        <v>32822.019999999997</v>
      </c>
      <c r="H163" s="7"/>
      <c r="I163" s="7"/>
      <c r="J163" s="7"/>
      <c r="K163" s="10">
        <f t="shared" si="2"/>
        <v>32822.019999999997</v>
      </c>
      <c r="L163" s="11" t="str">
        <f>IF(ABS(K163-K164)&lt;1,"PASS","FAIL")</f>
        <v>PASS</v>
      </c>
    </row>
    <row r="164" spans="2:12">
      <c r="B164" s="120"/>
      <c r="C164" s="89">
        <v>136</v>
      </c>
      <c r="D164" s="89" t="s">
        <v>202</v>
      </c>
      <c r="E164" s="81" t="s">
        <v>446</v>
      </c>
      <c r="F164" s="68" t="str">
        <f>VLOOKUP(E164,'CH assign'!A:B,2,0)</f>
        <v>D12015</v>
      </c>
      <c r="G164" s="7">
        <f>VLOOKUP(F164,Etch_Length_From_Layout!A:B,2,0)</f>
        <v>32822.160000000003</v>
      </c>
      <c r="H164" s="7"/>
      <c r="I164" s="7"/>
      <c r="J164" s="7"/>
      <c r="K164" s="10">
        <f t="shared" si="2"/>
        <v>32822.160000000003</v>
      </c>
      <c r="L164" s="11"/>
    </row>
    <row r="165" spans="2:12">
      <c r="B165" s="120"/>
      <c r="C165" s="89">
        <v>137</v>
      </c>
      <c r="D165" s="89" t="s">
        <v>203</v>
      </c>
      <c r="E165" s="81" t="s">
        <v>447</v>
      </c>
      <c r="F165" s="68" t="str">
        <f>VLOOKUP(E165,'CH assign'!A:B,2,0)</f>
        <v>D12002</v>
      </c>
      <c r="G165" s="7">
        <f>VLOOKUP(F165,Etch_Length_From_Layout!A:B,2,0)</f>
        <v>32822.080000000002</v>
      </c>
      <c r="H165" s="7"/>
      <c r="I165" s="7"/>
      <c r="J165" s="7"/>
      <c r="K165" s="10">
        <f t="shared" si="2"/>
        <v>32822.080000000002</v>
      </c>
      <c r="L165" s="11" t="str">
        <f>IF(ABS(K165-K166)&lt;1,"PASS","FAIL")</f>
        <v>PASS</v>
      </c>
    </row>
    <row r="166" spans="2:12">
      <c r="B166" s="120"/>
      <c r="C166" s="89">
        <v>138</v>
      </c>
      <c r="D166" s="89" t="s">
        <v>204</v>
      </c>
      <c r="E166" s="81" t="s">
        <v>448</v>
      </c>
      <c r="F166" s="68" t="str">
        <f>VLOOKUP(E166,'CH assign'!A:B,2,0)</f>
        <v>D12004</v>
      </c>
      <c r="G166" s="7">
        <f>VLOOKUP(F166,Etch_Length_From_Layout!A:B,2,0)</f>
        <v>32822.42</v>
      </c>
      <c r="H166" s="7"/>
      <c r="I166" s="7"/>
      <c r="J166" s="7"/>
      <c r="K166" s="10">
        <f t="shared" si="2"/>
        <v>32822.42</v>
      </c>
      <c r="L166" s="11"/>
    </row>
    <row r="167" spans="2:12">
      <c r="B167" s="120"/>
      <c r="C167" s="89">
        <v>140</v>
      </c>
      <c r="D167" s="89" t="s">
        <v>205</v>
      </c>
      <c r="E167" s="81" t="s">
        <v>449</v>
      </c>
      <c r="F167" s="68" t="str">
        <f>VLOOKUP(E167,'CH assign'!A:B,2,0)</f>
        <v>D12009</v>
      </c>
      <c r="G167" s="7">
        <f>VLOOKUP(F167,Etch_Length_From_Layout!A:B,2,0)</f>
        <v>32822.089999999997</v>
      </c>
      <c r="H167" s="7"/>
      <c r="I167" s="7"/>
      <c r="J167" s="7"/>
      <c r="K167" s="10">
        <f t="shared" si="2"/>
        <v>32822.089999999997</v>
      </c>
      <c r="L167" s="11" t="str">
        <f>IF(ABS(K167-K168)&lt;1,"PASS","FAIL")</f>
        <v>PASS</v>
      </c>
    </row>
    <row r="168" spans="2:12">
      <c r="B168" s="120"/>
      <c r="C168" s="89">
        <v>141</v>
      </c>
      <c r="D168" s="89" t="s">
        <v>206</v>
      </c>
      <c r="E168" s="81" t="s">
        <v>450</v>
      </c>
      <c r="F168" s="68" t="str">
        <f>VLOOKUP(E168,'CH assign'!A:B,2,0)</f>
        <v>D12011</v>
      </c>
      <c r="G168" s="7">
        <f>VLOOKUP(F168,Etch_Length_From_Layout!A:B,2,0)</f>
        <v>32822.080000000002</v>
      </c>
      <c r="H168" s="7"/>
      <c r="I168" s="7"/>
      <c r="J168" s="7"/>
      <c r="K168" s="10">
        <f t="shared" si="2"/>
        <v>32822.080000000002</v>
      </c>
      <c r="L168" s="11"/>
    </row>
    <row r="169" spans="2:12">
      <c r="B169" s="120"/>
      <c r="C169" s="89">
        <v>142</v>
      </c>
      <c r="D169" s="89" t="s">
        <v>207</v>
      </c>
      <c r="E169" s="81" t="s">
        <v>451</v>
      </c>
      <c r="F169" s="68" t="str">
        <f>VLOOKUP(E169,'CH assign'!A:B,2,0)</f>
        <v>D12006</v>
      </c>
      <c r="G169" s="7">
        <f>VLOOKUP(F169,Etch_Length_From_Layout!A:B,2,0)</f>
        <v>32822.400000000001</v>
      </c>
      <c r="H169" s="7"/>
      <c r="I169" s="7"/>
      <c r="J169" s="7"/>
      <c r="K169" s="10">
        <f t="shared" si="2"/>
        <v>32822.400000000001</v>
      </c>
      <c r="L169" s="11" t="str">
        <f>IF(ABS(K169-K170)&lt;1,"PASS","FAIL")</f>
        <v>PASS</v>
      </c>
    </row>
    <row r="170" spans="2:12">
      <c r="B170" s="120"/>
      <c r="C170" s="89">
        <v>143</v>
      </c>
      <c r="D170" s="89" t="s">
        <v>208</v>
      </c>
      <c r="E170" s="81" t="s">
        <v>452</v>
      </c>
      <c r="F170" s="68" t="str">
        <f>VLOOKUP(E170,'CH assign'!A:B,2,0)</f>
        <v>D12008</v>
      </c>
      <c r="G170" s="7">
        <f>VLOOKUP(F170,Etch_Length_From_Layout!A:B,2,0)</f>
        <v>32822.019999999997</v>
      </c>
      <c r="H170" s="7"/>
      <c r="I170" s="7"/>
      <c r="J170" s="7"/>
      <c r="K170" s="10">
        <f t="shared" si="2"/>
        <v>32822.019999999997</v>
      </c>
      <c r="L170" s="11"/>
    </row>
    <row r="171" spans="2:12">
      <c r="B171" s="120" t="s">
        <v>303</v>
      </c>
      <c r="C171" s="89">
        <v>73</v>
      </c>
      <c r="D171" s="89" t="s">
        <v>157</v>
      </c>
      <c r="E171" s="81" t="s">
        <v>453</v>
      </c>
      <c r="F171" s="42"/>
      <c r="G171" s="7">
        <f>VLOOKUP(E171,Etch_Length_From_Layout!A:B,2,0)</f>
        <v>9401.6299999999992</v>
      </c>
      <c r="H171" s="77" t="s">
        <v>454</v>
      </c>
      <c r="I171" s="79" t="str">
        <f>VLOOKUP(H171,'CH assign'!$A:$B,2,0)</f>
        <v>D10714</v>
      </c>
      <c r="J171" s="7">
        <f>VLOOKUP(I171,Etch_Length_From_Layout!$A:$B,2,0)</f>
        <v>23420.66</v>
      </c>
      <c r="K171" s="10">
        <f>G171+J171</f>
        <v>32822.29</v>
      </c>
      <c r="L171" s="11" t="str">
        <f>IF(ABS(K171-K172)&lt;1,"PASS","FAIL")</f>
        <v>PASS</v>
      </c>
    </row>
    <row r="172" spans="2:12">
      <c r="B172" s="120"/>
      <c r="C172" s="89">
        <v>74</v>
      </c>
      <c r="D172" s="89" t="s">
        <v>158</v>
      </c>
      <c r="E172" s="81" t="s">
        <v>455</v>
      </c>
      <c r="F172" s="42"/>
      <c r="G172" s="7">
        <f>VLOOKUP(E172,Etch_Length_From_Layout!A:B,2,0)</f>
        <v>9401.76</v>
      </c>
      <c r="H172" s="77" t="s">
        <v>456</v>
      </c>
      <c r="I172" s="79" t="str">
        <f>VLOOKUP(H172,'CH assign'!$A:$B,2,0)</f>
        <v>D10716</v>
      </c>
      <c r="J172" s="7">
        <f>VLOOKUP(I172,Etch_Length_From_Layout!$A:$B,2,0)</f>
        <v>23421.23</v>
      </c>
      <c r="K172" s="10">
        <f t="shared" ref="K172:K226" si="3">G172+J172</f>
        <v>32822.99</v>
      </c>
      <c r="L172" s="11"/>
    </row>
    <row r="173" spans="2:12">
      <c r="B173" s="120"/>
      <c r="C173" s="89">
        <v>75</v>
      </c>
      <c r="D173" s="89" t="s">
        <v>159</v>
      </c>
      <c r="E173" s="81" t="s">
        <v>457</v>
      </c>
      <c r="F173" s="42" t="str">
        <f>VLOOKUP(E173,'CH assign'!$A:$B,2,0)</f>
        <v>D10710</v>
      </c>
      <c r="G173" s="7">
        <f>VLOOKUP(F173,Etch_Length_From_Layout!A:B,2,0)</f>
        <v>32822.33</v>
      </c>
      <c r="H173" s="7"/>
      <c r="I173" s="7"/>
      <c r="J173" s="7"/>
      <c r="K173" s="10">
        <f t="shared" si="3"/>
        <v>32822.33</v>
      </c>
      <c r="L173" s="11" t="str">
        <f>IF(ABS(K173-K174)&lt;1,"PASS","FAIL")</f>
        <v>PASS</v>
      </c>
    </row>
    <row r="174" spans="2:12">
      <c r="B174" s="120"/>
      <c r="C174" s="89">
        <v>76</v>
      </c>
      <c r="D174" s="89" t="s">
        <v>160</v>
      </c>
      <c r="E174" s="81" t="s">
        <v>458</v>
      </c>
      <c r="F174" s="42" t="str">
        <f>VLOOKUP(E174,'CH assign'!A:B,2,0)</f>
        <v>D10712</v>
      </c>
      <c r="G174" s="7">
        <f>VLOOKUP(F174,Etch_Length_From_Layout!A:B,2,0)</f>
        <v>32822.019999999997</v>
      </c>
      <c r="H174" s="7"/>
      <c r="I174" s="7"/>
      <c r="J174" s="7"/>
      <c r="K174" s="10">
        <f t="shared" si="3"/>
        <v>32822.019999999997</v>
      </c>
      <c r="L174" s="11"/>
    </row>
    <row r="175" spans="2:12">
      <c r="B175" s="120"/>
      <c r="C175" s="89">
        <v>79</v>
      </c>
      <c r="D175" s="89" t="s">
        <v>161</v>
      </c>
      <c r="E175" s="81" t="s">
        <v>459</v>
      </c>
      <c r="F175" s="42" t="str">
        <f>VLOOKUP(E175,'CH assign'!A:B,2,0)</f>
        <v>D10706</v>
      </c>
      <c r="G175" s="7">
        <f>VLOOKUP(F175,Etch_Length_From_Layout!A:B,2,0)</f>
        <v>32822.449999999997</v>
      </c>
      <c r="H175" s="7"/>
      <c r="I175" s="7"/>
      <c r="J175" s="7"/>
      <c r="K175" s="10">
        <f t="shared" si="3"/>
        <v>32822.449999999997</v>
      </c>
      <c r="L175" s="11" t="str">
        <f>IF(ABS(K175-K176)&lt;1,"PASS","FAIL")</f>
        <v>PASS</v>
      </c>
    </row>
    <row r="176" spans="2:12">
      <c r="B176" s="120"/>
      <c r="C176" s="89">
        <v>80</v>
      </c>
      <c r="D176" s="89" t="s">
        <v>162</v>
      </c>
      <c r="E176" s="81" t="s">
        <v>460</v>
      </c>
      <c r="F176" s="42" t="str">
        <f>VLOOKUP(E176,'CH assign'!A:B,2,0)</f>
        <v>D10708</v>
      </c>
      <c r="G176" s="7">
        <f>VLOOKUP(F176,Etch_Length_From_Layout!A:B,2,0)</f>
        <v>32822.1</v>
      </c>
      <c r="H176" s="7"/>
      <c r="I176" s="7"/>
      <c r="J176" s="7"/>
      <c r="K176" s="10">
        <f t="shared" si="3"/>
        <v>32822.1</v>
      </c>
      <c r="L176" s="11"/>
    </row>
    <row r="177" spans="2:12">
      <c r="B177" s="120"/>
      <c r="C177" s="89">
        <v>81</v>
      </c>
      <c r="D177" s="89" t="s">
        <v>163</v>
      </c>
      <c r="E177" s="81" t="s">
        <v>461</v>
      </c>
      <c r="F177" s="42" t="str">
        <f>VLOOKUP(E177,'CH assign'!A:B,2,0)</f>
        <v>D10601</v>
      </c>
      <c r="G177" s="7">
        <f>VLOOKUP(F177,Etch_Length_From_Layout!A:B,2,0)</f>
        <v>32822.019999999997</v>
      </c>
      <c r="H177" s="7"/>
      <c r="I177" s="7"/>
      <c r="J177" s="7"/>
      <c r="K177" s="10">
        <f t="shared" si="3"/>
        <v>32822.019999999997</v>
      </c>
      <c r="L177" s="11" t="str">
        <f>IF(ABS(K177-K178)&lt;1,"PASS","FAIL")</f>
        <v>PASS</v>
      </c>
    </row>
    <row r="178" spans="2:12">
      <c r="B178" s="120"/>
      <c r="C178" s="89">
        <v>82</v>
      </c>
      <c r="D178" s="89" t="s">
        <v>164</v>
      </c>
      <c r="E178" s="81" t="s">
        <v>462</v>
      </c>
      <c r="F178" s="42" t="str">
        <f>VLOOKUP(E178,'CH assign'!A:B,2,0)</f>
        <v>D10603</v>
      </c>
      <c r="G178" s="7">
        <f>VLOOKUP(F178,Etch_Length_From_Layout!A:B,2,0)</f>
        <v>32822.44</v>
      </c>
      <c r="H178" s="7"/>
      <c r="I178" s="7"/>
      <c r="J178" s="7"/>
      <c r="K178" s="10">
        <f t="shared" si="3"/>
        <v>32822.44</v>
      </c>
      <c r="L178" s="11"/>
    </row>
    <row r="179" spans="2:12">
      <c r="B179" s="120"/>
      <c r="C179" s="89">
        <v>83</v>
      </c>
      <c r="D179" s="89" t="s">
        <v>165</v>
      </c>
      <c r="E179" s="81" t="s">
        <v>463</v>
      </c>
      <c r="F179" s="42" t="str">
        <f>VLOOKUP(E179,'CH assign'!A:B,2,0)</f>
        <v>D10214</v>
      </c>
      <c r="G179" s="7">
        <f>VLOOKUP(F179,Etch_Length_From_Layout!A:B,2,0)</f>
        <v>32822.06</v>
      </c>
      <c r="H179" s="7"/>
      <c r="I179" s="7"/>
      <c r="J179" s="7"/>
      <c r="K179" s="10">
        <f t="shared" si="3"/>
        <v>32822.06</v>
      </c>
      <c r="L179" s="11" t="str">
        <f>IF(ABS(K179-K180)&lt;1,"PASS","FAIL")</f>
        <v>PASS</v>
      </c>
    </row>
    <row r="180" spans="2:12">
      <c r="B180" s="120"/>
      <c r="C180" s="89">
        <v>84</v>
      </c>
      <c r="D180" s="89" t="s">
        <v>166</v>
      </c>
      <c r="E180" s="81" t="s">
        <v>464</v>
      </c>
      <c r="F180" s="42" t="str">
        <f>VLOOKUP(E180,'CH assign'!A:B,2,0)</f>
        <v>D10216</v>
      </c>
      <c r="G180" s="7">
        <f>VLOOKUP(F180,Etch_Length_From_Layout!A:B,2,0)</f>
        <v>32822.400000000001</v>
      </c>
      <c r="H180" s="7"/>
      <c r="I180" s="7"/>
      <c r="J180" s="7"/>
      <c r="K180" s="10">
        <f t="shared" si="3"/>
        <v>32822.400000000001</v>
      </c>
      <c r="L180" s="11"/>
    </row>
    <row r="181" spans="2:12">
      <c r="B181" s="120"/>
      <c r="C181" s="89">
        <v>85</v>
      </c>
      <c r="D181" s="89" t="s">
        <v>167</v>
      </c>
      <c r="E181" s="81" t="s">
        <v>465</v>
      </c>
      <c r="F181" s="42" t="str">
        <f>VLOOKUP(E181,'CH assign'!A:B,2,0)</f>
        <v>D10210</v>
      </c>
      <c r="G181" s="7">
        <f>VLOOKUP(F181,Etch_Length_From_Layout!A:B,2,0)</f>
        <v>32822.43</v>
      </c>
      <c r="H181" s="7"/>
      <c r="I181" s="7"/>
      <c r="J181" s="7"/>
      <c r="K181" s="10">
        <f t="shared" si="3"/>
        <v>32822.43</v>
      </c>
      <c r="L181" s="11" t="str">
        <f>IF(ABS(K181-K182)&lt;1,"PASS","FAIL")</f>
        <v>PASS</v>
      </c>
    </row>
    <row r="182" spans="2:12">
      <c r="B182" s="120"/>
      <c r="C182" s="89">
        <v>86</v>
      </c>
      <c r="D182" s="89" t="s">
        <v>168</v>
      </c>
      <c r="E182" s="81" t="s">
        <v>466</v>
      </c>
      <c r="F182" s="42" t="str">
        <f>VLOOKUP(E182,'CH assign'!A:B,2,0)</f>
        <v>D10212</v>
      </c>
      <c r="G182" s="7">
        <f>VLOOKUP(F182,Etch_Length_From_Layout!A:B,2,0)</f>
        <v>32822.25</v>
      </c>
      <c r="H182" s="7"/>
      <c r="I182" s="7"/>
      <c r="J182" s="7"/>
      <c r="K182" s="10">
        <f t="shared" si="3"/>
        <v>32822.25</v>
      </c>
      <c r="L182" s="11"/>
    </row>
    <row r="183" spans="2:12">
      <c r="B183" s="120"/>
      <c r="C183" s="89">
        <v>87</v>
      </c>
      <c r="D183" s="89" t="s">
        <v>169</v>
      </c>
      <c r="E183" s="81" t="s">
        <v>467</v>
      </c>
      <c r="F183" s="42" t="str">
        <f>VLOOKUP(E183,'CH assign'!A:B,2,0)</f>
        <v>D10613</v>
      </c>
      <c r="G183" s="7">
        <f>VLOOKUP(F183,Etch_Length_From_Layout!A:B,2,0)</f>
        <v>32822.080000000002</v>
      </c>
      <c r="H183" s="7"/>
      <c r="I183" s="7"/>
      <c r="J183" s="7"/>
      <c r="K183" s="10">
        <f t="shared" si="3"/>
        <v>32822.080000000002</v>
      </c>
      <c r="L183" s="11" t="str">
        <f>IF(ABS(K183-K184)&lt;1,"PASS","FAIL")</f>
        <v>PASS</v>
      </c>
    </row>
    <row r="184" spans="2:12">
      <c r="B184" s="120"/>
      <c r="C184" s="89">
        <v>88</v>
      </c>
      <c r="D184" s="89" t="s">
        <v>170</v>
      </c>
      <c r="E184" s="81" t="s">
        <v>468</v>
      </c>
      <c r="F184" s="42" t="str">
        <f>VLOOKUP(E184,'CH assign'!A:B,2,0)</f>
        <v>D10615</v>
      </c>
      <c r="G184" s="7">
        <f>VLOOKUP(F184,Etch_Length_From_Layout!A:B,2,0)</f>
        <v>32822.46</v>
      </c>
      <c r="H184" s="7"/>
      <c r="I184" s="7"/>
      <c r="J184" s="7"/>
      <c r="K184" s="10">
        <f t="shared" si="3"/>
        <v>32822.46</v>
      </c>
      <c r="L184" s="11"/>
    </row>
    <row r="185" spans="2:12">
      <c r="B185" s="120"/>
      <c r="C185" s="89">
        <v>89</v>
      </c>
      <c r="D185" s="89" t="s">
        <v>171</v>
      </c>
      <c r="E185" s="81" t="s">
        <v>469</v>
      </c>
      <c r="F185" s="41" t="str">
        <f>VLOOKUP(E185,'CH assign'!A:B,2,0)</f>
        <v>D10701</v>
      </c>
      <c r="G185" s="7">
        <f>VLOOKUP(F185,Etch_Length_From_Layout!A:B,2,0)</f>
        <v>32822.230000000003</v>
      </c>
      <c r="H185" s="7"/>
      <c r="I185" s="7"/>
      <c r="J185" s="7"/>
      <c r="K185" s="10">
        <f t="shared" si="3"/>
        <v>32822.230000000003</v>
      </c>
      <c r="L185" s="11" t="str">
        <f>IF(ABS(K185-K186)&lt;1,"PASS","FAIL")</f>
        <v>PASS</v>
      </c>
    </row>
    <row r="186" spans="2:12">
      <c r="B186" s="120"/>
      <c r="C186" s="89">
        <v>90</v>
      </c>
      <c r="D186" s="89" t="s">
        <v>172</v>
      </c>
      <c r="E186" s="81" t="s">
        <v>470</v>
      </c>
      <c r="F186" s="41" t="str">
        <f>VLOOKUP(E186,'CH assign'!A:B,2,0)</f>
        <v>D10703</v>
      </c>
      <c r="G186" s="7">
        <f>VLOOKUP(F186,Etch_Length_From_Layout!A:B,2,0)</f>
        <v>32822.43</v>
      </c>
      <c r="H186" s="7"/>
      <c r="I186" s="7"/>
      <c r="J186" s="7"/>
      <c r="K186" s="10">
        <f t="shared" si="3"/>
        <v>32822.43</v>
      </c>
      <c r="L186" s="11"/>
    </row>
    <row r="187" spans="2:12">
      <c r="B187" s="120"/>
      <c r="C187" s="89">
        <v>91</v>
      </c>
      <c r="D187" s="89" t="s">
        <v>173</v>
      </c>
      <c r="E187" s="81" t="s">
        <v>471</v>
      </c>
      <c r="F187" s="41" t="str">
        <f>VLOOKUP(E187,'CH assign'!A:B,2,0)</f>
        <v>D10713</v>
      </c>
      <c r="G187" s="7">
        <f>VLOOKUP(F187,Etch_Length_From_Layout!A:B,2,0)</f>
        <v>32822.06</v>
      </c>
      <c r="H187" s="7"/>
      <c r="I187" s="7"/>
      <c r="J187" s="7"/>
      <c r="K187" s="10">
        <f t="shared" si="3"/>
        <v>32822.06</v>
      </c>
      <c r="L187" s="11" t="str">
        <f>IF(ABS(K187-K188)&lt;1,"PASS","FAIL")</f>
        <v>PASS</v>
      </c>
    </row>
    <row r="188" spans="2:12">
      <c r="B188" s="120"/>
      <c r="C188" s="89">
        <v>92</v>
      </c>
      <c r="D188" s="89" t="s">
        <v>174</v>
      </c>
      <c r="E188" s="81" t="s">
        <v>472</v>
      </c>
      <c r="F188" s="41" t="str">
        <f>VLOOKUP(E188,'CH assign'!A:B,2,0)</f>
        <v>D10715</v>
      </c>
      <c r="G188" s="7">
        <f>VLOOKUP(F188,Etch_Length_From_Layout!A:B,2,0)</f>
        <v>32822.400000000001</v>
      </c>
      <c r="H188" s="7"/>
      <c r="I188" s="7"/>
      <c r="J188" s="7"/>
      <c r="K188" s="10">
        <f t="shared" si="3"/>
        <v>32822.400000000001</v>
      </c>
      <c r="L188" s="11"/>
    </row>
    <row r="189" spans="2:12">
      <c r="B189" s="120"/>
      <c r="C189" s="89">
        <v>93</v>
      </c>
      <c r="D189" s="89" t="s">
        <v>175</v>
      </c>
      <c r="E189" s="81" t="s">
        <v>473</v>
      </c>
      <c r="F189" s="41" t="str">
        <f>VLOOKUP(E189,'CH assign'!A:B,2,0)</f>
        <v>D10614</v>
      </c>
      <c r="G189" s="7">
        <f>VLOOKUP(F189,Etch_Length_From_Layout!A:B,2,0)</f>
        <v>32822.480000000003</v>
      </c>
      <c r="H189" s="7"/>
      <c r="I189" s="7"/>
      <c r="J189" s="7"/>
      <c r="K189" s="10">
        <f t="shared" si="3"/>
        <v>32822.480000000003</v>
      </c>
      <c r="L189" s="11" t="str">
        <f>IF(ABS(K189-K190)&lt;1,"PASS","FAIL")</f>
        <v>PASS</v>
      </c>
    </row>
    <row r="190" spans="2:12">
      <c r="B190" s="120"/>
      <c r="C190" s="89">
        <v>94</v>
      </c>
      <c r="D190" s="89" t="s">
        <v>176</v>
      </c>
      <c r="E190" s="81" t="s">
        <v>474</v>
      </c>
      <c r="F190" s="41" t="str">
        <f>VLOOKUP(E190,'CH assign'!A:B,2,0)</f>
        <v>D10616</v>
      </c>
      <c r="G190" s="7">
        <f>VLOOKUP(F190,Etch_Length_From_Layout!A:B,2,0)</f>
        <v>32822.019999999997</v>
      </c>
      <c r="H190" s="7"/>
      <c r="I190" s="7"/>
      <c r="J190" s="7"/>
      <c r="K190" s="10">
        <f t="shared" si="3"/>
        <v>32822.019999999997</v>
      </c>
      <c r="L190" s="11"/>
    </row>
    <row r="191" spans="2:12">
      <c r="B191" s="120"/>
      <c r="C191" s="89">
        <v>95</v>
      </c>
      <c r="D191" s="89" t="s">
        <v>177</v>
      </c>
      <c r="E191" s="81" t="s">
        <v>475</v>
      </c>
      <c r="F191" s="41" t="str">
        <f>VLOOKUP(E191,'CH assign'!A:B,2,0)</f>
        <v>D10301</v>
      </c>
      <c r="G191" s="7">
        <f>VLOOKUP(F191,Etch_Length_From_Layout!A:B,2,0)</f>
        <v>32822.07</v>
      </c>
      <c r="H191" s="7"/>
      <c r="I191" s="7"/>
      <c r="J191" s="7"/>
      <c r="K191" s="10">
        <f t="shared" si="3"/>
        <v>32822.07</v>
      </c>
      <c r="L191" s="11" t="str">
        <f>IF(ABS(K191-K192)&lt;1,"PASS","FAIL")</f>
        <v>PASS</v>
      </c>
    </row>
    <row r="192" spans="2:12">
      <c r="B192" s="120"/>
      <c r="C192" s="89">
        <v>96</v>
      </c>
      <c r="D192" s="89" t="s">
        <v>178</v>
      </c>
      <c r="E192" s="81" t="s">
        <v>476</v>
      </c>
      <c r="F192" s="41" t="str">
        <f>VLOOKUP(E192,'CH assign'!A:B,2,0)</f>
        <v>D10303</v>
      </c>
      <c r="G192" s="7">
        <f>VLOOKUP(F192,Etch_Length_From_Layout!A:B,2,0)</f>
        <v>32822.43</v>
      </c>
      <c r="H192" s="7"/>
      <c r="I192" s="7"/>
      <c r="J192" s="7"/>
      <c r="K192" s="10">
        <f t="shared" si="3"/>
        <v>32822.43</v>
      </c>
      <c r="L192" s="11"/>
    </row>
    <row r="193" spans="2:12">
      <c r="B193" s="120"/>
      <c r="C193" s="89">
        <v>98</v>
      </c>
      <c r="D193" s="89" t="s">
        <v>179</v>
      </c>
      <c r="E193" s="81" t="s">
        <v>477</v>
      </c>
      <c r="F193" s="41" t="str">
        <f>VLOOKUP(E193,'CH assign'!A:B,2,0)</f>
        <v>D10305</v>
      </c>
      <c r="G193" s="7">
        <f>VLOOKUP(F193,Etch_Length_From_Layout!A:B,2,0)</f>
        <v>32822.44</v>
      </c>
      <c r="H193" s="7"/>
      <c r="I193" s="7"/>
      <c r="J193" s="7"/>
      <c r="K193" s="10">
        <f t="shared" si="3"/>
        <v>32822.44</v>
      </c>
      <c r="L193" s="11" t="str">
        <f>IF(ABS(K193-K194)&lt;1,"PASS","FAIL")</f>
        <v>PASS</v>
      </c>
    </row>
    <row r="194" spans="2:12">
      <c r="B194" s="120"/>
      <c r="C194" s="89">
        <v>99</v>
      </c>
      <c r="D194" s="89" t="s">
        <v>180</v>
      </c>
      <c r="E194" s="81" t="s">
        <v>478</v>
      </c>
      <c r="F194" s="41" t="str">
        <f>VLOOKUP(E194,'CH assign'!A:B,2,0)</f>
        <v>D10307</v>
      </c>
      <c r="G194" s="7">
        <f>VLOOKUP(F194,Etch_Length_From_Layout!A:B,2,0)</f>
        <v>32822.21</v>
      </c>
      <c r="H194" s="7"/>
      <c r="I194" s="7"/>
      <c r="J194" s="7"/>
      <c r="K194" s="10">
        <f t="shared" si="3"/>
        <v>32822.21</v>
      </c>
      <c r="L194" s="11"/>
    </row>
    <row r="195" spans="2:12">
      <c r="B195" s="120"/>
      <c r="C195" s="89">
        <v>100</v>
      </c>
      <c r="D195" s="89" t="s">
        <v>181</v>
      </c>
      <c r="E195" s="81" t="s">
        <v>479</v>
      </c>
      <c r="F195" s="41" t="str">
        <f>VLOOKUP(E195,'CH assign'!A:B,2,0)</f>
        <v>D10705</v>
      </c>
      <c r="G195" s="7">
        <f>VLOOKUP(F195,Etch_Length_From_Layout!A:B,2,0)</f>
        <v>32822.04</v>
      </c>
      <c r="H195" s="7"/>
      <c r="I195" s="7"/>
      <c r="J195" s="7"/>
      <c r="K195" s="10">
        <f t="shared" si="3"/>
        <v>32822.04</v>
      </c>
      <c r="L195" s="11" t="str">
        <f>IF(ABS(K195-K196)&lt;1,"PASS","FAIL")</f>
        <v>PASS</v>
      </c>
    </row>
    <row r="196" spans="2:12">
      <c r="B196" s="120"/>
      <c r="C196" s="89">
        <v>101</v>
      </c>
      <c r="D196" s="89" t="s">
        <v>182</v>
      </c>
      <c r="E196" s="81" t="s">
        <v>480</v>
      </c>
      <c r="F196" s="41" t="str">
        <f>VLOOKUP(E196,'CH assign'!A:B,2,0)</f>
        <v>D10707</v>
      </c>
      <c r="G196" s="7">
        <f>VLOOKUP(F196,Etch_Length_From_Layout!A:B,2,0)</f>
        <v>32822.46</v>
      </c>
      <c r="H196" s="7"/>
      <c r="I196" s="7"/>
      <c r="J196" s="7"/>
      <c r="K196" s="10">
        <f t="shared" si="3"/>
        <v>32822.46</v>
      </c>
      <c r="L196" s="11"/>
    </row>
    <row r="197" spans="2:12">
      <c r="B197" s="120"/>
      <c r="C197" s="89">
        <v>102</v>
      </c>
      <c r="D197" s="89" t="s">
        <v>183</v>
      </c>
      <c r="E197" s="81" t="s">
        <v>481</v>
      </c>
      <c r="F197" s="41" t="str">
        <f>VLOOKUP(E197,'CH assign'!A:B,2,0)</f>
        <v>D10709</v>
      </c>
      <c r="G197" s="7">
        <f>VLOOKUP(F197,Etch_Length_From_Layout!A:B,2,0)</f>
        <v>32822.49</v>
      </c>
      <c r="H197" s="7"/>
      <c r="I197" s="7"/>
      <c r="J197" s="7"/>
      <c r="K197" s="10">
        <f t="shared" si="3"/>
        <v>32822.49</v>
      </c>
      <c r="L197" s="11" t="str">
        <f>IF(ABS(K197-K198)&lt;1,"PASS","FAIL")</f>
        <v>PASS</v>
      </c>
    </row>
    <row r="198" spans="2:12">
      <c r="B198" s="120"/>
      <c r="C198" s="89">
        <v>103</v>
      </c>
      <c r="D198" s="89" t="s">
        <v>184</v>
      </c>
      <c r="E198" s="81" t="s">
        <v>482</v>
      </c>
      <c r="F198" s="41" t="str">
        <f>VLOOKUP(E198,'CH assign'!A:B,2,0)</f>
        <v>D10711</v>
      </c>
      <c r="G198" s="7">
        <f>VLOOKUP(F198,Etch_Length_From_Layout!A:B,2,0)</f>
        <v>32822.01</v>
      </c>
      <c r="H198" s="7"/>
      <c r="I198" s="7"/>
      <c r="J198" s="7"/>
      <c r="K198" s="10">
        <f t="shared" si="3"/>
        <v>32822.01</v>
      </c>
      <c r="L198" s="11"/>
    </row>
    <row r="199" spans="2:12">
      <c r="B199" s="120"/>
      <c r="C199" s="89">
        <v>112</v>
      </c>
      <c r="D199" s="89" t="s">
        <v>22</v>
      </c>
      <c r="E199" s="81" t="s">
        <v>483</v>
      </c>
      <c r="F199" s="67"/>
      <c r="G199" s="7">
        <f>VLOOKUP(E199,Etch_Length_From_Layout!A:B,2,0)</f>
        <v>9401.94</v>
      </c>
      <c r="H199" s="7" t="s">
        <v>454</v>
      </c>
      <c r="I199" s="79" t="str">
        <f>VLOOKUP(H199,'CH assign'!$A:$B,2,0)</f>
        <v>D10714</v>
      </c>
      <c r="J199" s="7">
        <f>VLOOKUP(I199,Etch_Length_From_Layout!$A:$B,2,0)</f>
        <v>23420.66</v>
      </c>
      <c r="K199" s="10">
        <f t="shared" si="3"/>
        <v>32822.6</v>
      </c>
      <c r="L199" s="11" t="str">
        <f>IF(ABS(K199-K200)&lt;1,"PASS","FAIL")</f>
        <v>PASS</v>
      </c>
    </row>
    <row r="200" spans="2:12">
      <c r="B200" s="120"/>
      <c r="C200" s="89">
        <v>113</v>
      </c>
      <c r="D200" s="89" t="s">
        <v>23</v>
      </c>
      <c r="E200" s="81" t="s">
        <v>484</v>
      </c>
      <c r="F200" s="67"/>
      <c r="G200" s="7">
        <f>VLOOKUP(E200,Etch_Length_From_Layout!A:B,2,0)</f>
        <v>9401.5400000000009</v>
      </c>
      <c r="H200" s="7" t="s">
        <v>456</v>
      </c>
      <c r="I200" s="79" t="str">
        <f>VLOOKUP(H200,'CH assign'!$A:$B,2,0)</f>
        <v>D10716</v>
      </c>
      <c r="J200" s="7">
        <f>VLOOKUP(I200,Etch_Length_From_Layout!$A:$B,2,0)</f>
        <v>23421.23</v>
      </c>
      <c r="K200" s="10">
        <f t="shared" si="3"/>
        <v>32822.770000000004</v>
      </c>
      <c r="L200" s="11"/>
    </row>
    <row r="201" spans="2:12">
      <c r="B201" s="120"/>
      <c r="C201" s="89">
        <v>114</v>
      </c>
      <c r="D201" s="89" t="s">
        <v>24</v>
      </c>
      <c r="E201" s="81" t="s">
        <v>485</v>
      </c>
      <c r="F201" s="67" t="str">
        <f>VLOOKUP(E201,'CH assign'!A:B,2,0)</f>
        <v>D10605</v>
      </c>
      <c r="G201" s="7">
        <f>VLOOKUP(F201,Etch_Length_From_Layout!A:B,2,0)</f>
        <v>32822.35</v>
      </c>
      <c r="H201" s="7"/>
      <c r="I201" s="7"/>
      <c r="J201" s="7"/>
      <c r="K201" s="10">
        <f t="shared" si="3"/>
        <v>32822.35</v>
      </c>
      <c r="L201" s="11" t="str">
        <f>IF(ABS(K201-K202)&lt;1,"PASS","FAIL")</f>
        <v>PASS</v>
      </c>
    </row>
    <row r="202" spans="2:12">
      <c r="B202" s="120"/>
      <c r="C202" s="89">
        <v>115</v>
      </c>
      <c r="D202" s="89" t="s">
        <v>25</v>
      </c>
      <c r="E202" s="81" t="s">
        <v>486</v>
      </c>
      <c r="F202" s="67" t="str">
        <f>VLOOKUP(E202,'CH assign'!A:B,2,0)</f>
        <v>D10607</v>
      </c>
      <c r="G202" s="7">
        <f>VLOOKUP(F202,Etch_Length_From_Layout!A:B,2,0)</f>
        <v>32822.089999999997</v>
      </c>
      <c r="H202" s="7"/>
      <c r="I202" s="7"/>
      <c r="J202" s="7"/>
      <c r="K202" s="10">
        <f t="shared" si="3"/>
        <v>32822.089999999997</v>
      </c>
      <c r="L202" s="11"/>
    </row>
    <row r="203" spans="2:12">
      <c r="B203" s="120"/>
      <c r="C203" s="89">
        <v>116</v>
      </c>
      <c r="D203" s="89" t="s">
        <v>185</v>
      </c>
      <c r="E203" s="81" t="s">
        <v>487</v>
      </c>
      <c r="F203" s="67" t="str">
        <f>VLOOKUP(E203,'CH assign'!A:B,2,0)</f>
        <v>D10213</v>
      </c>
      <c r="G203" s="7">
        <f>VLOOKUP(F203,Etch_Length_From_Layout!A:B,2,0)</f>
        <v>32822.49</v>
      </c>
      <c r="H203" s="7"/>
      <c r="I203" s="7"/>
      <c r="J203" s="7"/>
      <c r="K203" s="10">
        <f t="shared" si="3"/>
        <v>32822.49</v>
      </c>
      <c r="L203" s="11" t="str">
        <f>IF(ABS(K203-K204)&lt;1,"PASS","FAIL")</f>
        <v>PASS</v>
      </c>
    </row>
    <row r="204" spans="2:12">
      <c r="B204" s="120"/>
      <c r="C204" s="89">
        <v>117</v>
      </c>
      <c r="D204" s="89" t="s">
        <v>186</v>
      </c>
      <c r="E204" s="81" t="s">
        <v>488</v>
      </c>
      <c r="F204" s="67" t="str">
        <f>VLOOKUP(E204,'CH assign'!A:B,2,0)</f>
        <v>D10215</v>
      </c>
      <c r="G204" s="7">
        <f>VLOOKUP(F204,Etch_Length_From_Layout!A:B,2,0)</f>
        <v>32822.04</v>
      </c>
      <c r="H204" s="7"/>
      <c r="I204" s="7"/>
      <c r="J204" s="7"/>
      <c r="K204" s="10">
        <f t="shared" si="3"/>
        <v>32822.04</v>
      </c>
      <c r="L204" s="11"/>
    </row>
    <row r="205" spans="2:12">
      <c r="B205" s="120"/>
      <c r="C205" s="89">
        <v>120</v>
      </c>
      <c r="D205" s="89" t="s">
        <v>187</v>
      </c>
      <c r="E205" s="81" t="s">
        <v>489</v>
      </c>
      <c r="F205" s="67" t="str">
        <f>VLOOKUP(E205,'CH assign'!A:B,2,0)</f>
        <v>D10310</v>
      </c>
      <c r="G205" s="7">
        <f>VLOOKUP(F205,Etch_Length_From_Layout!A:B,2,0)</f>
        <v>32822.1</v>
      </c>
      <c r="H205" s="7"/>
      <c r="I205" s="7"/>
      <c r="J205" s="7"/>
      <c r="K205" s="10">
        <f t="shared" si="3"/>
        <v>32822.1</v>
      </c>
      <c r="L205" s="11" t="str">
        <f>IF(ABS(K205-K206)&lt;1,"PASS","FAIL")</f>
        <v>PASS</v>
      </c>
    </row>
    <row r="206" spans="2:12">
      <c r="B206" s="120"/>
      <c r="C206" s="89">
        <v>121</v>
      </c>
      <c r="D206" s="89" t="s">
        <v>188</v>
      </c>
      <c r="E206" s="81" t="s">
        <v>490</v>
      </c>
      <c r="F206" s="67" t="str">
        <f>VLOOKUP(E206,'CH assign'!A:B,2,0)</f>
        <v>D10312</v>
      </c>
      <c r="G206" s="7">
        <f>VLOOKUP(F206,Etch_Length_From_Layout!A:B,2,0)</f>
        <v>32822.35</v>
      </c>
      <c r="H206" s="7"/>
      <c r="I206" s="7"/>
      <c r="J206" s="7"/>
      <c r="K206" s="10">
        <f t="shared" si="3"/>
        <v>32822.35</v>
      </c>
      <c r="L206" s="11"/>
    </row>
    <row r="207" spans="2:12">
      <c r="B207" s="120"/>
      <c r="C207" s="89">
        <v>122</v>
      </c>
      <c r="D207" s="89" t="s">
        <v>189</v>
      </c>
      <c r="E207" s="81" t="s">
        <v>491</v>
      </c>
      <c r="F207" s="67" t="str">
        <f>VLOOKUP(E207,'CH assign'!A:B,2,0)</f>
        <v>D10314</v>
      </c>
      <c r="G207" s="7">
        <f>VLOOKUP(F207,Etch_Length_From_Layout!A:B,2,0)</f>
        <v>32822.14</v>
      </c>
      <c r="H207" s="7"/>
      <c r="I207" s="7"/>
      <c r="J207" s="7"/>
      <c r="K207" s="10">
        <f t="shared" si="3"/>
        <v>32822.14</v>
      </c>
      <c r="L207" s="11" t="str">
        <f>IF(ABS(K207-K208)&lt;1,"PASS","FAIL")</f>
        <v>PASS</v>
      </c>
    </row>
    <row r="208" spans="2:12">
      <c r="B208" s="120"/>
      <c r="C208" s="89">
        <v>123</v>
      </c>
      <c r="D208" s="89" t="s">
        <v>190</v>
      </c>
      <c r="E208" s="81" t="s">
        <v>492</v>
      </c>
      <c r="F208" s="67" t="str">
        <f>VLOOKUP(E208,'CH assign'!A:B,2,0)</f>
        <v>D10316</v>
      </c>
      <c r="G208" s="7">
        <f>VLOOKUP(F208,Etch_Length_From_Layout!A:B,2,0)</f>
        <v>32822.42</v>
      </c>
      <c r="H208" s="7"/>
      <c r="I208" s="7"/>
      <c r="J208" s="7"/>
      <c r="K208" s="10">
        <f t="shared" si="3"/>
        <v>32822.42</v>
      </c>
      <c r="L208" s="11"/>
    </row>
    <row r="209" spans="2:12">
      <c r="B209" s="120"/>
      <c r="C209" s="89">
        <v>124</v>
      </c>
      <c r="D209" s="89" t="s">
        <v>191</v>
      </c>
      <c r="E209" s="81" t="s">
        <v>493</v>
      </c>
      <c r="F209" s="67" t="str">
        <f>VLOOKUP(E209,'CH assign'!A:B,2,0)</f>
        <v>D10702</v>
      </c>
      <c r="G209" s="7">
        <f>VLOOKUP(F209,Etch_Length_From_Layout!A:B,2,0)</f>
        <v>32822.49</v>
      </c>
      <c r="H209" s="7"/>
      <c r="I209" s="7"/>
      <c r="J209" s="7"/>
      <c r="K209" s="10">
        <f t="shared" si="3"/>
        <v>32822.49</v>
      </c>
      <c r="L209" s="11" t="str">
        <f>IF(ABS(K209-K210)&lt;1,"PASS","FAIL")</f>
        <v>PASS</v>
      </c>
    </row>
    <row r="210" spans="2:12">
      <c r="B210" s="120"/>
      <c r="C210" s="89">
        <v>125</v>
      </c>
      <c r="D210" s="89" t="s">
        <v>192</v>
      </c>
      <c r="E210" s="81" t="s">
        <v>494</v>
      </c>
      <c r="F210" s="67" t="str">
        <f>VLOOKUP(E210,'CH assign'!A:B,2,0)</f>
        <v>D10704</v>
      </c>
      <c r="G210" s="7">
        <f>VLOOKUP(F210,Etch_Length_From_Layout!A:B,2,0)</f>
        <v>32822.019999999997</v>
      </c>
      <c r="H210" s="7"/>
      <c r="I210" s="7"/>
      <c r="J210" s="7"/>
      <c r="K210" s="10">
        <f t="shared" si="3"/>
        <v>32822.019999999997</v>
      </c>
      <c r="L210" s="11"/>
    </row>
    <row r="211" spans="2:12">
      <c r="B211" s="120"/>
      <c r="C211" s="89">
        <v>126</v>
      </c>
      <c r="D211" s="89" t="s">
        <v>193</v>
      </c>
      <c r="E211" s="81" t="s">
        <v>495</v>
      </c>
      <c r="F211" s="67" t="str">
        <f>VLOOKUP(E211,'CH assign'!A:B,2,0)</f>
        <v>D10609</v>
      </c>
      <c r="G211" s="7">
        <f>VLOOKUP(F211,Etch_Length_From_Layout!A:B,2,0)</f>
        <v>32822.03</v>
      </c>
      <c r="H211" s="7"/>
      <c r="I211" s="7"/>
      <c r="J211" s="7"/>
      <c r="K211" s="10">
        <f t="shared" si="3"/>
        <v>32822.03</v>
      </c>
      <c r="L211" s="11" t="str">
        <f>IF(ABS(K211-K212)&lt;1,"PASS","FAIL")</f>
        <v>PASS</v>
      </c>
    </row>
    <row r="212" spans="2:12">
      <c r="B212" s="120"/>
      <c r="C212" s="89">
        <v>127</v>
      </c>
      <c r="D212" s="89" t="s">
        <v>194</v>
      </c>
      <c r="E212" s="81" t="s">
        <v>496</v>
      </c>
      <c r="F212" s="67" t="str">
        <f>VLOOKUP(E212,'CH assign'!A:B,2,0)</f>
        <v>D10611</v>
      </c>
      <c r="G212" s="7">
        <f>VLOOKUP(F212,Etch_Length_From_Layout!A:B,2,0)</f>
        <v>32822.44</v>
      </c>
      <c r="H212" s="7"/>
      <c r="I212" s="7"/>
      <c r="J212" s="7"/>
      <c r="K212" s="10">
        <f t="shared" si="3"/>
        <v>32822.44</v>
      </c>
      <c r="L212" s="11"/>
    </row>
    <row r="213" spans="2:12">
      <c r="B213" s="120"/>
      <c r="C213" s="89">
        <v>129</v>
      </c>
      <c r="D213" s="89" t="s">
        <v>195</v>
      </c>
      <c r="E213" s="81" t="s">
        <v>497</v>
      </c>
      <c r="F213" s="68" t="str">
        <f>VLOOKUP(E213,'CH assign'!A:B,2,0)</f>
        <v>D10610</v>
      </c>
      <c r="G213" s="7">
        <f>VLOOKUP(F213,Etch_Length_From_Layout!A:B,2,0)</f>
        <v>32822.449999999997</v>
      </c>
      <c r="H213" s="7"/>
      <c r="I213" s="7"/>
      <c r="J213" s="7"/>
      <c r="K213" s="10">
        <f t="shared" si="3"/>
        <v>32822.449999999997</v>
      </c>
      <c r="L213" s="11" t="str">
        <f>IF(ABS(K213-K214)&lt;1,"PASS","FAIL")</f>
        <v>PASS</v>
      </c>
    </row>
    <row r="214" spans="2:12">
      <c r="B214" s="120"/>
      <c r="C214" s="89">
        <v>130</v>
      </c>
      <c r="D214" s="89" t="s">
        <v>196</v>
      </c>
      <c r="E214" s="81" t="s">
        <v>498</v>
      </c>
      <c r="F214" s="68" t="str">
        <f>VLOOKUP(E214,'CH assign'!A:B,2,0)</f>
        <v>D10612</v>
      </c>
      <c r="G214" s="7">
        <f>VLOOKUP(F214,Etch_Length_From_Layout!A:B,2,0)</f>
        <v>32822.230000000003</v>
      </c>
      <c r="H214" s="7"/>
      <c r="I214" s="7"/>
      <c r="J214" s="7"/>
      <c r="K214" s="10">
        <f t="shared" si="3"/>
        <v>32822.230000000003</v>
      </c>
      <c r="L214" s="11"/>
    </row>
    <row r="215" spans="2:12">
      <c r="B215" s="120"/>
      <c r="C215" s="89">
        <v>131</v>
      </c>
      <c r="D215" s="89" t="s">
        <v>197</v>
      </c>
      <c r="E215" s="81" t="s">
        <v>499</v>
      </c>
      <c r="F215" s="68" t="str">
        <f>VLOOKUP(E215,'CH assign'!A:B,2,0)</f>
        <v>D10313</v>
      </c>
      <c r="G215" s="7">
        <f>VLOOKUP(F215,Etch_Length_From_Layout!A:B,2,0)</f>
        <v>32822.47</v>
      </c>
      <c r="H215" s="7"/>
      <c r="I215" s="7"/>
      <c r="J215" s="7"/>
      <c r="K215" s="10">
        <f t="shared" si="3"/>
        <v>32822.47</v>
      </c>
      <c r="L215" s="11" t="str">
        <f>IF(ABS(K215-K216)&lt;1,"PASS","FAIL")</f>
        <v>PASS</v>
      </c>
    </row>
    <row r="216" spans="2:12">
      <c r="B216" s="120"/>
      <c r="C216" s="89">
        <v>132</v>
      </c>
      <c r="D216" s="89" t="s">
        <v>198</v>
      </c>
      <c r="E216" s="81" t="s">
        <v>500</v>
      </c>
      <c r="F216" s="68" t="str">
        <f>VLOOKUP(E216,'CH assign'!A:B,2,0)</f>
        <v>D10315</v>
      </c>
      <c r="G216" s="7">
        <f>VLOOKUP(F216,Etch_Length_From_Layout!A:B,2,0)</f>
        <v>32822.089999999997</v>
      </c>
      <c r="H216" s="7"/>
      <c r="I216" s="7"/>
      <c r="J216" s="7"/>
      <c r="K216" s="10">
        <f t="shared" si="3"/>
        <v>32822.089999999997</v>
      </c>
      <c r="L216" s="11"/>
    </row>
    <row r="217" spans="2:12">
      <c r="B217" s="120"/>
      <c r="C217" s="89">
        <v>133</v>
      </c>
      <c r="D217" s="89" t="s">
        <v>199</v>
      </c>
      <c r="E217" s="81" t="s">
        <v>501</v>
      </c>
      <c r="F217" s="68" t="str">
        <f>VLOOKUP(E217,'CH assign'!A:B,2,0)</f>
        <v>D10309</v>
      </c>
      <c r="G217" s="7">
        <f>VLOOKUP(F217,Etch_Length_From_Layout!A:B,2,0)</f>
        <v>32822.07</v>
      </c>
      <c r="H217" s="7"/>
      <c r="I217" s="7"/>
      <c r="J217" s="7"/>
      <c r="K217" s="10">
        <f t="shared" si="3"/>
        <v>32822.07</v>
      </c>
      <c r="L217" s="11" t="str">
        <f>IF(ABS(K217-K218)&lt;1,"PASS","FAIL")</f>
        <v>PASS</v>
      </c>
    </row>
    <row r="218" spans="2:12">
      <c r="B218" s="120"/>
      <c r="C218" s="89">
        <v>134</v>
      </c>
      <c r="D218" s="89" t="s">
        <v>200</v>
      </c>
      <c r="E218" s="81" t="s">
        <v>502</v>
      </c>
      <c r="F218" s="68" t="str">
        <f>VLOOKUP(E218,'CH assign'!A:B,2,0)</f>
        <v>D10311</v>
      </c>
      <c r="G218" s="7">
        <f>VLOOKUP(F218,Etch_Length_From_Layout!A:B,2,0)</f>
        <v>32822.47</v>
      </c>
      <c r="H218" s="7"/>
      <c r="I218" s="7"/>
      <c r="J218" s="7"/>
      <c r="K218" s="10">
        <f t="shared" si="3"/>
        <v>32822.47</v>
      </c>
      <c r="L218" s="11"/>
    </row>
    <row r="219" spans="2:12">
      <c r="B219" s="120"/>
      <c r="C219" s="89">
        <v>135</v>
      </c>
      <c r="D219" s="89" t="s">
        <v>201</v>
      </c>
      <c r="E219" s="81" t="s">
        <v>503</v>
      </c>
      <c r="F219" s="68" t="str">
        <f>VLOOKUP(E219,'CH assign'!A:B,2,0)</f>
        <v>D10606</v>
      </c>
      <c r="G219" s="7">
        <f>VLOOKUP(F219,Etch_Length_From_Layout!A:B,2,0)</f>
        <v>32822.410000000003</v>
      </c>
      <c r="H219" s="7"/>
      <c r="I219" s="7"/>
      <c r="J219" s="7"/>
      <c r="K219" s="10">
        <f t="shared" si="3"/>
        <v>32822.410000000003</v>
      </c>
      <c r="L219" s="11" t="str">
        <f>IF(ABS(K219-K220)&lt;1,"PASS","FAIL")</f>
        <v>PASS</v>
      </c>
    </row>
    <row r="220" spans="2:12">
      <c r="B220" s="120"/>
      <c r="C220" s="89">
        <v>136</v>
      </c>
      <c r="D220" s="89" t="s">
        <v>202</v>
      </c>
      <c r="E220" s="81" t="s">
        <v>504</v>
      </c>
      <c r="F220" s="68" t="str">
        <f>VLOOKUP(E220,'CH assign'!A:B,2,0)</f>
        <v>D10608</v>
      </c>
      <c r="G220" s="7">
        <f>VLOOKUP(F220,Etch_Length_From_Layout!A:B,2,0)</f>
        <v>32822.04</v>
      </c>
      <c r="H220" s="7"/>
      <c r="I220" s="7"/>
      <c r="J220" s="7"/>
      <c r="K220" s="10">
        <f t="shared" si="3"/>
        <v>32822.04</v>
      </c>
      <c r="L220" s="11"/>
    </row>
    <row r="221" spans="2:12">
      <c r="B221" s="120"/>
      <c r="C221" s="89">
        <v>137</v>
      </c>
      <c r="D221" s="89" t="s">
        <v>203</v>
      </c>
      <c r="E221" s="81" t="s">
        <v>505</v>
      </c>
      <c r="F221" s="68" t="str">
        <f>VLOOKUP(E221,'CH assign'!A:B,2,0)</f>
        <v>D10602</v>
      </c>
      <c r="G221" s="7">
        <f>VLOOKUP(F221,Etch_Length_From_Layout!A:B,2,0)</f>
        <v>32822.089999999997</v>
      </c>
      <c r="H221" s="7"/>
      <c r="I221" s="7"/>
      <c r="J221" s="7"/>
      <c r="K221" s="10">
        <f t="shared" si="3"/>
        <v>32822.089999999997</v>
      </c>
      <c r="L221" s="11" t="str">
        <f>IF(ABS(K221-K222)&lt;1,"PASS","FAIL")</f>
        <v>PASS</v>
      </c>
    </row>
    <row r="222" spans="2:12">
      <c r="B222" s="120"/>
      <c r="C222" s="89">
        <v>138</v>
      </c>
      <c r="D222" s="89" t="s">
        <v>204</v>
      </c>
      <c r="E222" s="81" t="s">
        <v>506</v>
      </c>
      <c r="F222" s="68" t="str">
        <f>VLOOKUP(E222,'CH assign'!A:B,2,0)</f>
        <v>D10604</v>
      </c>
      <c r="G222" s="7">
        <f>VLOOKUP(F222,Etch_Length_From_Layout!A:B,2,0)</f>
        <v>32822.42</v>
      </c>
      <c r="H222" s="7"/>
      <c r="I222" s="7"/>
      <c r="J222" s="7"/>
      <c r="K222" s="10">
        <f t="shared" si="3"/>
        <v>32822.42</v>
      </c>
      <c r="L222" s="11"/>
    </row>
    <row r="223" spans="2:12">
      <c r="B223" s="120"/>
      <c r="C223" s="89">
        <v>140</v>
      </c>
      <c r="D223" s="89" t="s">
        <v>205</v>
      </c>
      <c r="E223" s="81" t="s">
        <v>507</v>
      </c>
      <c r="F223" s="68" t="str">
        <f>VLOOKUP(E223,'CH assign'!A:B,2,0)</f>
        <v>D10206</v>
      </c>
      <c r="G223" s="7">
        <f>VLOOKUP(F223,Etch_Length_From_Layout!A:B,2,0)</f>
        <v>32822.120000000003</v>
      </c>
      <c r="H223" s="7"/>
      <c r="I223" s="7"/>
      <c r="J223" s="7"/>
      <c r="K223" s="10">
        <f t="shared" si="3"/>
        <v>32822.120000000003</v>
      </c>
      <c r="L223" s="11" t="str">
        <f>IF(ABS(K223-K224)&lt;1,"PASS","FAIL")</f>
        <v>PASS</v>
      </c>
    </row>
    <row r="224" spans="2:12">
      <c r="B224" s="120"/>
      <c r="C224" s="89">
        <v>141</v>
      </c>
      <c r="D224" s="89" t="s">
        <v>206</v>
      </c>
      <c r="E224" s="81" t="s">
        <v>508</v>
      </c>
      <c r="F224" s="68" t="str">
        <f>VLOOKUP(E224,'CH assign'!A:B,2,0)</f>
        <v>D10208</v>
      </c>
      <c r="G224" s="7">
        <f>VLOOKUP(F224,Etch_Length_From_Layout!A:B,2,0)</f>
        <v>32822.300000000003</v>
      </c>
      <c r="H224" s="7"/>
      <c r="I224" s="7"/>
      <c r="J224" s="7"/>
      <c r="K224" s="10">
        <f t="shared" si="3"/>
        <v>32822.300000000003</v>
      </c>
      <c r="L224" s="11"/>
    </row>
    <row r="225" spans="2:12">
      <c r="B225" s="120"/>
      <c r="C225" s="89">
        <v>142</v>
      </c>
      <c r="D225" s="89" t="s">
        <v>207</v>
      </c>
      <c r="E225" s="81" t="s">
        <v>509</v>
      </c>
      <c r="F225" s="68" t="str">
        <f>VLOOKUP(E225,'CH assign'!A:B,2,0)</f>
        <v>D10202</v>
      </c>
      <c r="G225" s="7">
        <f>VLOOKUP(F225,Etch_Length_From_Layout!A:B,2,0)</f>
        <v>32822.29</v>
      </c>
      <c r="H225" s="7"/>
      <c r="I225" s="7"/>
      <c r="J225" s="7"/>
      <c r="K225" s="10">
        <f t="shared" si="3"/>
        <v>32822.29</v>
      </c>
      <c r="L225" s="11" t="str">
        <f>IF(ABS(K225-K226)&lt;1,"PASS","FAIL")</f>
        <v>PASS</v>
      </c>
    </row>
    <row r="226" spans="2:12">
      <c r="B226" s="120"/>
      <c r="C226" s="89">
        <v>143</v>
      </c>
      <c r="D226" s="89" t="s">
        <v>208</v>
      </c>
      <c r="E226" s="81" t="s">
        <v>510</v>
      </c>
      <c r="F226" s="68" t="str">
        <f>VLOOKUP(E226,'CH assign'!A:B,2,0)</f>
        <v>D10204</v>
      </c>
      <c r="G226" s="7">
        <f>VLOOKUP(F226,Etch_Length_From_Layout!A:B,2,0)</f>
        <v>32822.019999999997</v>
      </c>
      <c r="H226" s="7"/>
      <c r="I226" s="7"/>
      <c r="J226" s="7"/>
      <c r="K226" s="10">
        <f t="shared" si="3"/>
        <v>32822.019999999997</v>
      </c>
      <c r="L226" s="11"/>
    </row>
    <row r="227" spans="2:12">
      <c r="B227" s="22"/>
      <c r="C227" s="16"/>
      <c r="D227" s="16"/>
      <c r="E227" s="20"/>
      <c r="F227" s="20"/>
      <c r="G227" s="18"/>
      <c r="H227" s="18"/>
      <c r="I227" s="18"/>
      <c r="J227" s="18" t="s">
        <v>0</v>
      </c>
      <c r="K227" s="8">
        <f>MAX(K3:K226)</f>
        <v>32822.99</v>
      </c>
      <c r="L227" s="90"/>
    </row>
    <row r="228" spans="2:12">
      <c r="B228" s="22"/>
      <c r="C228" s="16"/>
      <c r="D228" s="16"/>
      <c r="E228" s="20"/>
      <c r="F228" s="20"/>
      <c r="G228" s="18"/>
      <c r="H228" s="18"/>
      <c r="I228" s="18"/>
      <c r="J228" s="18" t="s">
        <v>1</v>
      </c>
      <c r="K228" s="8">
        <f>MIN(K3:K226)</f>
        <v>32822</v>
      </c>
      <c r="L228" s="90"/>
    </row>
    <row r="229" spans="2:12">
      <c r="B229" s="22"/>
      <c r="C229" s="16"/>
      <c r="D229" s="16"/>
      <c r="E229" s="20"/>
      <c r="F229" s="20"/>
      <c r="G229" s="18"/>
      <c r="H229" s="18"/>
      <c r="I229" s="18"/>
      <c r="J229" s="18" t="s">
        <v>2</v>
      </c>
      <c r="K229" s="8">
        <f>K227-K228</f>
        <v>0.98999999999796273</v>
      </c>
      <c r="L229" s="90"/>
    </row>
    <row r="230" spans="2:12" ht="16.5" thickBot="1">
      <c r="B230" s="23"/>
      <c r="C230" s="17"/>
      <c r="D230" s="17"/>
      <c r="E230" s="21"/>
      <c r="F230" s="21"/>
      <c r="G230" s="19"/>
      <c r="H230" s="19"/>
      <c r="I230" s="19"/>
      <c r="J230" s="19" t="s">
        <v>3</v>
      </c>
      <c r="K230" s="9" t="str">
        <f>IF(K229&lt;=1,"PASS", "FAIL")</f>
        <v>PASS</v>
      </c>
      <c r="L230" s="91"/>
    </row>
  </sheetData>
  <mergeCells count="6">
    <mergeCell ref="B171:B226"/>
    <mergeCell ref="B1:L1"/>
    <mergeCell ref="A2:A6"/>
    <mergeCell ref="B3:B58"/>
    <mergeCell ref="B59:B114"/>
    <mergeCell ref="B115:B170"/>
  </mergeCells>
  <phoneticPr fontId="1" type="noConversion"/>
  <conditionalFormatting sqref="T1:XFD1048576 A1:P1048576">
    <cfRule type="containsText" dxfId="1" priority="3" operator="containsText" text="FAIL">
      <formula>NOT(ISERROR(SEARCH("FAIL",A1)))</formula>
    </cfRule>
    <cfRule type="containsText" dxfId="0" priority="4" operator="containsText" text="PASS">
      <formula>NOT(ISERROR(SEARCH("PASS",A1)))</formula>
    </cfRule>
  </conditionalFormatting>
  <conditionalFormatting sqref="K230">
    <cfRule type="containsText" dxfId="51" priority="1" operator="containsText" text="pass">
      <formula>NOT(ISERROR(SEARCH("pass",K230)))</formula>
    </cfRule>
    <cfRule type="containsText" dxfId="50" priority="2" operator="containsText" text="fail">
      <formula>NOT(ISERROR(SEARCH("fail",K230)))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zoomScaleNormal="100" workbookViewId="0">
      <pane ySplit="1" topLeftCell="A24" activePane="bottomLeft" state="frozen"/>
      <selection pane="bottomLeft" activeCell="L14" sqref="L14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75" style="4" bestFit="1" customWidth="1"/>
    <col min="5" max="5" width="25.37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>
      <c r="B1" s="121" t="s">
        <v>511</v>
      </c>
      <c r="C1" s="122"/>
      <c r="D1" s="122"/>
      <c r="E1" s="122"/>
      <c r="F1" s="122"/>
      <c r="G1" s="122"/>
      <c r="H1" s="122"/>
      <c r="I1" s="123"/>
    </row>
    <row r="2" spans="1:9" s="5" customFormat="1" ht="16.5" thickBot="1">
      <c r="A2" s="124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4"/>
      <c r="B3" s="125" t="s">
        <v>7</v>
      </c>
      <c r="C3" s="99">
        <v>5</v>
      </c>
      <c r="D3" s="99" t="s">
        <v>27</v>
      </c>
      <c r="E3" s="100" t="s">
        <v>265</v>
      </c>
      <c r="F3" s="101" t="str">
        <f>VLOOKUP(E3,'CH assign'!A:B,2,0)</f>
        <v>D12504</v>
      </c>
      <c r="G3" s="76">
        <f>VLOOKUP(F3,Etch_Length_From_Layout!A:B,2,0)</f>
        <v>17991.12</v>
      </c>
      <c r="H3" s="80">
        <f>G3</f>
        <v>17991.12</v>
      </c>
      <c r="I3" s="14" t="str">
        <f>IF(ABS(H3-H4)&lt;1,"PASS","FAIL")</f>
        <v>PASS</v>
      </c>
    </row>
    <row r="4" spans="1:9">
      <c r="A4" s="124"/>
      <c r="B4" s="120"/>
      <c r="C4" s="98">
        <v>6</v>
      </c>
      <c r="D4" s="98" t="s">
        <v>26</v>
      </c>
      <c r="E4" s="97" t="s">
        <v>266</v>
      </c>
      <c r="F4" s="43" t="str">
        <f>VLOOKUP(E4,'CH assign'!A:B,2,0)</f>
        <v>D12502</v>
      </c>
      <c r="G4" s="7">
        <f>VLOOKUP(F4,Etch_Length_From_Layout!A:B,2,0)</f>
        <v>17991.96</v>
      </c>
      <c r="H4" s="10">
        <f t="shared" ref="H4:H22" si="0">G4</f>
        <v>17991.96</v>
      </c>
      <c r="I4" s="11"/>
    </row>
    <row r="5" spans="1:9">
      <c r="A5" s="124"/>
      <c r="B5" s="120"/>
      <c r="C5" s="98">
        <v>7</v>
      </c>
      <c r="D5" s="98" t="s">
        <v>29</v>
      </c>
      <c r="E5" s="97" t="s">
        <v>267</v>
      </c>
      <c r="F5" s="43" t="str">
        <f>VLOOKUP(E5,'CH assign'!A:B,2,0)</f>
        <v>D12508</v>
      </c>
      <c r="G5" s="7">
        <f>VLOOKUP(F5,Etch_Length_From_Layout!A:B,2,0)</f>
        <v>17991.61</v>
      </c>
      <c r="H5" s="10">
        <f t="shared" si="0"/>
        <v>17991.61</v>
      </c>
      <c r="I5" s="11" t="str">
        <f>IF(ABS(H5-H6)&lt;1,"PASS","FAIL")</f>
        <v>PASS</v>
      </c>
    </row>
    <row r="6" spans="1:9">
      <c r="A6" s="124"/>
      <c r="B6" s="120"/>
      <c r="C6" s="98">
        <v>8</v>
      </c>
      <c r="D6" s="98" t="s">
        <v>28</v>
      </c>
      <c r="E6" s="97" t="s">
        <v>268</v>
      </c>
      <c r="F6" s="43" t="str">
        <f>VLOOKUP(E6,'CH assign'!A:B,2,0)</f>
        <v>D12506</v>
      </c>
      <c r="G6" s="7">
        <f>VLOOKUP(F6,Etch_Length_From_Layout!A:B,2,0)</f>
        <v>17991.37</v>
      </c>
      <c r="H6" s="10">
        <f t="shared" si="0"/>
        <v>17991.37</v>
      </c>
      <c r="I6" s="11"/>
    </row>
    <row r="7" spans="1:9">
      <c r="B7" s="120"/>
      <c r="C7" s="98">
        <v>9</v>
      </c>
      <c r="D7" s="98" t="s">
        <v>31</v>
      </c>
      <c r="E7" s="97" t="s">
        <v>269</v>
      </c>
      <c r="F7" s="43" t="str">
        <f>VLOOKUP(E7,'CH assign'!A:B,2,0)</f>
        <v>D12615</v>
      </c>
      <c r="G7" s="7">
        <f>VLOOKUP(F7,Etch_Length_From_Layout!A:B,2,0)</f>
        <v>17991.79</v>
      </c>
      <c r="H7" s="10">
        <f t="shared" si="0"/>
        <v>17991.79</v>
      </c>
      <c r="I7" s="11" t="str">
        <f>IF(ABS(H7-H8)&lt;1,"PASS","FAIL")</f>
        <v>PASS</v>
      </c>
    </row>
    <row r="8" spans="1:9">
      <c r="B8" s="120"/>
      <c r="C8" s="98">
        <v>10</v>
      </c>
      <c r="D8" s="98" t="s">
        <v>30</v>
      </c>
      <c r="E8" s="97" t="s">
        <v>270</v>
      </c>
      <c r="F8" s="43" t="str">
        <f>VLOOKUP(E8,'CH assign'!A:B,2,0)</f>
        <v>D12613</v>
      </c>
      <c r="G8" s="7">
        <f>VLOOKUP(F8,Etch_Length_From_Layout!A:B,2,0)</f>
        <v>17991.53</v>
      </c>
      <c r="H8" s="10">
        <f t="shared" si="0"/>
        <v>17991.53</v>
      </c>
      <c r="I8" s="11"/>
    </row>
    <row r="9" spans="1:9">
      <c r="B9" s="120"/>
      <c r="C9" s="98">
        <v>11</v>
      </c>
      <c r="D9" s="98" t="s">
        <v>33</v>
      </c>
      <c r="E9" s="97" t="s">
        <v>275</v>
      </c>
      <c r="F9" s="43" t="str">
        <f>VLOOKUP(E9,'CH assign'!A:B,2,0)</f>
        <v>D12616</v>
      </c>
      <c r="G9" s="7">
        <f>VLOOKUP(F9,Etch_Length_From_Layout!A:B,2,0)</f>
        <v>17991.560000000001</v>
      </c>
      <c r="H9" s="10">
        <f t="shared" si="0"/>
        <v>17991.560000000001</v>
      </c>
      <c r="I9" s="11" t="str">
        <f>IF(ABS(H9-H10)&lt;1,"PASS","FAIL")</f>
        <v>PASS</v>
      </c>
    </row>
    <row r="10" spans="1:9">
      <c r="B10" s="120"/>
      <c r="C10" s="98">
        <v>12</v>
      </c>
      <c r="D10" s="98" t="s">
        <v>32</v>
      </c>
      <c r="E10" s="97" t="s">
        <v>276</v>
      </c>
      <c r="F10" s="43" t="str">
        <f>VLOOKUP(E10,'CH assign'!A:B,2,0)</f>
        <v>D12614</v>
      </c>
      <c r="G10" s="7">
        <f>VLOOKUP(F10,Etch_Length_From_Layout!A:B,2,0)</f>
        <v>17991.41</v>
      </c>
      <c r="H10" s="10">
        <f t="shared" si="0"/>
        <v>17991.41</v>
      </c>
      <c r="I10" s="11"/>
    </row>
    <row r="11" spans="1:9">
      <c r="B11" s="120"/>
      <c r="C11" s="98">
        <v>13</v>
      </c>
      <c r="D11" s="98" t="s">
        <v>35</v>
      </c>
      <c r="E11" s="97" t="s">
        <v>271</v>
      </c>
      <c r="F11" s="43" t="str">
        <f>VLOOKUP(E11,'CH assign'!A:B,2,0)</f>
        <v>D12612</v>
      </c>
      <c r="G11" s="7">
        <f>VLOOKUP(F11,Etch_Length_From_Layout!A:B,2,0)</f>
        <v>17991.88</v>
      </c>
      <c r="H11" s="10">
        <f>G11</f>
        <v>17991.88</v>
      </c>
      <c r="I11" s="11" t="str">
        <f>IF(ABS(H11-H12)&lt;1,"PASS","FAIL")</f>
        <v>PASS</v>
      </c>
    </row>
    <row r="12" spans="1:9">
      <c r="B12" s="120"/>
      <c r="C12" s="98">
        <v>14</v>
      </c>
      <c r="D12" s="98" t="s">
        <v>34</v>
      </c>
      <c r="E12" s="97" t="s">
        <v>272</v>
      </c>
      <c r="F12" s="43" t="str">
        <f>VLOOKUP(E12,'CH assign'!A:B,2,0)</f>
        <v>D12610</v>
      </c>
      <c r="G12" s="7">
        <f>VLOOKUP(F12,Etch_Length_From_Layout!A:B,2,0)</f>
        <v>17991.22</v>
      </c>
      <c r="H12" s="10">
        <f>G12</f>
        <v>17991.22</v>
      </c>
      <c r="I12" s="11"/>
    </row>
    <row r="13" spans="1:9">
      <c r="B13" s="120"/>
      <c r="C13" s="98">
        <v>15</v>
      </c>
      <c r="D13" s="98" t="s">
        <v>155</v>
      </c>
      <c r="E13" s="97" t="s">
        <v>273</v>
      </c>
      <c r="F13" s="43" t="str">
        <f>VLOOKUP(E13,'CH assign'!A:B,2,0)</f>
        <v>D12611</v>
      </c>
      <c r="G13" s="7">
        <f>VLOOKUP(F13,Etch_Length_From_Layout!A:B,2,0)</f>
        <v>17991.009999999998</v>
      </c>
      <c r="H13" s="10">
        <f>G13</f>
        <v>17991.009999999998</v>
      </c>
      <c r="I13" s="11" t="str">
        <f>IF(ABS(H13-H14)&lt;1,"PASS","FAIL")</f>
        <v>PASS</v>
      </c>
    </row>
    <row r="14" spans="1:9">
      <c r="B14" s="120"/>
      <c r="C14" s="98">
        <v>16</v>
      </c>
      <c r="D14" s="98" t="s">
        <v>156</v>
      </c>
      <c r="E14" s="97" t="s">
        <v>274</v>
      </c>
      <c r="F14" s="43" t="str">
        <f>VLOOKUP(E14,'CH assign'!A:B,2,0)</f>
        <v>D12609</v>
      </c>
      <c r="G14" s="7">
        <f>VLOOKUP(F14,Etch_Length_From_Layout!A:B,2,0)</f>
        <v>17991.98</v>
      </c>
      <c r="H14" s="10">
        <f>G14</f>
        <v>17991.98</v>
      </c>
      <c r="I14" s="11"/>
    </row>
    <row r="15" spans="1:9">
      <c r="B15" s="120" t="s">
        <v>11</v>
      </c>
      <c r="C15" s="98">
        <v>5</v>
      </c>
      <c r="D15" s="98" t="s">
        <v>27</v>
      </c>
      <c r="E15" s="97" t="s">
        <v>536</v>
      </c>
      <c r="F15" s="43" t="str">
        <f>VLOOKUP(E15,'CH assign'!A:B,2,0)</f>
        <v>D11308</v>
      </c>
      <c r="G15" s="7">
        <f>VLOOKUP(F15,Etch_Length_From_Layout!A:B,2,0)</f>
        <v>17991.13</v>
      </c>
      <c r="H15" s="10">
        <f t="shared" si="0"/>
        <v>17991.13</v>
      </c>
      <c r="I15" s="11" t="str">
        <f>IF(ABS(H15-H16)&lt;1,"PASS","FAIL")</f>
        <v>PASS</v>
      </c>
    </row>
    <row r="16" spans="1:9">
      <c r="B16" s="120"/>
      <c r="C16" s="98">
        <v>6</v>
      </c>
      <c r="D16" s="98" t="s">
        <v>26</v>
      </c>
      <c r="E16" s="97" t="s">
        <v>537</v>
      </c>
      <c r="F16" s="43" t="str">
        <f>VLOOKUP(E16,'CH assign'!A:B,2,0)</f>
        <v>D11306</v>
      </c>
      <c r="G16" s="7">
        <f>VLOOKUP(F16,Etch_Length_From_Layout!A:B,2,0)</f>
        <v>17991.84</v>
      </c>
      <c r="H16" s="10">
        <f t="shared" si="0"/>
        <v>17991.84</v>
      </c>
      <c r="I16" s="11"/>
    </row>
    <row r="17" spans="2:9">
      <c r="B17" s="120"/>
      <c r="C17" s="98">
        <v>7</v>
      </c>
      <c r="D17" s="98" t="s">
        <v>29</v>
      </c>
      <c r="E17" s="97" t="s">
        <v>538</v>
      </c>
      <c r="F17" s="43" t="str">
        <f>VLOOKUP(E17,'CH assign'!A:B,2,0)</f>
        <v>D11304</v>
      </c>
      <c r="G17" s="7">
        <f>VLOOKUP(F17,Etch_Length_From_Layout!A:B,2,0)</f>
        <v>17991.02</v>
      </c>
      <c r="H17" s="10">
        <f t="shared" si="0"/>
        <v>17991.02</v>
      </c>
      <c r="I17" s="11" t="str">
        <f>IF(ABS(H17-H18)&lt;1,"PASS","FAIL")</f>
        <v>PASS</v>
      </c>
    </row>
    <row r="18" spans="2:9">
      <c r="B18" s="120"/>
      <c r="C18" s="98">
        <v>8</v>
      </c>
      <c r="D18" s="98" t="s">
        <v>28</v>
      </c>
      <c r="E18" s="97" t="s">
        <v>539</v>
      </c>
      <c r="F18" s="43" t="str">
        <f>VLOOKUP(E18,'CH assign'!A:B,2,0)</f>
        <v>D11302</v>
      </c>
      <c r="G18" s="7">
        <f>VLOOKUP(F18,Etch_Length_From_Layout!A:B,2,0)</f>
        <v>17991.97</v>
      </c>
      <c r="H18" s="10">
        <f t="shared" si="0"/>
        <v>17991.97</v>
      </c>
      <c r="I18" s="11"/>
    </row>
    <row r="19" spans="2:9">
      <c r="B19" s="120"/>
      <c r="C19" s="98">
        <v>9</v>
      </c>
      <c r="D19" s="98" t="s">
        <v>31</v>
      </c>
      <c r="E19" s="97" t="s">
        <v>540</v>
      </c>
      <c r="F19" s="43" t="str">
        <f>VLOOKUP(E19,'CH assign'!A:B,2,0)</f>
        <v>D10915</v>
      </c>
      <c r="G19" s="7">
        <f>VLOOKUP(F19,Etch_Length_From_Layout!A:B,2,0)</f>
        <v>17991.57</v>
      </c>
      <c r="H19" s="10">
        <f t="shared" si="0"/>
        <v>17991.57</v>
      </c>
      <c r="I19" s="11" t="str">
        <f>IF(ABS(H19-H20)&lt;1,"PASS","FAIL")</f>
        <v>PASS</v>
      </c>
    </row>
    <row r="20" spans="2:9">
      <c r="B20" s="120"/>
      <c r="C20" s="98">
        <v>10</v>
      </c>
      <c r="D20" s="98" t="s">
        <v>30</v>
      </c>
      <c r="E20" s="97" t="s">
        <v>541</v>
      </c>
      <c r="F20" s="43" t="str">
        <f>VLOOKUP(E20,'CH assign'!A:B,2,0)</f>
        <v>D10913</v>
      </c>
      <c r="G20" s="7">
        <f>VLOOKUP(F20,Etch_Length_From_Layout!A:B,2,0)</f>
        <v>17991.78</v>
      </c>
      <c r="H20" s="10">
        <f t="shared" si="0"/>
        <v>17991.78</v>
      </c>
      <c r="I20" s="11"/>
    </row>
    <row r="21" spans="2:9">
      <c r="B21" s="120"/>
      <c r="C21" s="98">
        <v>11</v>
      </c>
      <c r="D21" s="98" t="s">
        <v>33</v>
      </c>
      <c r="E21" s="97" t="s">
        <v>542</v>
      </c>
      <c r="F21" s="43" t="str">
        <f>VLOOKUP(E21,'CH assign'!A:B,2,0)</f>
        <v>D10916</v>
      </c>
      <c r="G21" s="7">
        <f>VLOOKUP(F21,Etch_Length_From_Layout!A:B,2,0)</f>
        <v>17991.27</v>
      </c>
      <c r="H21" s="10">
        <f t="shared" si="0"/>
        <v>17991.27</v>
      </c>
      <c r="I21" s="11" t="str">
        <f>IF(ABS(H21-H22)&lt;1,"PASS","FAIL")</f>
        <v>PASS</v>
      </c>
    </row>
    <row r="22" spans="2:9">
      <c r="B22" s="120"/>
      <c r="C22" s="98">
        <v>12</v>
      </c>
      <c r="D22" s="98" t="s">
        <v>32</v>
      </c>
      <c r="E22" s="97" t="s">
        <v>543</v>
      </c>
      <c r="F22" s="43" t="str">
        <f>VLOOKUP(E22,'CH assign'!A:B,2,0)</f>
        <v>D10914</v>
      </c>
      <c r="G22" s="7">
        <f>VLOOKUP(F22,Etch_Length_From_Layout!A:B,2,0)</f>
        <v>17991.8</v>
      </c>
      <c r="H22" s="10">
        <f t="shared" si="0"/>
        <v>17991.8</v>
      </c>
      <c r="I22" s="11"/>
    </row>
    <row r="23" spans="2:9">
      <c r="B23" s="120"/>
      <c r="C23" s="98">
        <v>13</v>
      </c>
      <c r="D23" s="98" t="s">
        <v>35</v>
      </c>
      <c r="E23" s="97" t="s">
        <v>544</v>
      </c>
      <c r="F23" s="43" t="str">
        <f>VLOOKUP(E23,'CH assign'!A:B,2,0)</f>
        <v>D10911</v>
      </c>
      <c r="G23" s="7">
        <f>VLOOKUP(F23,Etch_Length_From_Layout!A:B,2,0)</f>
        <v>17991.25</v>
      </c>
      <c r="H23" s="10">
        <f>G23</f>
        <v>17991.25</v>
      </c>
      <c r="I23" s="11" t="str">
        <f>IF(ABS(H23-H24)&lt;1,"PASS","FAIL")</f>
        <v>PASS</v>
      </c>
    </row>
    <row r="24" spans="2:9">
      <c r="B24" s="120"/>
      <c r="C24" s="98">
        <v>14</v>
      </c>
      <c r="D24" s="98" t="s">
        <v>34</v>
      </c>
      <c r="E24" s="97" t="s">
        <v>545</v>
      </c>
      <c r="F24" s="43" t="str">
        <f>VLOOKUP(E24,'CH assign'!A:B,2,0)</f>
        <v>D10909</v>
      </c>
      <c r="G24" s="7">
        <f>VLOOKUP(F24,Etch_Length_From_Layout!A:B,2,0)</f>
        <v>17991.54</v>
      </c>
      <c r="H24" s="10">
        <f>G24</f>
        <v>17991.54</v>
      </c>
      <c r="I24" s="11"/>
    </row>
    <row r="25" spans="2:9">
      <c r="B25" s="120"/>
      <c r="C25" s="98">
        <v>15</v>
      </c>
      <c r="D25" s="98" t="s">
        <v>155</v>
      </c>
      <c r="E25" s="97" t="s">
        <v>546</v>
      </c>
      <c r="F25" s="43" t="str">
        <f>VLOOKUP(E25,'CH assign'!A:B,2,0)</f>
        <v>D11307</v>
      </c>
      <c r="G25" s="7">
        <f>VLOOKUP(F25,Etch_Length_From_Layout!A:B,2,0)</f>
        <v>17991.150000000001</v>
      </c>
      <c r="H25" s="10">
        <f>G25</f>
        <v>17991.150000000001</v>
      </c>
      <c r="I25" s="11" t="str">
        <f>IF(ABS(H25-H26)&lt;1,"PASS","FAIL")</f>
        <v>PASS</v>
      </c>
    </row>
    <row r="26" spans="2:9">
      <c r="B26" s="120"/>
      <c r="C26" s="98">
        <v>16</v>
      </c>
      <c r="D26" s="98" t="s">
        <v>156</v>
      </c>
      <c r="E26" s="97" t="s">
        <v>547</v>
      </c>
      <c r="F26" s="43" t="str">
        <f>VLOOKUP(E26,'CH assign'!A:B,2,0)</f>
        <v>D11305</v>
      </c>
      <c r="G26" s="7">
        <f>VLOOKUP(F26,Etch_Length_From_Layout!A:B,2,0)</f>
        <v>17991.09</v>
      </c>
      <c r="H26" s="10">
        <f>G26</f>
        <v>17991.09</v>
      </c>
      <c r="I26" s="11"/>
    </row>
    <row r="27" spans="2:9">
      <c r="B27" s="120" t="s">
        <v>302</v>
      </c>
      <c r="C27" s="98">
        <v>5</v>
      </c>
      <c r="D27" s="98" t="s">
        <v>27</v>
      </c>
      <c r="E27" s="97" t="s">
        <v>524</v>
      </c>
      <c r="F27" s="43" t="str">
        <f>VLOOKUP(E27,'CH assign'!A:B,2,0)</f>
        <v>D13016</v>
      </c>
      <c r="G27" s="7">
        <f>VLOOKUP(F27,Etch_Length_From_Layout!A:B,2,0)</f>
        <v>17991.66</v>
      </c>
      <c r="H27" s="10">
        <f>G27</f>
        <v>17991.66</v>
      </c>
      <c r="I27" s="11" t="str">
        <f>IF(ABS(H27-H28)&lt;1,"PASS","FAIL")</f>
        <v>PASS</v>
      </c>
    </row>
    <row r="28" spans="2:9">
      <c r="B28" s="120"/>
      <c r="C28" s="98">
        <v>6</v>
      </c>
      <c r="D28" s="98" t="s">
        <v>26</v>
      </c>
      <c r="E28" s="97" t="s">
        <v>525</v>
      </c>
      <c r="F28" s="43" t="str">
        <f>VLOOKUP(E28,'CH assign'!A:B,2,0)</f>
        <v>D13014</v>
      </c>
      <c r="G28" s="7">
        <f>VLOOKUP(F28,Etch_Length_From_Layout!A:B,2,0)</f>
        <v>17991.689999999999</v>
      </c>
      <c r="H28" s="10">
        <f t="shared" ref="H28:H34" si="1">G28</f>
        <v>17991.689999999999</v>
      </c>
      <c r="I28" s="11"/>
    </row>
    <row r="29" spans="2:9">
      <c r="B29" s="120"/>
      <c r="C29" s="98">
        <v>7</v>
      </c>
      <c r="D29" s="98" t="s">
        <v>29</v>
      </c>
      <c r="E29" s="97" t="s">
        <v>526</v>
      </c>
      <c r="F29" s="43" t="str">
        <f>VLOOKUP(E29,'CH assign'!A:B,2,0)</f>
        <v>D12915</v>
      </c>
      <c r="G29" s="7">
        <f>VLOOKUP(F29,Etch_Length_From_Layout!A:B,2,0)</f>
        <v>17991.419999999998</v>
      </c>
      <c r="H29" s="10">
        <f t="shared" si="1"/>
        <v>17991.419999999998</v>
      </c>
      <c r="I29" s="11" t="str">
        <f>IF(ABS(H29-H30)&lt;1,"PASS","FAIL")</f>
        <v>PASS</v>
      </c>
    </row>
    <row r="30" spans="2:9">
      <c r="B30" s="120"/>
      <c r="C30" s="98">
        <v>8</v>
      </c>
      <c r="D30" s="98" t="s">
        <v>28</v>
      </c>
      <c r="E30" s="97" t="s">
        <v>527</v>
      </c>
      <c r="F30" s="43" t="str">
        <f>VLOOKUP(E30,'CH assign'!A:B,2,0)</f>
        <v>D12913</v>
      </c>
      <c r="G30" s="7">
        <f>VLOOKUP(F30,Etch_Length_From_Layout!A:B,2,0)</f>
        <v>17991.78</v>
      </c>
      <c r="H30" s="10">
        <f t="shared" si="1"/>
        <v>17991.78</v>
      </c>
      <c r="I30" s="11"/>
    </row>
    <row r="31" spans="2:9">
      <c r="B31" s="120"/>
      <c r="C31" s="98">
        <v>9</v>
      </c>
      <c r="D31" s="98" t="s">
        <v>31</v>
      </c>
      <c r="E31" s="97" t="s">
        <v>528</v>
      </c>
      <c r="F31" s="43" t="str">
        <f>VLOOKUP(E31,'CH assign'!A:B,2,0)</f>
        <v>D13012</v>
      </c>
      <c r="G31" s="7">
        <f>VLOOKUP(F31,Etch_Length_From_Layout!A:B,2,0)</f>
        <v>17991.54</v>
      </c>
      <c r="H31" s="10">
        <f t="shared" si="1"/>
        <v>17991.54</v>
      </c>
      <c r="I31" s="11" t="str">
        <f>IF(ABS(H31-H32)&lt;1,"PASS","FAIL")</f>
        <v>PASS</v>
      </c>
    </row>
    <row r="32" spans="2:9">
      <c r="B32" s="120"/>
      <c r="C32" s="98">
        <v>10</v>
      </c>
      <c r="D32" s="98" t="s">
        <v>30</v>
      </c>
      <c r="E32" s="97" t="s">
        <v>529</v>
      </c>
      <c r="F32" s="43" t="str">
        <f>VLOOKUP(E32,'CH assign'!A:B,2,0)</f>
        <v>D13010</v>
      </c>
      <c r="G32" s="7">
        <f>VLOOKUP(F32,Etch_Length_From_Layout!A:B,2,0)</f>
        <v>17991.05</v>
      </c>
      <c r="H32" s="10">
        <f t="shared" si="1"/>
        <v>17991.05</v>
      </c>
      <c r="I32" s="11"/>
    </row>
    <row r="33" spans="2:9">
      <c r="B33" s="120"/>
      <c r="C33" s="98">
        <v>11</v>
      </c>
      <c r="D33" s="98" t="s">
        <v>33</v>
      </c>
      <c r="E33" s="97" t="s">
        <v>530</v>
      </c>
      <c r="F33" s="43" t="str">
        <f>VLOOKUP(E33,'CH assign'!A:B,2,0)</f>
        <v>D12911</v>
      </c>
      <c r="G33" s="7">
        <f>VLOOKUP(F33,Etch_Length_From_Layout!A:B,2,0)</f>
        <v>17991.740000000002</v>
      </c>
      <c r="H33" s="10">
        <f t="shared" si="1"/>
        <v>17991.740000000002</v>
      </c>
      <c r="I33" s="11" t="str">
        <f>IF(ABS(H33-H34)&lt;1,"PASS","FAIL")</f>
        <v>PASS</v>
      </c>
    </row>
    <row r="34" spans="2:9">
      <c r="B34" s="120"/>
      <c r="C34" s="98">
        <v>12</v>
      </c>
      <c r="D34" s="98" t="s">
        <v>32</v>
      </c>
      <c r="E34" s="97" t="s">
        <v>531</v>
      </c>
      <c r="F34" s="43" t="str">
        <f>VLOOKUP(E34,'CH assign'!A:B,2,0)</f>
        <v>D12909</v>
      </c>
      <c r="G34" s="7">
        <f>VLOOKUP(F34,Etch_Length_From_Layout!A:B,2,0)</f>
        <v>17991.27</v>
      </c>
      <c r="H34" s="10">
        <f t="shared" si="1"/>
        <v>17991.27</v>
      </c>
      <c r="I34" s="11"/>
    </row>
    <row r="35" spans="2:9">
      <c r="B35" s="120"/>
      <c r="C35" s="98">
        <v>13</v>
      </c>
      <c r="D35" s="98" t="s">
        <v>35</v>
      </c>
      <c r="E35" s="97" t="s">
        <v>532</v>
      </c>
      <c r="F35" s="43" t="str">
        <f>VLOOKUP(E35,'CH assign'!A:B,2,0)</f>
        <v>D13015</v>
      </c>
      <c r="G35" s="7">
        <f>VLOOKUP(F35,Etch_Length_From_Layout!A:B,2,0)</f>
        <v>17991.5</v>
      </c>
      <c r="H35" s="10">
        <f>G35</f>
        <v>17991.5</v>
      </c>
      <c r="I35" s="11" t="str">
        <f>IF(ABS(H35-H36)&lt;1,"PASS","FAIL")</f>
        <v>PASS</v>
      </c>
    </row>
    <row r="36" spans="2:9">
      <c r="B36" s="120"/>
      <c r="C36" s="98">
        <v>14</v>
      </c>
      <c r="D36" s="98" t="s">
        <v>34</v>
      </c>
      <c r="E36" s="97" t="s">
        <v>533</v>
      </c>
      <c r="F36" s="43" t="str">
        <f>VLOOKUP(E36,'CH assign'!A:B,2,0)</f>
        <v>D13013</v>
      </c>
      <c r="G36" s="7">
        <f>VLOOKUP(F36,Etch_Length_From_Layout!A:B,2,0)</f>
        <v>17991.400000000001</v>
      </c>
      <c r="H36" s="10">
        <f>G36</f>
        <v>17991.400000000001</v>
      </c>
      <c r="I36" s="11"/>
    </row>
    <row r="37" spans="2:9">
      <c r="B37" s="120"/>
      <c r="C37" s="98">
        <v>15</v>
      </c>
      <c r="D37" s="98" t="s">
        <v>155</v>
      </c>
      <c r="E37" s="97" t="s">
        <v>534</v>
      </c>
      <c r="F37" s="43" t="str">
        <f>VLOOKUP(E37,'CH assign'!A:B,2,0)</f>
        <v>D13011</v>
      </c>
      <c r="G37" s="7">
        <f>VLOOKUP(F37,Etch_Length_From_Layout!A:B,2,0)</f>
        <v>17991.84</v>
      </c>
      <c r="H37" s="10">
        <f>G37</f>
        <v>17991.84</v>
      </c>
      <c r="I37" s="11" t="str">
        <f>IF(ABS(H37-H38)&lt;1,"PASS","FAIL")</f>
        <v>PASS</v>
      </c>
    </row>
    <row r="38" spans="2:9">
      <c r="B38" s="120"/>
      <c r="C38" s="98">
        <v>16</v>
      </c>
      <c r="D38" s="98" t="s">
        <v>156</v>
      </c>
      <c r="E38" s="97" t="s">
        <v>535</v>
      </c>
      <c r="F38" s="43" t="str">
        <f>VLOOKUP(E38,'CH assign'!A:B,2,0)</f>
        <v>D13009</v>
      </c>
      <c r="G38" s="7">
        <f>VLOOKUP(F38,Etch_Length_From_Layout!A:B,2,0)</f>
        <v>17991.04</v>
      </c>
      <c r="H38" s="10">
        <f>G38</f>
        <v>17991.04</v>
      </c>
      <c r="I38" s="11"/>
    </row>
    <row r="39" spans="2:9">
      <c r="B39" s="120" t="s">
        <v>303</v>
      </c>
      <c r="C39" s="98">
        <v>5</v>
      </c>
      <c r="D39" s="98" t="s">
        <v>27</v>
      </c>
      <c r="E39" s="97" t="s">
        <v>512</v>
      </c>
      <c r="F39" s="43" t="str">
        <f>VLOOKUP(E39,'CH assign'!A:B,2,0)</f>
        <v>D10801</v>
      </c>
      <c r="G39" s="7">
        <f>VLOOKUP(F39,Etch_Length_From_Layout!A:B,2,0)</f>
        <v>17991.93</v>
      </c>
      <c r="H39" s="10">
        <f t="shared" ref="H39:H46" si="2">G39</f>
        <v>17991.93</v>
      </c>
      <c r="I39" s="11" t="str">
        <f>IF(ABS(H39-H40)&lt;1,"PASS","FAIL")</f>
        <v>PASS</v>
      </c>
    </row>
    <row r="40" spans="2:9">
      <c r="B40" s="120"/>
      <c r="C40" s="98">
        <v>6</v>
      </c>
      <c r="D40" s="98" t="s">
        <v>26</v>
      </c>
      <c r="E40" s="97" t="s">
        <v>513</v>
      </c>
      <c r="F40" s="43" t="str">
        <f>VLOOKUP(E40,'CH assign'!A:B,2,0)</f>
        <v>D10803</v>
      </c>
      <c r="G40" s="7">
        <f>VLOOKUP(F40,Etch_Length_From_Layout!A:B,2,0)</f>
        <v>17991.02</v>
      </c>
      <c r="H40" s="10">
        <f t="shared" si="2"/>
        <v>17991.02</v>
      </c>
      <c r="I40" s="11"/>
    </row>
    <row r="41" spans="2:9">
      <c r="B41" s="120"/>
      <c r="C41" s="98">
        <v>7</v>
      </c>
      <c r="D41" s="98" t="s">
        <v>29</v>
      </c>
      <c r="E41" s="97" t="s">
        <v>514</v>
      </c>
      <c r="F41" s="43" t="str">
        <f>VLOOKUP(E41,'CH assign'!A:B,2,0)</f>
        <v>D10415</v>
      </c>
      <c r="G41" s="7">
        <f>VLOOKUP(F41,Etch_Length_From_Layout!A:B,2,0)</f>
        <v>17991.169999999998</v>
      </c>
      <c r="H41" s="10">
        <f t="shared" si="2"/>
        <v>17991.169999999998</v>
      </c>
      <c r="I41" s="11" t="str">
        <f>IF(ABS(H41-H42)&lt;1,"PASS","FAIL")</f>
        <v>PASS</v>
      </c>
    </row>
    <row r="42" spans="2:9">
      <c r="B42" s="120"/>
      <c r="C42" s="98">
        <v>8</v>
      </c>
      <c r="D42" s="98" t="s">
        <v>28</v>
      </c>
      <c r="E42" s="97" t="s">
        <v>515</v>
      </c>
      <c r="F42" s="43" t="str">
        <f>VLOOKUP(E42,'CH assign'!A:B,2,0)</f>
        <v>D10413</v>
      </c>
      <c r="G42" s="7">
        <f>VLOOKUP(F42,Etch_Length_From_Layout!A:B,2,0)</f>
        <v>17991.79</v>
      </c>
      <c r="H42" s="10">
        <f t="shared" si="2"/>
        <v>17991.79</v>
      </c>
      <c r="I42" s="11"/>
    </row>
    <row r="43" spans="2:9">
      <c r="B43" s="120"/>
      <c r="C43" s="98">
        <v>9</v>
      </c>
      <c r="D43" s="98" t="s">
        <v>31</v>
      </c>
      <c r="E43" s="97" t="s">
        <v>516</v>
      </c>
      <c r="F43" s="43" t="str">
        <f>VLOOKUP(E43,'CH assign'!A:B,2,0)</f>
        <v>D10416</v>
      </c>
      <c r="G43" s="7">
        <f>VLOOKUP(F43,Etch_Length_From_Layout!A:B,2,0)</f>
        <v>17991.240000000002</v>
      </c>
      <c r="H43" s="10">
        <f t="shared" si="2"/>
        <v>17991.240000000002</v>
      </c>
      <c r="I43" s="11" t="str">
        <f>IF(ABS(H43-H44)&lt;1,"PASS","FAIL")</f>
        <v>PASS</v>
      </c>
    </row>
    <row r="44" spans="2:9">
      <c r="B44" s="120"/>
      <c r="C44" s="98">
        <v>10</v>
      </c>
      <c r="D44" s="98" t="s">
        <v>30</v>
      </c>
      <c r="E44" s="97" t="s">
        <v>517</v>
      </c>
      <c r="F44" s="43" t="str">
        <f>VLOOKUP(E44,'CH assign'!A:B,2,0)</f>
        <v>D10414</v>
      </c>
      <c r="G44" s="7">
        <f>VLOOKUP(F44,Etch_Length_From_Layout!A:B,2,0)</f>
        <v>17991.55</v>
      </c>
      <c r="H44" s="10">
        <f t="shared" si="2"/>
        <v>17991.55</v>
      </c>
      <c r="I44" s="11"/>
    </row>
    <row r="45" spans="2:9">
      <c r="B45" s="120"/>
      <c r="C45" s="98">
        <v>11</v>
      </c>
      <c r="D45" s="98" t="s">
        <v>33</v>
      </c>
      <c r="E45" s="97" t="s">
        <v>518</v>
      </c>
      <c r="F45" s="43" t="str">
        <f>VLOOKUP(E45,'CH assign'!A:B,2,0)</f>
        <v>D10412</v>
      </c>
      <c r="G45" s="7">
        <f>VLOOKUP(F45,Etch_Length_From_Layout!A:B,2,0)</f>
        <v>17991.669999999998</v>
      </c>
      <c r="H45" s="10">
        <f t="shared" si="2"/>
        <v>17991.669999999998</v>
      </c>
      <c r="I45" s="11" t="str">
        <f>IF(ABS(H45-H46)&lt;1,"PASS","FAIL")</f>
        <v>PASS</v>
      </c>
    </row>
    <row r="46" spans="2:9">
      <c r="B46" s="120"/>
      <c r="C46" s="98">
        <v>12</v>
      </c>
      <c r="D46" s="98" t="s">
        <v>32</v>
      </c>
      <c r="E46" s="97" t="s">
        <v>519</v>
      </c>
      <c r="F46" s="43" t="str">
        <f>VLOOKUP(E46,'CH assign'!A:B,2,0)</f>
        <v>D10410</v>
      </c>
      <c r="G46" s="7">
        <f>VLOOKUP(F46,Etch_Length_From_Layout!A:B,2,0)</f>
        <v>17991.11</v>
      </c>
      <c r="H46" s="10">
        <f t="shared" si="2"/>
        <v>17991.11</v>
      </c>
      <c r="I46" s="11"/>
    </row>
    <row r="47" spans="2:9">
      <c r="B47" s="120"/>
      <c r="C47" s="98">
        <v>13</v>
      </c>
      <c r="D47" s="98" t="s">
        <v>35</v>
      </c>
      <c r="E47" s="97" t="s">
        <v>520</v>
      </c>
      <c r="F47" s="43" t="str">
        <f>VLOOKUP(E47,'CH assign'!A:B,2,0)</f>
        <v>D10816</v>
      </c>
      <c r="G47" s="7">
        <f>VLOOKUP(F47,Etch_Length_From_Layout!A:B,2,0)</f>
        <v>17991.14</v>
      </c>
      <c r="H47" s="10">
        <f>G47</f>
        <v>17991.14</v>
      </c>
      <c r="I47" s="11" t="str">
        <f>IF(ABS(H47-H48)&lt;1,"PASS","FAIL")</f>
        <v>PASS</v>
      </c>
    </row>
    <row r="48" spans="2:9">
      <c r="B48" s="120"/>
      <c r="C48" s="98">
        <v>14</v>
      </c>
      <c r="D48" s="98" t="s">
        <v>34</v>
      </c>
      <c r="E48" s="97" t="s">
        <v>521</v>
      </c>
      <c r="F48" s="43" t="str">
        <f>VLOOKUP(E48,'CH assign'!A:B,2,0)</f>
        <v>D10814</v>
      </c>
      <c r="G48" s="7">
        <f>VLOOKUP(F48,Etch_Length_From_Layout!A:B,2,0)</f>
        <v>17991.310000000001</v>
      </c>
      <c r="H48" s="10">
        <f>G48</f>
        <v>17991.310000000001</v>
      </c>
      <c r="I48" s="11"/>
    </row>
    <row r="49" spans="2:9">
      <c r="B49" s="120"/>
      <c r="C49" s="98">
        <v>15</v>
      </c>
      <c r="D49" s="98" t="s">
        <v>155</v>
      </c>
      <c r="E49" s="97" t="s">
        <v>522</v>
      </c>
      <c r="F49" s="43" t="str">
        <f>VLOOKUP(E49,'CH assign'!A:B,2,0)</f>
        <v>D10804</v>
      </c>
      <c r="G49" s="7">
        <f>VLOOKUP(F49,Etch_Length_From_Layout!A:B,2,0)</f>
        <v>17991.439999999999</v>
      </c>
      <c r="H49" s="10">
        <f>G49</f>
        <v>17991.439999999999</v>
      </c>
      <c r="I49" s="11" t="str">
        <f>IF(ABS(H49-H50)&lt;1,"PASS","FAIL")</f>
        <v>PASS</v>
      </c>
    </row>
    <row r="50" spans="2:9">
      <c r="B50" s="120"/>
      <c r="C50" s="98">
        <v>16</v>
      </c>
      <c r="D50" s="98" t="s">
        <v>156</v>
      </c>
      <c r="E50" s="97" t="s">
        <v>523</v>
      </c>
      <c r="F50" s="43" t="str">
        <f>VLOOKUP(E50,'CH assign'!A:B,2,0)</f>
        <v>D10802</v>
      </c>
      <c r="G50" s="7">
        <f>VLOOKUP(F50,Etch_Length_From_Layout!A:B,2,0)</f>
        <v>17991.509999999998</v>
      </c>
      <c r="H50" s="10">
        <f>G50</f>
        <v>17991.509999999998</v>
      </c>
      <c r="I50" s="11"/>
    </row>
    <row r="51" spans="2:9">
      <c r="B51" s="22"/>
      <c r="C51" s="16"/>
      <c r="D51" s="16"/>
      <c r="E51" s="20"/>
      <c r="F51" s="20"/>
      <c r="G51" s="18" t="s">
        <v>0</v>
      </c>
      <c r="H51" s="8">
        <f>MAX(H3:H50)</f>
        <v>17991.98</v>
      </c>
      <c r="I51" s="92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17991.009999999998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0.97000000000116415</v>
      </c>
      <c r="I53" s="92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49" priority="11" operator="containsText" text="FAIL">
      <formula>NOT(ISERROR(SEARCH("FAIL",A15)))</formula>
    </cfRule>
    <cfRule type="containsText" dxfId="48" priority="12" operator="containsText" text="PASS">
      <formula>NOT(ISERROR(SEARCH("PASS",A15)))</formula>
    </cfRule>
  </conditionalFormatting>
  <conditionalFormatting sqref="A1:XFD3 A4:E14 A51:XFD1048576">
    <cfRule type="containsText" dxfId="47" priority="22" operator="containsText" text="PASS">
      <formula>NOT(ISERROR(SEARCH("PASS",A1)))</formula>
    </cfRule>
  </conditionalFormatting>
  <conditionalFormatting sqref="A51:XFD1048576 A1:XFD3 A4:E14">
    <cfRule type="containsText" dxfId="46" priority="21" operator="containsText" text="FAIL">
      <formula>NOT(ISERROR(SEARCH("FAIL",A1)))</formula>
    </cfRule>
  </conditionalFormatting>
  <conditionalFormatting sqref="C15:E26">
    <cfRule type="containsText" dxfId="45" priority="15" operator="containsText" text="FAIL">
      <formula>NOT(ISERROR(SEARCH("FAIL",C15)))</formula>
    </cfRule>
    <cfRule type="containsText" dxfId="44" priority="16" operator="containsText" text="PASS">
      <formula>NOT(ISERROR(SEARCH("PASS",C15)))</formula>
    </cfRule>
  </conditionalFormatting>
  <conditionalFormatting sqref="C27:XFD50">
    <cfRule type="containsText" dxfId="43" priority="3" operator="containsText" text="FAIL">
      <formula>NOT(ISERROR(SEARCH("FAIL",C27)))</formula>
    </cfRule>
    <cfRule type="containsText" dxfId="42" priority="4" operator="containsText" text="PASS">
      <formula>NOT(ISERROR(SEARCH("PASS",C27)))</formula>
    </cfRule>
  </conditionalFormatting>
  <conditionalFormatting sqref="F4:XFD26">
    <cfRule type="containsText" dxfId="41" priority="13" operator="containsText" text="FAIL">
      <formula>NOT(ISERROR(SEARCH("FAIL",F4)))</formula>
    </cfRule>
    <cfRule type="containsText" dxfId="40" priority="14" operator="containsText" text="PASS">
      <formula>NOT(ISERROR(SEARCH("PASS",F4)))</formula>
    </cfRule>
  </conditionalFormatting>
  <conditionalFormatting sqref="H54">
    <cfRule type="containsText" dxfId="39" priority="1" operator="containsText" text="pass">
      <formula>NOT(ISERROR(SEARCH("pass",H54)))</formula>
    </cfRule>
    <cfRule type="containsText" dxfId="38" priority="2" operator="containsText" text="fail">
      <formula>NOT(ISERROR(SEARCH("fail",H54)))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tabSelected="1" zoomScaleNormal="100" workbookViewId="0">
      <pane ySplit="1" topLeftCell="A29" activePane="bottomLeft" state="frozen"/>
      <selection pane="bottomLeft" activeCell="D57" sqref="D57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25.62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 ht="16.5" thickBot="1">
      <c r="B1" s="129" t="s">
        <v>511</v>
      </c>
      <c r="C1" s="130"/>
      <c r="D1" s="130"/>
      <c r="E1" s="130"/>
      <c r="F1" s="130"/>
      <c r="G1" s="130"/>
      <c r="H1" s="130"/>
      <c r="I1" s="131"/>
    </row>
    <row r="2" spans="1:9" s="5" customFormat="1" ht="16.5" thickBot="1">
      <c r="A2" s="124"/>
      <c r="B2" s="36" t="s">
        <v>10</v>
      </c>
      <c r="C2" s="37" t="s">
        <v>8</v>
      </c>
      <c r="D2" s="38" t="s">
        <v>9</v>
      </c>
      <c r="E2" s="38" t="s">
        <v>21</v>
      </c>
      <c r="F2" s="38" t="s">
        <v>4</v>
      </c>
      <c r="G2" s="39" t="s">
        <v>5</v>
      </c>
      <c r="H2" s="39" t="s">
        <v>12</v>
      </c>
      <c r="I2" s="40" t="s">
        <v>6</v>
      </c>
    </row>
    <row r="3" spans="1:9" ht="16.5" thickBot="1">
      <c r="A3" s="124"/>
      <c r="B3" s="126" t="s">
        <v>7</v>
      </c>
      <c r="C3" s="105">
        <v>167</v>
      </c>
      <c r="D3" s="106" t="s">
        <v>37</v>
      </c>
      <c r="E3" s="102" t="s">
        <v>279</v>
      </c>
      <c r="F3" s="45" t="str">
        <f>VLOOKUP(E3,'CH assign'!A:B,2,0)</f>
        <v>D12507</v>
      </c>
      <c r="G3" s="25">
        <f>VLOOKUP(F3,Etch_Length_From_Layout!A:B,2,0)</f>
        <v>16278.21</v>
      </c>
      <c r="H3" s="26">
        <f>G3</f>
        <v>16278.21</v>
      </c>
      <c r="I3" s="27" t="str">
        <f>IF(ABS(H3-H4)&lt;1,"PASS","FAIL")</f>
        <v>PASS</v>
      </c>
    </row>
    <row r="4" spans="1:9" ht="16.5" thickBot="1">
      <c r="A4" s="124"/>
      <c r="B4" s="127"/>
      <c r="C4" s="107">
        <v>168</v>
      </c>
      <c r="D4" s="108" t="s">
        <v>36</v>
      </c>
      <c r="E4" s="102" t="s">
        <v>280</v>
      </c>
      <c r="F4" s="43" t="str">
        <f>VLOOKUP(E4,'CH assign'!A:B,2,0)</f>
        <v>D12505</v>
      </c>
      <c r="G4" s="7">
        <f>VLOOKUP(F4,Etch_Length_From_Layout!A:B,2,0)</f>
        <v>16278.26</v>
      </c>
      <c r="H4" s="10">
        <f t="shared" ref="H4:H22" si="0">G4</f>
        <v>16278.26</v>
      </c>
      <c r="I4" s="11"/>
    </row>
    <row r="5" spans="1:9" ht="16.5" thickBot="1">
      <c r="A5" s="124"/>
      <c r="B5" s="127"/>
      <c r="C5" s="107">
        <v>169</v>
      </c>
      <c r="D5" s="108" t="s">
        <v>39</v>
      </c>
      <c r="E5" s="102" t="s">
        <v>281</v>
      </c>
      <c r="F5" s="43" t="str">
        <f>VLOOKUP(E5,'CH assign'!A:B,2,0)</f>
        <v>D12503</v>
      </c>
      <c r="G5" s="7">
        <f>VLOOKUP(F5,Etch_Length_From_Layout!A:B,2,0)</f>
        <v>16278.09</v>
      </c>
      <c r="H5" s="10">
        <f t="shared" si="0"/>
        <v>16278.09</v>
      </c>
      <c r="I5" s="11" t="str">
        <f>IF(ABS(H5-H6)&lt;1,"PASS","FAIL")</f>
        <v>PASS</v>
      </c>
    </row>
    <row r="6" spans="1:9" ht="16.5" thickBot="1">
      <c r="A6" s="124"/>
      <c r="B6" s="127"/>
      <c r="C6" s="107">
        <v>170</v>
      </c>
      <c r="D6" s="108" t="s">
        <v>38</v>
      </c>
      <c r="E6" s="102" t="s">
        <v>282</v>
      </c>
      <c r="F6" s="43" t="str">
        <f>VLOOKUP(E6,'CH assign'!A:B,2,0)</f>
        <v>D12501</v>
      </c>
      <c r="G6" s="7">
        <f>VLOOKUP(F6,Etch_Length_From_Layout!A:B,2,0)</f>
        <v>16278.69</v>
      </c>
      <c r="H6" s="10">
        <f t="shared" si="0"/>
        <v>16278.69</v>
      </c>
      <c r="I6" s="11"/>
    </row>
    <row r="7" spans="1:9" ht="16.5" thickBot="1">
      <c r="B7" s="127"/>
      <c r="C7" s="107">
        <v>171</v>
      </c>
      <c r="D7" s="108" t="s">
        <v>41</v>
      </c>
      <c r="E7" s="102" t="s">
        <v>283</v>
      </c>
      <c r="F7" s="43" t="str">
        <f>VLOOKUP(E7,'CH assign'!A:B,2,0)</f>
        <v>D12515</v>
      </c>
      <c r="G7" s="7">
        <f>VLOOKUP(F7,Etch_Length_From_Layout!A:B,2,0)</f>
        <v>16278.1</v>
      </c>
      <c r="H7" s="10">
        <f t="shared" si="0"/>
        <v>16278.1</v>
      </c>
      <c r="I7" s="11" t="str">
        <f>IF(ABS(H7-H8)&lt;1,"PASS","FAIL")</f>
        <v>PASS</v>
      </c>
    </row>
    <row r="8" spans="1:9" ht="16.5" thickBot="1">
      <c r="B8" s="127"/>
      <c r="C8" s="107">
        <v>172</v>
      </c>
      <c r="D8" s="108" t="s">
        <v>40</v>
      </c>
      <c r="E8" s="102" t="s">
        <v>284</v>
      </c>
      <c r="F8" s="43" t="str">
        <f>VLOOKUP(E8,'CH assign'!A:B,2,0)</f>
        <v>D12513</v>
      </c>
      <c r="G8" s="7">
        <f>VLOOKUP(F8,Etch_Length_From_Layout!A:B,2,0)</f>
        <v>16278.48</v>
      </c>
      <c r="H8" s="10">
        <f t="shared" si="0"/>
        <v>16278.48</v>
      </c>
      <c r="I8" s="11"/>
    </row>
    <row r="9" spans="1:9" ht="16.5" thickBot="1">
      <c r="B9" s="127"/>
      <c r="C9" s="107">
        <v>173</v>
      </c>
      <c r="D9" s="108" t="s">
        <v>43</v>
      </c>
      <c r="E9" s="102" t="s">
        <v>289</v>
      </c>
      <c r="F9" s="43" t="str">
        <f>VLOOKUP(E9,'CH assign'!A:B,2,0)</f>
        <v>D12512</v>
      </c>
      <c r="G9" s="7">
        <f>VLOOKUP(F9,Etch_Length_From_Layout!A:B,2,0)</f>
        <v>16278.14</v>
      </c>
      <c r="H9" s="10">
        <f t="shared" si="0"/>
        <v>16278.14</v>
      </c>
      <c r="I9" s="11" t="str">
        <f>IF(ABS(H9-H10)&lt;1,"PASS","FAIL")</f>
        <v>PASS</v>
      </c>
    </row>
    <row r="10" spans="1:9" ht="16.5" thickBot="1">
      <c r="B10" s="127"/>
      <c r="C10" s="107">
        <v>174</v>
      </c>
      <c r="D10" s="108" t="s">
        <v>42</v>
      </c>
      <c r="E10" s="102" t="s">
        <v>290</v>
      </c>
      <c r="F10" s="43" t="str">
        <f>VLOOKUP(E10,'CH assign'!A:B,2,0)</f>
        <v>D12510</v>
      </c>
      <c r="G10" s="7">
        <f>VLOOKUP(F10,Etch_Length_From_Layout!A:B,2,0)</f>
        <v>16278.85</v>
      </c>
      <c r="H10" s="10">
        <f t="shared" si="0"/>
        <v>16278.85</v>
      </c>
      <c r="I10" s="11"/>
    </row>
    <row r="11" spans="1:9" ht="16.5" thickBot="1">
      <c r="B11" s="127"/>
      <c r="C11" s="107">
        <v>175</v>
      </c>
      <c r="D11" s="108" t="s">
        <v>45</v>
      </c>
      <c r="E11" s="102" t="s">
        <v>285</v>
      </c>
      <c r="F11" s="43" t="str">
        <f>VLOOKUP(E11,'CH assign'!A:B,2,0)</f>
        <v>D12516</v>
      </c>
      <c r="G11" s="7">
        <f>VLOOKUP(F11,Etch_Length_From_Layout!A:B,2,0)</f>
        <v>16278.95</v>
      </c>
      <c r="H11" s="10">
        <f>G11</f>
        <v>16278.95</v>
      </c>
      <c r="I11" s="11" t="str">
        <f>IF(ABS(H11-H12)&lt;1,"PASS","FAIL")</f>
        <v>PASS</v>
      </c>
    </row>
    <row r="12" spans="1:9" ht="16.5" thickBot="1">
      <c r="B12" s="127"/>
      <c r="C12" s="107">
        <v>176</v>
      </c>
      <c r="D12" s="108" t="s">
        <v>44</v>
      </c>
      <c r="E12" s="102" t="s">
        <v>286</v>
      </c>
      <c r="F12" s="43" t="str">
        <f>VLOOKUP(E12,'CH assign'!A:B,2,0)</f>
        <v>D12514</v>
      </c>
      <c r="G12" s="7">
        <f>VLOOKUP(F12,Etch_Length_From_Layout!A:B,2,0)</f>
        <v>16278.04</v>
      </c>
      <c r="H12" s="10">
        <f>G12</f>
        <v>16278.04</v>
      </c>
      <c r="I12" s="11"/>
    </row>
    <row r="13" spans="1:9" ht="16.5" thickBot="1">
      <c r="B13" s="127"/>
      <c r="C13" s="107">
        <v>1</v>
      </c>
      <c r="D13" s="108" t="s">
        <v>153</v>
      </c>
      <c r="E13" s="102" t="s">
        <v>287</v>
      </c>
      <c r="F13" s="43" t="str">
        <f>VLOOKUP(E13,'CH assign'!A:B,2,0)</f>
        <v>D12511</v>
      </c>
      <c r="G13" s="7">
        <f>VLOOKUP(F13,Etch_Length_From_Layout!A:B,2,0)</f>
        <v>16278.47</v>
      </c>
      <c r="H13" s="10">
        <f>G13</f>
        <v>16278.47</v>
      </c>
      <c r="I13" s="11" t="str">
        <f>IF(ABS(H13-H14)&lt;1,"PASS","FAIL")</f>
        <v>PASS</v>
      </c>
    </row>
    <row r="14" spans="1:9" ht="16.5" thickBot="1">
      <c r="B14" s="128"/>
      <c r="C14" s="109">
        <v>2</v>
      </c>
      <c r="D14" s="110" t="s">
        <v>154</v>
      </c>
      <c r="E14" s="102" t="s">
        <v>288</v>
      </c>
      <c r="F14" s="59" t="str">
        <f>VLOOKUP(E14,'CH assign'!A:B,2,0)</f>
        <v>D12509</v>
      </c>
      <c r="G14" s="60">
        <f>VLOOKUP(F14,Etch_Length_From_Layout!A:B,2,0)</f>
        <v>16278.96</v>
      </c>
      <c r="H14" s="57">
        <f>G14</f>
        <v>16278.96</v>
      </c>
      <c r="I14" s="58"/>
    </row>
    <row r="15" spans="1:9">
      <c r="B15" s="126" t="s">
        <v>11</v>
      </c>
      <c r="C15" s="105">
        <v>167</v>
      </c>
      <c r="D15" s="106" t="s">
        <v>37</v>
      </c>
      <c r="E15" s="102" t="s">
        <v>572</v>
      </c>
      <c r="F15" s="72" t="str">
        <f>VLOOKUP(E15,'CH assign'!A:B,2,0)</f>
        <v>D10904</v>
      </c>
      <c r="G15" s="69">
        <f>VLOOKUP(F15,Etch_Length_From_Layout!A:B,2,0)</f>
        <v>16278.98</v>
      </c>
      <c r="H15" s="26">
        <f t="shared" si="0"/>
        <v>16278.98</v>
      </c>
      <c r="I15" s="27" t="str">
        <f>IF(ABS(H15-H16)&lt;1,"PASS","FAIL")</f>
        <v>PASS</v>
      </c>
    </row>
    <row r="16" spans="1:9">
      <c r="B16" s="127"/>
      <c r="C16" s="107">
        <v>168</v>
      </c>
      <c r="D16" s="108" t="s">
        <v>36</v>
      </c>
      <c r="E16" s="97" t="s">
        <v>573</v>
      </c>
      <c r="F16" s="73" t="str">
        <f>VLOOKUP(E16,'CH assign'!A:B,2,0)</f>
        <v>D10902</v>
      </c>
      <c r="G16" s="70">
        <f>VLOOKUP(F16,Etch_Length_From_Layout!A:B,2,0)</f>
        <v>16278.27</v>
      </c>
      <c r="H16" s="10">
        <f t="shared" si="0"/>
        <v>16278.27</v>
      </c>
      <c r="I16" s="11"/>
    </row>
    <row r="17" spans="2:9">
      <c r="B17" s="127"/>
      <c r="C17" s="107">
        <v>169</v>
      </c>
      <c r="D17" s="108" t="s">
        <v>39</v>
      </c>
      <c r="E17" s="97" t="s">
        <v>574</v>
      </c>
      <c r="F17" s="73" t="str">
        <f>VLOOKUP(E17,'CH assign'!A:B,2,0)</f>
        <v>D10908</v>
      </c>
      <c r="G17" s="70">
        <f>VLOOKUP(F17,Etch_Length_From_Layout!A:B,2,0)</f>
        <v>16278.53</v>
      </c>
      <c r="H17" s="10">
        <f t="shared" si="0"/>
        <v>16278.53</v>
      </c>
      <c r="I17" s="11" t="str">
        <f>IF(ABS(H17-H18)&lt;1,"PASS","FAIL")</f>
        <v>PASS</v>
      </c>
    </row>
    <row r="18" spans="2:9">
      <c r="B18" s="127"/>
      <c r="C18" s="107">
        <v>170</v>
      </c>
      <c r="D18" s="108" t="s">
        <v>38</v>
      </c>
      <c r="E18" s="97" t="s">
        <v>575</v>
      </c>
      <c r="F18" s="73" t="str">
        <f>VLOOKUP(E18,'CH assign'!A:B,2,0)</f>
        <v>D10906</v>
      </c>
      <c r="G18" s="70">
        <f>VLOOKUP(F18,Etch_Length_From_Layout!A:B,2,0)</f>
        <v>16278.33</v>
      </c>
      <c r="H18" s="10">
        <f t="shared" si="0"/>
        <v>16278.33</v>
      </c>
      <c r="I18" s="11"/>
    </row>
    <row r="19" spans="2:9">
      <c r="B19" s="127"/>
      <c r="C19" s="107">
        <v>171</v>
      </c>
      <c r="D19" s="108" t="s">
        <v>41</v>
      </c>
      <c r="E19" s="97" t="s">
        <v>576</v>
      </c>
      <c r="F19" s="73" t="str">
        <f>VLOOKUP(E19,'CH assign'!A:B,2,0)</f>
        <v>D11303</v>
      </c>
      <c r="G19" s="70">
        <f>VLOOKUP(F19,Etch_Length_From_Layout!A:B,2,0)</f>
        <v>16278.08</v>
      </c>
      <c r="H19" s="10">
        <f t="shared" si="0"/>
        <v>16278.08</v>
      </c>
      <c r="I19" s="11" t="str">
        <f>IF(ABS(H19-H20)&lt;1,"PASS","FAIL")</f>
        <v>PASS</v>
      </c>
    </row>
    <row r="20" spans="2:9">
      <c r="B20" s="127"/>
      <c r="C20" s="107">
        <v>172</v>
      </c>
      <c r="D20" s="108" t="s">
        <v>40</v>
      </c>
      <c r="E20" s="97" t="s">
        <v>577</v>
      </c>
      <c r="F20" s="73" t="str">
        <f>VLOOKUP(E20,'CH assign'!A:B,2,0)</f>
        <v>D11301</v>
      </c>
      <c r="G20" s="70">
        <f>VLOOKUP(F20,Etch_Length_From_Layout!A:B,2,0)</f>
        <v>16278.94</v>
      </c>
      <c r="H20" s="10">
        <f t="shared" si="0"/>
        <v>16278.94</v>
      </c>
      <c r="I20" s="11"/>
    </row>
    <row r="21" spans="2:9">
      <c r="B21" s="127"/>
      <c r="C21" s="107">
        <v>173</v>
      </c>
      <c r="D21" s="108" t="s">
        <v>43</v>
      </c>
      <c r="E21" s="97" t="s">
        <v>578</v>
      </c>
      <c r="F21" s="73" t="str">
        <f>VLOOKUP(E21,'CH assign'!A:B,2,0)</f>
        <v>D10907</v>
      </c>
      <c r="G21" s="70">
        <f>VLOOKUP(F21,Etch_Length_From_Layout!A:B,2,0)</f>
        <v>16278.03</v>
      </c>
      <c r="H21" s="10">
        <f t="shared" si="0"/>
        <v>16278.03</v>
      </c>
      <c r="I21" s="11" t="str">
        <f>IF(ABS(H21-H22)&lt;1,"PASS","FAIL")</f>
        <v>PASS</v>
      </c>
    </row>
    <row r="22" spans="2:9">
      <c r="B22" s="127"/>
      <c r="C22" s="107">
        <v>174</v>
      </c>
      <c r="D22" s="108" t="s">
        <v>42</v>
      </c>
      <c r="E22" s="97" t="s">
        <v>579</v>
      </c>
      <c r="F22" s="73" t="str">
        <f>VLOOKUP(E22,'CH assign'!A:B,2,0)</f>
        <v>D10905</v>
      </c>
      <c r="G22" s="70">
        <f>VLOOKUP(F22,Etch_Length_From_Layout!A:B,2,0)</f>
        <v>16278.25</v>
      </c>
      <c r="H22" s="10">
        <f t="shared" si="0"/>
        <v>16278.25</v>
      </c>
      <c r="I22" s="11"/>
    </row>
    <row r="23" spans="2:9">
      <c r="B23" s="127"/>
      <c r="C23" s="107">
        <v>175</v>
      </c>
      <c r="D23" s="108" t="s">
        <v>45</v>
      </c>
      <c r="E23" s="97" t="s">
        <v>580</v>
      </c>
      <c r="F23" s="73" t="str">
        <f>VLOOKUP(E23,'CH assign'!A:B,2,0)</f>
        <v>D10903</v>
      </c>
      <c r="G23" s="70">
        <f>VLOOKUP(F23,Etch_Length_From_Layout!A:B,2,0)</f>
        <v>16278.89</v>
      </c>
      <c r="H23" s="10">
        <f>G23</f>
        <v>16278.89</v>
      </c>
      <c r="I23" s="11" t="str">
        <f>IF(ABS(H23-H24)&lt;1,"PASS","FAIL")</f>
        <v>PASS</v>
      </c>
    </row>
    <row r="24" spans="2:9">
      <c r="B24" s="127"/>
      <c r="C24" s="107">
        <v>176</v>
      </c>
      <c r="D24" s="108" t="s">
        <v>44</v>
      </c>
      <c r="E24" s="97" t="s">
        <v>581</v>
      </c>
      <c r="F24" s="73" t="str">
        <f>VLOOKUP(E24,'CH assign'!A:B,2,0)</f>
        <v>D10901</v>
      </c>
      <c r="G24" s="70">
        <f>VLOOKUP(F24,Etch_Length_From_Layout!A:B,2,0)</f>
        <v>16278.95</v>
      </c>
      <c r="H24" s="10">
        <f>G24</f>
        <v>16278.95</v>
      </c>
      <c r="I24" s="11"/>
    </row>
    <row r="25" spans="2:9">
      <c r="B25" s="127"/>
      <c r="C25" s="107">
        <v>1</v>
      </c>
      <c r="D25" s="108" t="s">
        <v>153</v>
      </c>
      <c r="E25" s="97" t="s">
        <v>582</v>
      </c>
      <c r="F25" s="73" t="str">
        <f>VLOOKUP(E25,'CH assign'!A:B,2,0)</f>
        <v>D10912</v>
      </c>
      <c r="G25" s="70">
        <f>VLOOKUP(F25,Etch_Length_From_Layout!A:B,2,0)</f>
        <v>16278.35</v>
      </c>
      <c r="H25" s="10">
        <f>G25</f>
        <v>16278.35</v>
      </c>
      <c r="I25" s="11" t="str">
        <f>IF(ABS(H25-H26)&lt;1,"PASS","FAIL")</f>
        <v>PASS</v>
      </c>
    </row>
    <row r="26" spans="2:9" ht="16.5" thickBot="1">
      <c r="B26" s="128"/>
      <c r="C26" s="111">
        <v>2</v>
      </c>
      <c r="D26" s="112" t="s">
        <v>154</v>
      </c>
      <c r="E26" s="103" t="s">
        <v>583</v>
      </c>
      <c r="F26" s="74" t="str">
        <f>VLOOKUP(E26,'CH assign'!A:B,2,0)</f>
        <v>D10910</v>
      </c>
      <c r="G26" s="71">
        <f>VLOOKUP(F26,Etch_Length_From_Layout!A:B,2,0)</f>
        <v>16278.6</v>
      </c>
      <c r="H26" s="12">
        <f>G26</f>
        <v>16278.6</v>
      </c>
      <c r="I26" s="13"/>
    </row>
    <row r="27" spans="2:9" ht="16.5" thickBot="1">
      <c r="B27" s="126" t="s">
        <v>302</v>
      </c>
      <c r="C27" s="105">
        <v>167</v>
      </c>
      <c r="D27" s="106" t="s">
        <v>37</v>
      </c>
      <c r="E27" s="102" t="s">
        <v>560</v>
      </c>
      <c r="F27" s="45" t="str">
        <f>VLOOKUP(E27,'CH assign'!A:B,2,0)</f>
        <v>D12916</v>
      </c>
      <c r="G27" s="25">
        <f>VLOOKUP(F27,Etch_Length_From_Layout!A:B,2,0)</f>
        <v>16278.22</v>
      </c>
      <c r="H27" s="26">
        <f>G27</f>
        <v>16278.22</v>
      </c>
      <c r="I27" s="27" t="str">
        <f>IF(ABS(H27-H28)&lt;1,"PASS","FAIL")</f>
        <v>PASS</v>
      </c>
    </row>
    <row r="28" spans="2:9" ht="16.5" thickBot="1">
      <c r="B28" s="127"/>
      <c r="C28" s="107">
        <v>168</v>
      </c>
      <c r="D28" s="108" t="s">
        <v>36</v>
      </c>
      <c r="E28" s="102" t="s">
        <v>561</v>
      </c>
      <c r="F28" s="43" t="str">
        <f>VLOOKUP(E28,'CH assign'!A:B,2,0)</f>
        <v>D12914</v>
      </c>
      <c r="G28" s="7">
        <f>VLOOKUP(F28,Etch_Length_From_Layout!A:B,2,0)</f>
        <v>16278.88</v>
      </c>
      <c r="H28" s="10">
        <f t="shared" ref="H28:H34" si="1">G28</f>
        <v>16278.88</v>
      </c>
      <c r="I28" s="11"/>
    </row>
    <row r="29" spans="2:9" ht="16.5" thickBot="1">
      <c r="B29" s="127"/>
      <c r="C29" s="107">
        <v>169</v>
      </c>
      <c r="D29" s="108" t="s">
        <v>39</v>
      </c>
      <c r="E29" s="102" t="s">
        <v>562</v>
      </c>
      <c r="F29" s="43" t="str">
        <f>VLOOKUP(E29,'CH assign'!A:B,2,0)</f>
        <v>D12904</v>
      </c>
      <c r="G29" s="7">
        <f>VLOOKUP(F29,Etch_Length_From_Layout!A:B,2,0)</f>
        <v>16278.41</v>
      </c>
      <c r="H29" s="10">
        <f t="shared" si="1"/>
        <v>16278.41</v>
      </c>
      <c r="I29" s="11" t="str">
        <f>IF(ABS(H29-H30)&lt;1,"PASS","FAIL")</f>
        <v>PASS</v>
      </c>
    </row>
    <row r="30" spans="2:9" ht="16.5" thickBot="1">
      <c r="B30" s="127"/>
      <c r="C30" s="107">
        <v>170</v>
      </c>
      <c r="D30" s="108" t="s">
        <v>38</v>
      </c>
      <c r="E30" s="102" t="s">
        <v>563</v>
      </c>
      <c r="F30" s="43" t="str">
        <f>VLOOKUP(E30,'CH assign'!A:B,2,0)</f>
        <v>D12902</v>
      </c>
      <c r="G30" s="7">
        <f>VLOOKUP(F30,Etch_Length_From_Layout!A:B,2,0)</f>
        <v>16278.16</v>
      </c>
      <c r="H30" s="10">
        <f t="shared" si="1"/>
        <v>16278.16</v>
      </c>
      <c r="I30" s="11"/>
    </row>
    <row r="31" spans="2:9" ht="16.5" thickBot="1">
      <c r="B31" s="127"/>
      <c r="C31" s="107">
        <v>171</v>
      </c>
      <c r="D31" s="108" t="s">
        <v>41</v>
      </c>
      <c r="E31" s="102" t="s">
        <v>564</v>
      </c>
      <c r="F31" s="43" t="str">
        <f>VLOOKUP(E31,'CH assign'!A:B,2,0)</f>
        <v>D12907</v>
      </c>
      <c r="G31" s="7">
        <f>VLOOKUP(F31,Etch_Length_From_Layout!A:B,2,0)</f>
        <v>16278.92</v>
      </c>
      <c r="H31" s="10">
        <f t="shared" si="1"/>
        <v>16278.92</v>
      </c>
      <c r="I31" s="11" t="str">
        <f>IF(ABS(H31-H32)&lt;1,"PASS","FAIL")</f>
        <v>PASS</v>
      </c>
    </row>
    <row r="32" spans="2:9" ht="16.5" thickBot="1">
      <c r="B32" s="127"/>
      <c r="C32" s="107">
        <v>172</v>
      </c>
      <c r="D32" s="108" t="s">
        <v>40</v>
      </c>
      <c r="E32" s="102" t="s">
        <v>565</v>
      </c>
      <c r="F32" s="43" t="str">
        <f>VLOOKUP(E32,'CH assign'!A:B,2,0)</f>
        <v>D12905</v>
      </c>
      <c r="G32" s="7">
        <f>VLOOKUP(F32,Etch_Length_From_Layout!A:B,2,0)</f>
        <v>16278.35</v>
      </c>
      <c r="H32" s="10">
        <f t="shared" si="1"/>
        <v>16278.35</v>
      </c>
      <c r="I32" s="11"/>
    </row>
    <row r="33" spans="2:9" ht="16.5" thickBot="1">
      <c r="B33" s="127"/>
      <c r="C33" s="107">
        <v>173</v>
      </c>
      <c r="D33" s="108" t="s">
        <v>43</v>
      </c>
      <c r="E33" s="102" t="s">
        <v>566</v>
      </c>
      <c r="F33" s="43" t="str">
        <f>VLOOKUP(E33,'CH assign'!A:B,2,0)</f>
        <v>D12908</v>
      </c>
      <c r="G33" s="7">
        <f>VLOOKUP(F33,Etch_Length_From_Layout!A:B,2,0)</f>
        <v>16278.07</v>
      </c>
      <c r="H33" s="10">
        <f t="shared" si="1"/>
        <v>16278.07</v>
      </c>
      <c r="I33" s="11" t="str">
        <f>IF(ABS(H33-H34)&lt;1,"PASS","FAIL")</f>
        <v>PASS</v>
      </c>
    </row>
    <row r="34" spans="2:9" ht="16.5" thickBot="1">
      <c r="B34" s="127"/>
      <c r="C34" s="107">
        <v>174</v>
      </c>
      <c r="D34" s="108" t="s">
        <v>42</v>
      </c>
      <c r="E34" s="102" t="s">
        <v>567</v>
      </c>
      <c r="F34" s="43" t="str">
        <f>VLOOKUP(E34,'CH assign'!A:B,2,0)</f>
        <v>D12906</v>
      </c>
      <c r="G34" s="7">
        <f>VLOOKUP(F34,Etch_Length_From_Layout!A:B,2,0)</f>
        <v>16278.44</v>
      </c>
      <c r="H34" s="10">
        <f t="shared" si="1"/>
        <v>16278.44</v>
      </c>
      <c r="I34" s="11"/>
    </row>
    <row r="35" spans="2:9" ht="16.5" thickBot="1">
      <c r="B35" s="127"/>
      <c r="C35" s="107">
        <v>175</v>
      </c>
      <c r="D35" s="108" t="s">
        <v>45</v>
      </c>
      <c r="E35" s="102" t="s">
        <v>568</v>
      </c>
      <c r="F35" s="43" t="str">
        <f>VLOOKUP(E35,'CH assign'!A:B,2,0)</f>
        <v>D12901</v>
      </c>
      <c r="G35" s="7">
        <f>VLOOKUP(F35,Etch_Length_From_Layout!A:B,2,0)</f>
        <v>16278.02</v>
      </c>
      <c r="H35" s="10">
        <f>G35</f>
        <v>16278.02</v>
      </c>
      <c r="I35" s="11" t="str">
        <f>IF(ABS(H35-H36)&lt;1,"PASS","FAIL")</f>
        <v>PASS</v>
      </c>
    </row>
    <row r="36" spans="2:9" ht="16.5" thickBot="1">
      <c r="B36" s="127"/>
      <c r="C36" s="107">
        <v>176</v>
      </c>
      <c r="D36" s="108" t="s">
        <v>44</v>
      </c>
      <c r="E36" s="102" t="s">
        <v>569</v>
      </c>
      <c r="F36" s="43" t="str">
        <f>VLOOKUP(E36,'CH assign'!A:B,2,0)</f>
        <v>D12903</v>
      </c>
      <c r="G36" s="7">
        <f>VLOOKUP(F36,Etch_Length_From_Layout!A:B,2,0)</f>
        <v>16278.73</v>
      </c>
      <c r="H36" s="10">
        <f>G36</f>
        <v>16278.73</v>
      </c>
      <c r="I36" s="11"/>
    </row>
    <row r="37" spans="2:9" ht="16.5" thickBot="1">
      <c r="B37" s="127"/>
      <c r="C37" s="107">
        <v>1</v>
      </c>
      <c r="D37" s="108" t="s">
        <v>153</v>
      </c>
      <c r="E37" s="102" t="s">
        <v>570</v>
      </c>
      <c r="F37" s="43" t="str">
        <f>VLOOKUP(E37,'CH assign'!A:B,2,0)</f>
        <v>D12912</v>
      </c>
      <c r="G37" s="7">
        <f>VLOOKUP(F37,Etch_Length_From_Layout!A:B,2,0)</f>
        <v>16278.35</v>
      </c>
      <c r="H37" s="10">
        <f>G37</f>
        <v>16278.35</v>
      </c>
      <c r="I37" s="11" t="str">
        <f>IF(ABS(H37-H38)&lt;1,"PASS","FAIL")</f>
        <v>PASS</v>
      </c>
    </row>
    <row r="38" spans="2:9" ht="16.5" thickBot="1">
      <c r="B38" s="128"/>
      <c r="C38" s="109">
        <v>2</v>
      </c>
      <c r="D38" s="110" t="s">
        <v>154</v>
      </c>
      <c r="E38" s="102" t="s">
        <v>571</v>
      </c>
      <c r="F38" s="59" t="str">
        <f>VLOOKUP(E38,'CH assign'!A:B,2,0)</f>
        <v>D12910</v>
      </c>
      <c r="G38" s="60">
        <f>VLOOKUP(F38,Etch_Length_From_Layout!A:B,2,0)</f>
        <v>16278.87</v>
      </c>
      <c r="H38" s="57">
        <f>G38</f>
        <v>16278.87</v>
      </c>
      <c r="I38" s="58"/>
    </row>
    <row r="39" spans="2:9">
      <c r="B39" s="126" t="s">
        <v>303</v>
      </c>
      <c r="C39" s="105">
        <v>167</v>
      </c>
      <c r="D39" s="106" t="s">
        <v>37</v>
      </c>
      <c r="E39" s="102" t="s">
        <v>548</v>
      </c>
      <c r="F39" s="72" t="str">
        <f>VLOOKUP(E39,'CH assign'!A:B,2,0)</f>
        <v>D10812</v>
      </c>
      <c r="G39" s="69">
        <f>VLOOKUP(F39,Etch_Length_From_Layout!A:B,2,0)</f>
        <v>16278.02</v>
      </c>
      <c r="H39" s="26">
        <f t="shared" ref="H39:H46" si="2">G39</f>
        <v>16278.02</v>
      </c>
      <c r="I39" s="27" t="str">
        <f>IF(ABS(H39-H40)&lt;1,"PASS","FAIL")</f>
        <v>PASS</v>
      </c>
    </row>
    <row r="40" spans="2:9">
      <c r="B40" s="127"/>
      <c r="C40" s="107">
        <v>168</v>
      </c>
      <c r="D40" s="108" t="s">
        <v>36</v>
      </c>
      <c r="E40" s="97" t="s">
        <v>549</v>
      </c>
      <c r="F40" s="73" t="str">
        <f>VLOOKUP(E40,'CH assign'!A:B,2,0)</f>
        <v>D10810</v>
      </c>
      <c r="G40" s="70">
        <f>VLOOKUP(F40,Etch_Length_From_Layout!A:B,2,0)</f>
        <v>16278.66</v>
      </c>
      <c r="H40" s="10">
        <f t="shared" si="2"/>
        <v>16278.66</v>
      </c>
      <c r="I40" s="11"/>
    </row>
    <row r="41" spans="2:9">
      <c r="B41" s="127"/>
      <c r="C41" s="107">
        <v>169</v>
      </c>
      <c r="D41" s="108" t="s">
        <v>39</v>
      </c>
      <c r="E41" s="97" t="s">
        <v>550</v>
      </c>
      <c r="F41" s="73" t="str">
        <f>VLOOKUP(E41,'CH assign'!A:B,2,0)</f>
        <v>D10808</v>
      </c>
      <c r="G41" s="70">
        <f>VLOOKUP(F41,Etch_Length_From_Layout!A:B,2,0)</f>
        <v>16278.25</v>
      </c>
      <c r="H41" s="10">
        <f t="shared" si="2"/>
        <v>16278.25</v>
      </c>
      <c r="I41" s="11" t="str">
        <f>IF(ABS(H41-H42)&lt;1,"PASS","FAIL")</f>
        <v>PASS</v>
      </c>
    </row>
    <row r="42" spans="2:9">
      <c r="B42" s="127"/>
      <c r="C42" s="107">
        <v>170</v>
      </c>
      <c r="D42" s="108" t="s">
        <v>38</v>
      </c>
      <c r="E42" s="97" t="s">
        <v>551</v>
      </c>
      <c r="F42" s="73" t="str">
        <f>VLOOKUP(E42,'CH assign'!A:B,2,0)</f>
        <v>D10806</v>
      </c>
      <c r="G42" s="70">
        <f>VLOOKUP(F42,Etch_Length_From_Layout!A:B,2,0)</f>
        <v>16278.51</v>
      </c>
      <c r="H42" s="10">
        <f t="shared" si="2"/>
        <v>16278.51</v>
      </c>
      <c r="I42" s="11"/>
    </row>
    <row r="43" spans="2:9">
      <c r="B43" s="127"/>
      <c r="C43" s="107">
        <v>171</v>
      </c>
      <c r="D43" s="108" t="s">
        <v>41</v>
      </c>
      <c r="E43" s="97" t="s">
        <v>552</v>
      </c>
      <c r="F43" s="73" t="str">
        <f>VLOOKUP(E43,'CH assign'!A:B,2,0)</f>
        <v>D10411</v>
      </c>
      <c r="G43" s="70">
        <f>VLOOKUP(F43,Etch_Length_From_Layout!A:B,2,0)</f>
        <v>16278.18</v>
      </c>
      <c r="H43" s="10">
        <f t="shared" si="2"/>
        <v>16278.18</v>
      </c>
      <c r="I43" s="11" t="str">
        <f>IF(ABS(H43-H44)&lt;1,"PASS","FAIL")</f>
        <v>PASS</v>
      </c>
    </row>
    <row r="44" spans="2:9">
      <c r="B44" s="127"/>
      <c r="C44" s="107">
        <v>172</v>
      </c>
      <c r="D44" s="108" t="s">
        <v>40</v>
      </c>
      <c r="E44" s="97" t="s">
        <v>553</v>
      </c>
      <c r="F44" s="73" t="str">
        <f>VLOOKUP(E44,'CH assign'!A:B,2,0)</f>
        <v>D10409</v>
      </c>
      <c r="G44" s="70">
        <f>VLOOKUP(F44,Etch_Length_From_Layout!A:B,2,0)</f>
        <v>16278.97</v>
      </c>
      <c r="H44" s="10">
        <f t="shared" si="2"/>
        <v>16278.97</v>
      </c>
      <c r="I44" s="11"/>
    </row>
    <row r="45" spans="2:9">
      <c r="B45" s="127"/>
      <c r="C45" s="107">
        <v>173</v>
      </c>
      <c r="D45" s="108" t="s">
        <v>43</v>
      </c>
      <c r="E45" s="97" t="s">
        <v>554</v>
      </c>
      <c r="F45" s="73" t="str">
        <f>VLOOKUP(E45,'CH assign'!A:B,2,0)</f>
        <v>D10815</v>
      </c>
      <c r="G45" s="70">
        <f>VLOOKUP(F45,Etch_Length_From_Layout!A:B,2,0)</f>
        <v>16278.1</v>
      </c>
      <c r="H45" s="10">
        <f t="shared" si="2"/>
        <v>16278.1</v>
      </c>
      <c r="I45" s="11" t="str">
        <f>IF(ABS(H45-H46)&lt;1,"PASS","FAIL")</f>
        <v>PASS</v>
      </c>
    </row>
    <row r="46" spans="2:9">
      <c r="B46" s="127"/>
      <c r="C46" s="107">
        <v>174</v>
      </c>
      <c r="D46" s="108" t="s">
        <v>42</v>
      </c>
      <c r="E46" s="97" t="s">
        <v>555</v>
      </c>
      <c r="F46" s="73" t="str">
        <f>VLOOKUP(E46,'CH assign'!A:B,2,0)</f>
        <v>D10813</v>
      </c>
      <c r="G46" s="70">
        <f>VLOOKUP(F46,Etch_Length_From_Layout!A:B,2,0)</f>
        <v>16278.93</v>
      </c>
      <c r="H46" s="10">
        <f t="shared" si="2"/>
        <v>16278.93</v>
      </c>
      <c r="I46" s="11"/>
    </row>
    <row r="47" spans="2:9">
      <c r="B47" s="127"/>
      <c r="C47" s="107">
        <v>175</v>
      </c>
      <c r="D47" s="108" t="s">
        <v>45</v>
      </c>
      <c r="E47" s="97" t="s">
        <v>556</v>
      </c>
      <c r="F47" s="73" t="str">
        <f>VLOOKUP(E47,'CH assign'!A:B,2,0)</f>
        <v>D10805</v>
      </c>
      <c r="G47" s="70">
        <f>VLOOKUP(F47,Etch_Length_From_Layout!A:B,2,0)</f>
        <v>16278.86</v>
      </c>
      <c r="H47" s="10">
        <f>G47</f>
        <v>16278.86</v>
      </c>
      <c r="I47" s="11" t="str">
        <f>IF(ABS(H47-H48)&lt;1,"PASS","FAIL")</f>
        <v>PASS</v>
      </c>
    </row>
    <row r="48" spans="2:9">
      <c r="B48" s="127"/>
      <c r="C48" s="107">
        <v>176</v>
      </c>
      <c r="D48" s="108" t="s">
        <v>44</v>
      </c>
      <c r="E48" s="97" t="s">
        <v>557</v>
      </c>
      <c r="F48" s="73" t="str">
        <f>VLOOKUP(E48,'CH assign'!A:B,2,0)</f>
        <v>D10807</v>
      </c>
      <c r="G48" s="70">
        <f>VLOOKUP(F48,Etch_Length_From_Layout!A:B,2,0)</f>
        <v>16278.02</v>
      </c>
      <c r="H48" s="10">
        <f>G48</f>
        <v>16278.02</v>
      </c>
      <c r="I48" s="11"/>
    </row>
    <row r="49" spans="2:9">
      <c r="B49" s="127"/>
      <c r="C49" s="107">
        <v>1</v>
      </c>
      <c r="D49" s="108" t="s">
        <v>153</v>
      </c>
      <c r="E49" s="97" t="s">
        <v>558</v>
      </c>
      <c r="F49" s="73" t="str">
        <f>VLOOKUP(E49,'CH assign'!A:B,2,0)</f>
        <v>D10811</v>
      </c>
      <c r="G49" s="70">
        <f>VLOOKUP(F49,Etch_Length_From_Layout!A:B,2,0)</f>
        <v>16278.94</v>
      </c>
      <c r="H49" s="10">
        <f>G49</f>
        <v>16278.94</v>
      </c>
      <c r="I49" s="11" t="str">
        <f>IF(ABS(H49-H50)&lt;1,"PASS","FAIL")</f>
        <v>PASS</v>
      </c>
    </row>
    <row r="50" spans="2:9" ht="16.5" thickBot="1">
      <c r="B50" s="128"/>
      <c r="C50" s="111">
        <v>2</v>
      </c>
      <c r="D50" s="112" t="s">
        <v>154</v>
      </c>
      <c r="E50" s="103" t="s">
        <v>559</v>
      </c>
      <c r="F50" s="74" t="str">
        <f>VLOOKUP(E50,'CH assign'!A:B,2,0)</f>
        <v>D10809</v>
      </c>
      <c r="G50" s="71">
        <f>VLOOKUP(F50,Etch_Length_From_Layout!A:B,2,0)</f>
        <v>16278.84</v>
      </c>
      <c r="H50" s="12">
        <f>G50</f>
        <v>16278.84</v>
      </c>
      <c r="I50" s="13"/>
    </row>
    <row r="51" spans="2:9">
      <c r="B51" s="30"/>
      <c r="C51" s="31"/>
      <c r="D51" s="31"/>
      <c r="E51" s="32"/>
      <c r="F51" s="32"/>
      <c r="G51" s="34" t="s">
        <v>0</v>
      </c>
      <c r="H51" s="33">
        <f>MAX(H3:H50)</f>
        <v>16278.98</v>
      </c>
      <c r="I51" s="104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16278.02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0.95999999999912689</v>
      </c>
      <c r="I53" s="92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37" priority="11" operator="containsText" text="FAIL">
      <formula>NOT(ISERROR(SEARCH("FAIL",A15)))</formula>
    </cfRule>
    <cfRule type="containsText" dxfId="36" priority="12" operator="containsText" text="PASS">
      <formula>NOT(ISERROR(SEARCH("PASS",A15)))</formula>
    </cfRule>
  </conditionalFormatting>
  <conditionalFormatting sqref="A1:XFD3 A4:E14 A51:XFD1048576">
    <cfRule type="containsText" dxfId="35" priority="26" operator="containsText" text="PASS">
      <formula>NOT(ISERROR(SEARCH("PASS",A1)))</formula>
    </cfRule>
  </conditionalFormatting>
  <conditionalFormatting sqref="A51:XFD1048576 A1:XFD3 A4:E14">
    <cfRule type="containsText" dxfId="34" priority="25" operator="containsText" text="FAIL">
      <formula>NOT(ISERROR(SEARCH("FAIL",A1)))</formula>
    </cfRule>
  </conditionalFormatting>
  <conditionalFormatting sqref="C15:E26">
    <cfRule type="containsText" dxfId="33" priority="13" operator="containsText" text="FAIL">
      <formula>NOT(ISERROR(SEARCH("FAIL",C15)))</formula>
    </cfRule>
    <cfRule type="containsText" dxfId="32" priority="14" operator="containsText" text="PASS">
      <formula>NOT(ISERROR(SEARCH("PASS",C15)))</formula>
    </cfRule>
  </conditionalFormatting>
  <conditionalFormatting sqref="C27:XFD50">
    <cfRule type="containsText" dxfId="31" priority="3" operator="containsText" text="FAIL">
      <formula>NOT(ISERROR(SEARCH("FAIL",C27)))</formula>
    </cfRule>
    <cfRule type="containsText" dxfId="30" priority="4" operator="containsText" text="PASS">
      <formula>NOT(ISERROR(SEARCH("PASS",C27)))</formula>
    </cfRule>
  </conditionalFormatting>
  <conditionalFormatting sqref="F4:XFD26">
    <cfRule type="containsText" dxfId="29" priority="17" operator="containsText" text="FAIL">
      <formula>NOT(ISERROR(SEARCH("FAIL",F4)))</formula>
    </cfRule>
    <cfRule type="containsText" dxfId="28" priority="18" operator="containsText" text="PASS">
      <formula>NOT(ISERROR(SEARCH("PASS",F4)))</formula>
    </cfRule>
  </conditionalFormatting>
  <conditionalFormatting sqref="H54">
    <cfRule type="containsText" dxfId="27" priority="1" operator="containsText" text="pass">
      <formula>NOT(ISERROR(SEARCH("pass",H54)))</formula>
    </cfRule>
    <cfRule type="containsText" dxfId="26" priority="2" operator="containsText" text="fail">
      <formula>NOT(ISERROR(SEARCH("fail",H54)))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zoomScaleNormal="100" workbookViewId="0">
      <pane ySplit="1" topLeftCell="A2" activePane="bottomLeft" state="frozen"/>
      <selection pane="bottomLeft" activeCell="L20" sqref="L20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13" style="4" bestFit="1" customWidth="1"/>
    <col min="6" max="6" width="13.875" style="4" bestFit="1" customWidth="1"/>
    <col min="7" max="7" width="22.5" style="4" bestFit="1" customWidth="1"/>
    <col min="8" max="9" width="13.875" style="4" bestFit="1" customWidth="1"/>
    <col min="10" max="10" width="17.375" style="4" bestFit="1" customWidth="1"/>
    <col min="11" max="11" width="22.5" style="4" bestFit="1" customWidth="1"/>
    <col min="12" max="12" width="8.375" style="4" bestFit="1" customWidth="1"/>
    <col min="13" max="13" width="13.875" style="4" bestFit="1" customWidth="1"/>
    <col min="14" max="14" width="17.375" style="4" bestFit="1" customWidth="1"/>
    <col min="15" max="15" width="11.375" style="4" bestFit="1" customWidth="1"/>
    <col min="16" max="16384" width="9" style="4"/>
  </cols>
  <sheetData>
    <row r="1" spans="1:15" ht="16.5" thickBot="1">
      <c r="B1" s="129" t="s">
        <v>596</v>
      </c>
      <c r="C1" s="130"/>
      <c r="D1" s="130"/>
      <c r="E1" s="130"/>
      <c r="F1" s="130"/>
      <c r="G1" s="130"/>
      <c r="H1" s="130"/>
      <c r="I1" s="130"/>
      <c r="J1" s="130"/>
      <c r="K1" s="131"/>
    </row>
    <row r="2" spans="1:15" s="5" customFormat="1" ht="16.5" thickBot="1">
      <c r="A2" s="124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39" t="s">
        <v>12</v>
      </c>
      <c r="K2" s="40" t="s">
        <v>6</v>
      </c>
    </row>
    <row r="3" spans="1:15">
      <c r="A3" s="124"/>
      <c r="B3" s="132" t="s">
        <v>7</v>
      </c>
      <c r="C3" s="24">
        <v>21</v>
      </c>
      <c r="D3" s="45" t="s">
        <v>47</v>
      </c>
      <c r="E3" s="102" t="s">
        <v>46</v>
      </c>
      <c r="F3" s="46">
        <f>VLOOKUP(E3,Etch_Length_From_Layout!A:B,2,0)</f>
        <v>944.9</v>
      </c>
      <c r="G3" s="114" t="s">
        <v>584</v>
      </c>
      <c r="H3" s="49" t="e">
        <f>VLOOKUP(G3,'CH assign'!A:B,2,0)</f>
        <v>#N/A</v>
      </c>
      <c r="I3" s="25" t="e">
        <f>VLOOKUP(H3,Etch_Length_From_Layout!A:B,2,0)</f>
        <v>#N/A</v>
      </c>
      <c r="J3" s="26" t="e">
        <f t="shared" ref="J3:J10" si="0">F3+I3</f>
        <v>#N/A</v>
      </c>
      <c r="K3" s="27" t="e">
        <f>IF(ABS(J3-J4)&lt;1,"PASS","FAIL")</f>
        <v>#N/A</v>
      </c>
    </row>
    <row r="4" spans="1:15" ht="16.5" thickBot="1">
      <c r="A4" s="124"/>
      <c r="B4" s="133"/>
      <c r="C4" s="28">
        <v>20</v>
      </c>
      <c r="D4" s="44" t="s">
        <v>49</v>
      </c>
      <c r="E4" s="103" t="s">
        <v>48</v>
      </c>
      <c r="F4" s="48">
        <f>VLOOKUP(E4,Etch_Length_From_Layout!A:B,2,0)</f>
        <v>944.89</v>
      </c>
      <c r="G4" s="115" t="s">
        <v>585</v>
      </c>
      <c r="H4" s="50" t="e">
        <f>VLOOKUP(G4,'CH assign'!A:B,2,0)</f>
        <v>#N/A</v>
      </c>
      <c r="I4" s="29" t="e">
        <f>VLOOKUP(H4,Etch_Length_From_Layout!A:B,2,0)</f>
        <v>#N/A</v>
      </c>
      <c r="J4" s="12" t="e">
        <f t="shared" si="0"/>
        <v>#N/A</v>
      </c>
      <c r="K4" s="13"/>
    </row>
    <row r="5" spans="1:15">
      <c r="B5" s="132" t="s">
        <v>11</v>
      </c>
      <c r="C5" s="24">
        <v>21</v>
      </c>
      <c r="D5" s="45" t="s">
        <v>47</v>
      </c>
      <c r="E5" s="102" t="s">
        <v>50</v>
      </c>
      <c r="F5" s="46">
        <f>VLOOKUP(E5,Etch_Length_From_Layout!A:B,2,0)</f>
        <v>1270.93</v>
      </c>
      <c r="G5" s="114" t="s">
        <v>586</v>
      </c>
      <c r="H5" s="49" t="e">
        <f>VLOOKUP(G5,'CH assign'!A:B,2,0)</f>
        <v>#N/A</v>
      </c>
      <c r="I5" s="25" t="e">
        <f>VLOOKUP(H5,Etch_Length_From_Layout!A:B,2,0)</f>
        <v>#N/A</v>
      </c>
      <c r="J5" s="26" t="e">
        <f t="shared" si="0"/>
        <v>#N/A</v>
      </c>
      <c r="K5" s="27" t="e">
        <f>IF(ABS(J5-J6)&lt;1,"PASS","FAIL")</f>
        <v>#N/A</v>
      </c>
    </row>
    <row r="6" spans="1:15" ht="16.5" thickBot="1">
      <c r="B6" s="133"/>
      <c r="C6" s="28">
        <v>20</v>
      </c>
      <c r="D6" s="44" t="s">
        <v>49</v>
      </c>
      <c r="E6" s="103" t="s">
        <v>51</v>
      </c>
      <c r="F6" s="48">
        <f>VLOOKUP(E6,Etch_Length_From_Layout!A:B,2,0)</f>
        <v>1261.97</v>
      </c>
      <c r="G6" s="115" t="s">
        <v>587</v>
      </c>
      <c r="H6" s="50" t="e">
        <f>VLOOKUP(G6,'CH assign'!A:B,2,0)</f>
        <v>#N/A</v>
      </c>
      <c r="I6" s="29" t="e">
        <f>VLOOKUP(H6,Etch_Length_From_Layout!A:B,2,0)</f>
        <v>#N/A</v>
      </c>
      <c r="J6" s="12" t="e">
        <f t="shared" si="0"/>
        <v>#N/A</v>
      </c>
      <c r="K6" s="13"/>
    </row>
    <row r="7" spans="1:15">
      <c r="B7" s="132" t="s">
        <v>302</v>
      </c>
      <c r="C7" s="24">
        <v>21</v>
      </c>
      <c r="D7" s="45" t="s">
        <v>47</v>
      </c>
      <c r="E7" s="102" t="s">
        <v>588</v>
      </c>
      <c r="F7" s="46">
        <f>VLOOKUP(E7,Etch_Length_From_Layout!A:B,2,0)</f>
        <v>1270.93</v>
      </c>
      <c r="G7" s="114" t="s">
        <v>589</v>
      </c>
      <c r="H7" s="49" t="e">
        <f>VLOOKUP(G7,'CH assign'!A:B,2,0)</f>
        <v>#N/A</v>
      </c>
      <c r="I7" s="25" t="e">
        <f>VLOOKUP(H7,Etch_Length_From_Layout!A:B,2,0)</f>
        <v>#N/A</v>
      </c>
      <c r="J7" s="26" t="e">
        <f t="shared" si="0"/>
        <v>#N/A</v>
      </c>
      <c r="K7" s="27" t="e">
        <f>IF(ABS(J7-J8)&lt;1,"PASS","FAIL")</f>
        <v>#N/A</v>
      </c>
    </row>
    <row r="8" spans="1:15" ht="16.5" thickBot="1">
      <c r="B8" s="133"/>
      <c r="C8" s="28">
        <v>20</v>
      </c>
      <c r="D8" s="44" t="s">
        <v>49</v>
      </c>
      <c r="E8" s="103" t="s">
        <v>590</v>
      </c>
      <c r="F8" s="48">
        <f>VLOOKUP(E8,Etch_Length_From_Layout!A:B,2,0)</f>
        <v>1261.97</v>
      </c>
      <c r="G8" s="115" t="s">
        <v>591</v>
      </c>
      <c r="H8" s="50" t="e">
        <f>VLOOKUP(G8,'CH assign'!A:B,2,0)</f>
        <v>#N/A</v>
      </c>
      <c r="I8" s="29" t="e">
        <f>VLOOKUP(H8,Etch_Length_From_Layout!A:B,2,0)</f>
        <v>#N/A</v>
      </c>
      <c r="J8" s="12" t="e">
        <f t="shared" si="0"/>
        <v>#N/A</v>
      </c>
      <c r="K8" s="13"/>
    </row>
    <row r="9" spans="1:15">
      <c r="B9" s="132" t="s">
        <v>303</v>
      </c>
      <c r="C9" s="24">
        <v>21</v>
      </c>
      <c r="D9" s="45" t="s">
        <v>47</v>
      </c>
      <c r="E9" s="102" t="s">
        <v>592</v>
      </c>
      <c r="F9" s="46">
        <f>VLOOKUP(E9,Etch_Length_From_Layout!A:B,2,0)</f>
        <v>1270.93</v>
      </c>
      <c r="G9" s="114" t="s">
        <v>593</v>
      </c>
      <c r="H9" s="49" t="e">
        <f>VLOOKUP(G9,'CH assign'!A:B,2,0)</f>
        <v>#N/A</v>
      </c>
      <c r="I9" s="25" t="e">
        <f>VLOOKUP(H9,Etch_Length_From_Layout!A:B,2,0)</f>
        <v>#N/A</v>
      </c>
      <c r="J9" s="26" t="e">
        <f t="shared" si="0"/>
        <v>#N/A</v>
      </c>
      <c r="K9" s="27" t="e">
        <f>IF(ABS(J9-J10)&lt;1,"PASS","FAIL")</f>
        <v>#N/A</v>
      </c>
    </row>
    <row r="10" spans="1:15" ht="16.5" thickBot="1">
      <c r="B10" s="133"/>
      <c r="C10" s="28">
        <v>20</v>
      </c>
      <c r="D10" s="44" t="s">
        <v>49</v>
      </c>
      <c r="E10" s="103" t="s">
        <v>594</v>
      </c>
      <c r="F10" s="48">
        <f>VLOOKUP(E10,Etch_Length_From_Layout!A:B,2,0)</f>
        <v>1261.97</v>
      </c>
      <c r="G10" s="115" t="s">
        <v>595</v>
      </c>
      <c r="H10" s="50" t="e">
        <f>VLOOKUP(G10,'CH assign'!A:B,2,0)</f>
        <v>#N/A</v>
      </c>
      <c r="I10" s="29" t="e">
        <f>VLOOKUP(H10,Etch_Length_From_Layout!A:B,2,0)</f>
        <v>#N/A</v>
      </c>
      <c r="J10" s="12" t="e">
        <f t="shared" si="0"/>
        <v>#N/A</v>
      </c>
      <c r="K10" s="13"/>
    </row>
    <row r="11" spans="1:15">
      <c r="B11" s="30"/>
      <c r="C11" s="31"/>
      <c r="D11" s="31"/>
      <c r="E11" s="32"/>
      <c r="F11" s="34"/>
      <c r="G11" s="32"/>
      <c r="H11" s="32"/>
      <c r="I11" s="34" t="s">
        <v>0</v>
      </c>
      <c r="J11" s="33" t="e">
        <f>MAX(J3:J10)</f>
        <v>#N/A</v>
      </c>
      <c r="K11" s="14"/>
    </row>
    <row r="12" spans="1:15">
      <c r="B12" s="22"/>
      <c r="C12" s="16"/>
      <c r="D12" s="16"/>
      <c r="E12" s="20"/>
      <c r="F12" s="18"/>
      <c r="G12" s="20"/>
      <c r="H12" s="20"/>
      <c r="I12" s="18" t="s">
        <v>1</v>
      </c>
      <c r="J12" s="8" t="e">
        <f>MIN(J3:J10)</f>
        <v>#N/A</v>
      </c>
      <c r="K12" s="11"/>
    </row>
    <row r="13" spans="1:15">
      <c r="B13" s="22"/>
      <c r="C13" s="16"/>
      <c r="D13" s="16"/>
      <c r="E13" s="20"/>
      <c r="F13" s="18"/>
      <c r="G13" s="20"/>
      <c r="H13" s="20"/>
      <c r="I13" s="18" t="s">
        <v>2</v>
      </c>
      <c r="J13" s="8" t="e">
        <f>J11-J12</f>
        <v>#N/A</v>
      </c>
      <c r="K13" s="11"/>
    </row>
    <row r="14" spans="1:15" ht="16.5" thickBot="1">
      <c r="B14" s="23"/>
      <c r="C14" s="17"/>
      <c r="D14" s="17"/>
      <c r="E14" s="21"/>
      <c r="F14" s="19"/>
      <c r="G14" s="21"/>
      <c r="H14" s="21"/>
      <c r="I14" s="19" t="s">
        <v>3</v>
      </c>
      <c r="J14" s="9" t="e">
        <f>IF(J13&lt;=1,"PASS", "FAIL")</f>
        <v>#N/A</v>
      </c>
      <c r="K14" s="13"/>
    </row>
    <row r="15" spans="1:15" ht="16.5" thickBot="1"/>
    <row r="16" spans="1:15" ht="16.5" thickBot="1">
      <c r="B16" s="129" t="s">
        <v>596</v>
      </c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1"/>
    </row>
    <row r="17" spans="2:15" ht="16.5" thickBot="1">
      <c r="B17" s="36" t="s">
        <v>10</v>
      </c>
      <c r="C17" s="37" t="s">
        <v>8</v>
      </c>
      <c r="D17" s="38" t="s">
        <v>9</v>
      </c>
      <c r="E17" s="38" t="s">
        <v>55</v>
      </c>
      <c r="F17" s="39" t="s">
        <v>52</v>
      </c>
      <c r="G17" s="38" t="s">
        <v>56</v>
      </c>
      <c r="H17" s="39" t="s">
        <v>54</v>
      </c>
      <c r="I17" s="38" t="s">
        <v>57</v>
      </c>
      <c r="J17" s="39" t="s">
        <v>59</v>
      </c>
      <c r="K17" s="38" t="s">
        <v>58</v>
      </c>
      <c r="L17" s="38" t="s">
        <v>4</v>
      </c>
      <c r="M17" s="39" t="s">
        <v>60</v>
      </c>
      <c r="N17" s="39" t="s">
        <v>12</v>
      </c>
      <c r="O17" s="40" t="s">
        <v>6</v>
      </c>
    </row>
    <row r="18" spans="2:15">
      <c r="B18" s="132" t="s">
        <v>7</v>
      </c>
      <c r="C18" s="24">
        <v>21</v>
      </c>
      <c r="D18" s="45" t="s">
        <v>47</v>
      </c>
      <c r="E18" s="102" t="s">
        <v>46</v>
      </c>
      <c r="F18" s="46">
        <f>VLOOKUP(E18,Etch_Length_From_Layout!A:B,2,0)</f>
        <v>944.9</v>
      </c>
      <c r="G18" s="45" t="s">
        <v>145</v>
      </c>
      <c r="H18" s="46">
        <f>VLOOKUP(G18,Etch_Length_From_Layout!A:B,2,0)</f>
        <v>0</v>
      </c>
      <c r="I18" s="45" t="s">
        <v>147</v>
      </c>
      <c r="J18" s="46">
        <f>VLOOKUP(I18,Etch_Length_From_Layout!A:B,2,0)</f>
        <v>0</v>
      </c>
      <c r="K18" s="114" t="s">
        <v>597</v>
      </c>
      <c r="L18" s="49" t="e">
        <f>VLOOKUP(K18,'CH assign'!A:B,2,0)</f>
        <v>#N/A</v>
      </c>
      <c r="M18" s="25" t="e">
        <f>VLOOKUP(L18,Etch_Length_From_Layout!A:B,2,0)</f>
        <v>#N/A</v>
      </c>
      <c r="N18" s="26" t="e">
        <f>F18+H18+J18+M18</f>
        <v>#N/A</v>
      </c>
      <c r="O18" s="27" t="e">
        <f>IF(ABS(N18-N19)&lt;1,"PASS","FAIL")</f>
        <v>#N/A</v>
      </c>
    </row>
    <row r="19" spans="2:15" ht="16.5" thickBot="1">
      <c r="B19" s="133"/>
      <c r="C19" s="28">
        <v>20</v>
      </c>
      <c r="D19" s="44" t="s">
        <v>49</v>
      </c>
      <c r="E19" s="103" t="s">
        <v>48</v>
      </c>
      <c r="F19" s="48">
        <f>VLOOKUP(E19,Etch_Length_From_Layout!A:B,2,0)</f>
        <v>944.89</v>
      </c>
      <c r="G19" s="44" t="s">
        <v>146</v>
      </c>
      <c r="H19" s="48">
        <f>VLOOKUP(G19,Etch_Length_From_Layout!A:B,2,0)</f>
        <v>0</v>
      </c>
      <c r="I19" s="44" t="s">
        <v>148</v>
      </c>
      <c r="J19" s="48">
        <f>VLOOKUP(I19,Etch_Length_From_Layout!A:B,2,0)</f>
        <v>0</v>
      </c>
      <c r="K19" s="115" t="s">
        <v>598</v>
      </c>
      <c r="L19" s="50" t="e">
        <f>VLOOKUP(K19,'CH assign'!A:B,2,0)</f>
        <v>#N/A</v>
      </c>
      <c r="M19" s="29" t="e">
        <f>VLOOKUP(L19,Etch_Length_From_Layout!A:B,2,0)</f>
        <v>#N/A</v>
      </c>
      <c r="N19" s="12" t="e">
        <f>F19+H19+J19+M19</f>
        <v>#N/A</v>
      </c>
      <c r="O19" s="13"/>
    </row>
    <row r="20" spans="2:15">
      <c r="B20" s="132" t="s">
        <v>11</v>
      </c>
      <c r="C20" s="24">
        <v>21</v>
      </c>
      <c r="D20" s="45" t="s">
        <v>47</v>
      </c>
      <c r="E20" s="102" t="s">
        <v>50</v>
      </c>
      <c r="F20" s="46">
        <f>VLOOKUP(E20,Etch_Length_From_Layout!A:B,2,0)</f>
        <v>1270.93</v>
      </c>
      <c r="G20" s="45" t="s">
        <v>149</v>
      </c>
      <c r="H20" s="46">
        <f>VLOOKUP(G20,Etch_Length_From_Layout!A:B,2,0)</f>
        <v>0</v>
      </c>
      <c r="I20" s="45" t="s">
        <v>151</v>
      </c>
      <c r="J20" s="46">
        <f>VLOOKUP(I20,Etch_Length_From_Layout!A:B,2,0)</f>
        <v>0</v>
      </c>
      <c r="K20" s="114" t="s">
        <v>611</v>
      </c>
      <c r="L20" s="49" t="e">
        <f>VLOOKUP(K20,'CH assign'!A:B,2,0)</f>
        <v>#N/A</v>
      </c>
      <c r="M20" s="25" t="e">
        <f>VLOOKUP(L20,Etch_Length_From_Layout!A:B,2,0)</f>
        <v>#N/A</v>
      </c>
      <c r="N20" s="26" t="e">
        <f t="shared" ref="N20:N21" si="1">F20+H20+J20+M20</f>
        <v>#N/A</v>
      </c>
      <c r="O20" s="27" t="e">
        <f>IF(ABS(N20-N21)&lt;1,"PASS","FAIL")</f>
        <v>#N/A</v>
      </c>
    </row>
    <row r="21" spans="2:15" ht="16.5" thickBot="1">
      <c r="B21" s="133"/>
      <c r="C21" s="28">
        <v>20</v>
      </c>
      <c r="D21" s="44" t="s">
        <v>49</v>
      </c>
      <c r="E21" s="103" t="s">
        <v>51</v>
      </c>
      <c r="F21" s="48">
        <f>VLOOKUP(E21,Etch_Length_From_Layout!A:B,2,0)</f>
        <v>1261.97</v>
      </c>
      <c r="G21" s="44" t="s">
        <v>150</v>
      </c>
      <c r="H21" s="48">
        <f>VLOOKUP(G21,Etch_Length_From_Layout!A:B,2,0)</f>
        <v>0</v>
      </c>
      <c r="I21" s="44" t="s">
        <v>152</v>
      </c>
      <c r="J21" s="48">
        <f>VLOOKUP(I21,Etch_Length_From_Layout!A:B,2,0)</f>
        <v>0</v>
      </c>
      <c r="K21" s="115" t="s">
        <v>612</v>
      </c>
      <c r="L21" s="50" t="e">
        <f>VLOOKUP(K21,'CH assign'!A:B,2,0)</f>
        <v>#N/A</v>
      </c>
      <c r="M21" s="29" t="e">
        <f>VLOOKUP(L21,Etch_Length_From_Layout!A:B,2,0)</f>
        <v>#N/A</v>
      </c>
      <c r="N21" s="12" t="e">
        <f t="shared" si="1"/>
        <v>#N/A</v>
      </c>
      <c r="O21" s="13"/>
    </row>
    <row r="22" spans="2:15">
      <c r="B22" s="132" t="s">
        <v>302</v>
      </c>
      <c r="C22" s="24">
        <v>21</v>
      </c>
      <c r="D22" s="45" t="s">
        <v>47</v>
      </c>
      <c r="E22" s="102" t="s">
        <v>588</v>
      </c>
      <c r="F22" s="46">
        <f>VLOOKUP(E22,Etch_Length_From_Layout!A:B,2,0)</f>
        <v>1270.93</v>
      </c>
      <c r="G22" s="45" t="s">
        <v>605</v>
      </c>
      <c r="H22" s="46">
        <f>VLOOKUP(G22,Etch_Length_From_Layout!A:B,2,0)</f>
        <v>0</v>
      </c>
      <c r="I22" s="45" t="s">
        <v>606</v>
      </c>
      <c r="J22" s="46">
        <f>VLOOKUP(I22,Etch_Length_From_Layout!A:B,2,0)</f>
        <v>0</v>
      </c>
      <c r="K22" s="114" t="s">
        <v>607</v>
      </c>
      <c r="L22" s="49" t="e">
        <f>VLOOKUP(K22,'CH assign'!A:B,2,0)</f>
        <v>#N/A</v>
      </c>
      <c r="M22" s="25" t="e">
        <f>VLOOKUP(L22,Etch_Length_From_Layout!A:B,2,0)</f>
        <v>#N/A</v>
      </c>
      <c r="N22" s="26" t="e">
        <f>F22+H22+J22+M22</f>
        <v>#N/A</v>
      </c>
      <c r="O22" s="27" t="e">
        <f>IF(ABS(N22-N23)&lt;1,"PASS","FAIL")</f>
        <v>#N/A</v>
      </c>
    </row>
    <row r="23" spans="2:15" ht="16.5" thickBot="1">
      <c r="B23" s="133"/>
      <c r="C23" s="28">
        <v>20</v>
      </c>
      <c r="D23" s="44" t="s">
        <v>49</v>
      </c>
      <c r="E23" s="103" t="s">
        <v>590</v>
      </c>
      <c r="F23" s="48">
        <f>VLOOKUP(E23,Etch_Length_From_Layout!A:B,2,0)</f>
        <v>1261.97</v>
      </c>
      <c r="G23" s="44" t="s">
        <v>608</v>
      </c>
      <c r="H23" s="48">
        <f>VLOOKUP(G23,Etch_Length_From_Layout!A:B,2,0)</f>
        <v>0</v>
      </c>
      <c r="I23" s="44" t="s">
        <v>609</v>
      </c>
      <c r="J23" s="48">
        <f>VLOOKUP(I23,Etch_Length_From_Layout!A:B,2,0)</f>
        <v>0</v>
      </c>
      <c r="K23" s="115" t="s">
        <v>610</v>
      </c>
      <c r="L23" s="50" t="e">
        <f>VLOOKUP(K23,'CH assign'!A:B,2,0)</f>
        <v>#N/A</v>
      </c>
      <c r="M23" s="29" t="e">
        <f>VLOOKUP(L23,Etch_Length_From_Layout!A:B,2,0)</f>
        <v>#N/A</v>
      </c>
      <c r="N23" s="12" t="e">
        <f t="shared" ref="N23:N25" si="2">F23+H23+J23+M23</f>
        <v>#N/A</v>
      </c>
      <c r="O23" s="13"/>
    </row>
    <row r="24" spans="2:15">
      <c r="B24" s="132" t="s">
        <v>303</v>
      </c>
      <c r="C24" s="24">
        <v>21</v>
      </c>
      <c r="D24" s="45" t="s">
        <v>47</v>
      </c>
      <c r="E24" s="102" t="s">
        <v>592</v>
      </c>
      <c r="F24" s="46">
        <f>VLOOKUP(E24,Etch_Length_From_Layout!A:B,2,0)</f>
        <v>1270.93</v>
      </c>
      <c r="G24" s="45" t="s">
        <v>599</v>
      </c>
      <c r="H24" s="46">
        <f>VLOOKUP(G24,Etch_Length_From_Layout!A:B,2,0)</f>
        <v>0</v>
      </c>
      <c r="I24" s="45" t="s">
        <v>600</v>
      </c>
      <c r="J24" s="46">
        <f>VLOOKUP(I24,Etch_Length_From_Layout!A:B,2,0)</f>
        <v>0</v>
      </c>
      <c r="K24" s="114" t="s">
        <v>601</v>
      </c>
      <c r="L24" s="49" t="e">
        <f>VLOOKUP(K24,'CH assign'!A:B,2,0)</f>
        <v>#N/A</v>
      </c>
      <c r="M24" s="25" t="e">
        <f>VLOOKUP(L24,Etch_Length_From_Layout!A:B,2,0)</f>
        <v>#N/A</v>
      </c>
      <c r="N24" s="26" t="e">
        <f t="shared" si="2"/>
        <v>#N/A</v>
      </c>
      <c r="O24" s="27" t="e">
        <f>IF(ABS(N24-N25)&lt;1,"PASS","FAIL")</f>
        <v>#N/A</v>
      </c>
    </row>
    <row r="25" spans="2:15" ht="16.5" thickBot="1">
      <c r="B25" s="133"/>
      <c r="C25" s="28">
        <v>20</v>
      </c>
      <c r="D25" s="44" t="s">
        <v>49</v>
      </c>
      <c r="E25" s="103" t="s">
        <v>594</v>
      </c>
      <c r="F25" s="48">
        <f>VLOOKUP(E25,Etch_Length_From_Layout!A:B,2,0)</f>
        <v>1261.97</v>
      </c>
      <c r="G25" s="44" t="s">
        <v>602</v>
      </c>
      <c r="H25" s="48">
        <f>VLOOKUP(G25,Etch_Length_From_Layout!A:B,2,0)</f>
        <v>0</v>
      </c>
      <c r="I25" s="44" t="s">
        <v>603</v>
      </c>
      <c r="J25" s="48">
        <f>VLOOKUP(I25,Etch_Length_From_Layout!A:B,2,0)</f>
        <v>0</v>
      </c>
      <c r="K25" s="115" t="s">
        <v>604</v>
      </c>
      <c r="L25" s="50" t="e">
        <f>VLOOKUP(K25,'CH assign'!A:B,2,0)</f>
        <v>#N/A</v>
      </c>
      <c r="M25" s="29" t="e">
        <f>VLOOKUP(L25,Etch_Length_From_Layout!A:B,2,0)</f>
        <v>#N/A</v>
      </c>
      <c r="N25" s="12" t="e">
        <f t="shared" si="2"/>
        <v>#N/A</v>
      </c>
      <c r="O25" s="13"/>
    </row>
    <row r="26" spans="2:15">
      <c r="B26" s="30"/>
      <c r="C26" s="31"/>
      <c r="D26" s="31"/>
      <c r="E26" s="32"/>
      <c r="F26" s="34"/>
      <c r="G26" s="32"/>
      <c r="H26" s="34"/>
      <c r="I26" s="32"/>
      <c r="J26" s="34"/>
      <c r="K26" s="32"/>
      <c r="L26" s="32"/>
      <c r="M26" s="34" t="s">
        <v>0</v>
      </c>
      <c r="N26" s="33" t="e">
        <f>MAX(N18:N25)</f>
        <v>#N/A</v>
      </c>
      <c r="O26" s="14"/>
    </row>
    <row r="27" spans="2:15">
      <c r="B27" s="22"/>
      <c r="C27" s="16"/>
      <c r="D27" s="16"/>
      <c r="E27" s="20"/>
      <c r="F27" s="18"/>
      <c r="G27" s="20"/>
      <c r="H27" s="18"/>
      <c r="I27" s="20"/>
      <c r="J27" s="18"/>
      <c r="K27" s="20"/>
      <c r="L27" s="20"/>
      <c r="M27" s="18" t="s">
        <v>1</v>
      </c>
      <c r="N27" s="8" t="e">
        <f>MIN(N18:N25)</f>
        <v>#N/A</v>
      </c>
      <c r="O27" s="11"/>
    </row>
    <row r="28" spans="2:15">
      <c r="B28" s="22"/>
      <c r="C28" s="16"/>
      <c r="D28" s="16"/>
      <c r="E28" s="20"/>
      <c r="F28" s="18"/>
      <c r="G28" s="20"/>
      <c r="H28" s="18"/>
      <c r="I28" s="20"/>
      <c r="J28" s="18"/>
      <c r="K28" s="20"/>
      <c r="L28" s="20"/>
      <c r="M28" s="18" t="s">
        <v>2</v>
      </c>
      <c r="N28" s="8" t="e">
        <f>N26-N27</f>
        <v>#N/A</v>
      </c>
      <c r="O28" s="11"/>
    </row>
    <row r="29" spans="2:15" ht="16.5" thickBot="1">
      <c r="B29" s="23"/>
      <c r="C29" s="17"/>
      <c r="D29" s="17"/>
      <c r="E29" s="21"/>
      <c r="F29" s="19"/>
      <c r="G29" s="21"/>
      <c r="H29" s="19"/>
      <c r="I29" s="21"/>
      <c r="J29" s="19"/>
      <c r="K29" s="21"/>
      <c r="L29" s="21"/>
      <c r="M29" s="19" t="s">
        <v>3</v>
      </c>
      <c r="N29" s="9" t="e">
        <f>IF(N28&lt;=10,"PASS", "FAIL")</f>
        <v>#N/A</v>
      </c>
      <c r="O29" s="13"/>
    </row>
  </sheetData>
  <mergeCells count="11">
    <mergeCell ref="B22:B23"/>
    <mergeCell ref="B24:B25"/>
    <mergeCell ref="B20:B21"/>
    <mergeCell ref="B16:O16"/>
    <mergeCell ref="B1:K1"/>
    <mergeCell ref="A2:A4"/>
    <mergeCell ref="B3:B4"/>
    <mergeCell ref="B5:B6"/>
    <mergeCell ref="B18:B19"/>
    <mergeCell ref="B7:B8"/>
    <mergeCell ref="B9:B10"/>
  </mergeCells>
  <phoneticPr fontId="1" type="noConversion"/>
  <conditionalFormatting sqref="A1:XFD1048576">
    <cfRule type="containsText" dxfId="25" priority="5" operator="containsText" text="FAIL">
      <formula>NOT(ISERROR(SEARCH("FAIL",A1)))</formula>
    </cfRule>
    <cfRule type="containsText" dxfId="24" priority="6" operator="containsText" text="PASS">
      <formula>NOT(ISERROR(SEARCH("PASS",A1)))</formula>
    </cfRule>
  </conditionalFormatting>
  <conditionalFormatting sqref="J14">
    <cfRule type="containsText" dxfId="23" priority="3" operator="containsText" text="pass">
      <formula>NOT(ISERROR(SEARCH("pass",J14)))</formula>
    </cfRule>
    <cfRule type="containsText" dxfId="22" priority="4" operator="containsText" text="fail">
      <formula>NOT(ISERROR(SEARCH("fail",J14)))</formula>
    </cfRule>
  </conditionalFormatting>
  <conditionalFormatting sqref="N29">
    <cfRule type="containsText" dxfId="21" priority="1" operator="containsText" text="pass">
      <formula>NOT(ISERROR(SEARCH("pass",N29)))</formula>
    </cfRule>
    <cfRule type="containsText" dxfId="20" priority="2" operator="containsText" text="fail">
      <formula>NOT(ISERROR(SEARCH("fail",N29)))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zoomScaleNormal="100" workbookViewId="0">
      <pane ySplit="1" topLeftCell="A17" activePane="bottomLeft" state="frozen"/>
      <selection pane="bottomLeft" activeCell="Q7" sqref="Q6:Q7"/>
    </sheetView>
  </sheetViews>
  <sheetFormatPr defaultColWidth="9" defaultRowHeight="15.75"/>
  <cols>
    <col min="1" max="1" width="1.625" style="4" customWidth="1"/>
    <col min="2" max="2" width="5.875" style="4" bestFit="1" customWidth="1"/>
    <col min="3" max="3" width="11" style="4" bestFit="1" customWidth="1"/>
    <col min="4" max="4" width="9.625" style="4" bestFit="1" customWidth="1"/>
    <col min="5" max="5" width="13" style="4" bestFit="1" customWidth="1"/>
    <col min="6" max="6" width="13.875" style="4" bestFit="1" customWidth="1"/>
    <col min="7" max="7" width="14.125" style="4" bestFit="1" customWidth="1"/>
    <col min="8" max="8" width="13.875" style="4" bestFit="1" customWidth="1"/>
    <col min="9" max="9" width="15.25" style="4" bestFit="1" customWidth="1"/>
    <col min="10" max="10" width="13.875" style="4" bestFit="1" customWidth="1"/>
    <col min="11" max="11" width="16.375" style="4" bestFit="1" customWidth="1"/>
    <col min="12" max="12" width="13.875" style="4" bestFit="1" customWidth="1"/>
    <col min="13" max="13" width="17.375" style="4" bestFit="1" customWidth="1"/>
    <col min="14" max="14" width="8.375" style="4" bestFit="1" customWidth="1"/>
    <col min="15" max="16384" width="9" style="4"/>
  </cols>
  <sheetData>
    <row r="1" spans="1:13" ht="16.5" thickBot="1">
      <c r="B1" s="129" t="s">
        <v>655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1"/>
    </row>
    <row r="2" spans="1:13" s="5" customFormat="1" ht="16.5" thickBot="1">
      <c r="A2" s="3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109</v>
      </c>
      <c r="H2" s="39" t="s">
        <v>54</v>
      </c>
      <c r="I2" s="38" t="s">
        <v>110</v>
      </c>
      <c r="J2" s="39" t="s">
        <v>59</v>
      </c>
      <c r="K2" s="38" t="s">
        <v>111</v>
      </c>
      <c r="L2" s="39" t="s">
        <v>60</v>
      </c>
      <c r="M2" s="54" t="s">
        <v>12</v>
      </c>
    </row>
    <row r="3" spans="1:13">
      <c r="B3" s="132" t="s">
        <v>107</v>
      </c>
      <c r="C3" s="24">
        <v>43</v>
      </c>
      <c r="D3" s="45" t="s">
        <v>87</v>
      </c>
      <c r="E3" s="102" t="s">
        <v>86</v>
      </c>
      <c r="F3" s="46">
        <f>VLOOKUP(E3,Etch_Length_From_Layout!A:B,2,0)</f>
        <v>1018.74</v>
      </c>
      <c r="G3" s="102" t="s">
        <v>112</v>
      </c>
      <c r="H3" s="46">
        <f>VLOOKUP(G3,Etch_Length_From_Layout!A:B,2,0)</f>
        <v>0</v>
      </c>
      <c r="I3" s="102"/>
      <c r="J3" s="46"/>
      <c r="K3" s="102" t="s">
        <v>116</v>
      </c>
      <c r="L3" s="46">
        <f>VLOOKUP(K3,Etch_Length_From_Layout!A:B,2,0)</f>
        <v>0</v>
      </c>
      <c r="M3" s="27">
        <f t="shared" ref="M3:M10" si="0">F3+H3+J3+L3</f>
        <v>1018.74</v>
      </c>
    </row>
    <row r="4" spans="1:13">
      <c r="B4" s="120"/>
      <c r="C4" s="15">
        <v>42</v>
      </c>
      <c r="D4" s="43" t="s">
        <v>89</v>
      </c>
      <c r="E4" s="97" t="s">
        <v>88</v>
      </c>
      <c r="F4" s="47">
        <f>VLOOKUP(E4,Etch_Length_From_Layout!A:B,2,0)</f>
        <v>996.97</v>
      </c>
      <c r="G4" s="97" t="s">
        <v>113</v>
      </c>
      <c r="H4" s="47">
        <f>VLOOKUP(G4,Etch_Length_From_Layout!A:B,2,0)</f>
        <v>0</v>
      </c>
      <c r="I4" s="97"/>
      <c r="J4" s="47"/>
      <c r="K4" s="97" t="s">
        <v>117</v>
      </c>
      <c r="L4" s="47">
        <f>VLOOKUP(K4,Etch_Length_From_Layout!A:B,2,0)</f>
        <v>0</v>
      </c>
      <c r="M4" s="11">
        <f t="shared" si="0"/>
        <v>996.97</v>
      </c>
    </row>
    <row r="5" spans="1:13">
      <c r="B5" s="120"/>
      <c r="C5" s="15">
        <v>44</v>
      </c>
      <c r="D5" s="43" t="s">
        <v>91</v>
      </c>
      <c r="E5" s="97" t="s">
        <v>90</v>
      </c>
      <c r="F5" s="47">
        <f>VLOOKUP(E5,Etch_Length_From_Layout!A:B,2,0)</f>
        <v>1082.53</v>
      </c>
      <c r="G5" s="97" t="s">
        <v>114</v>
      </c>
      <c r="H5" s="47">
        <f>VLOOKUP(G5,Etch_Length_From_Layout!A:B,2,0)</f>
        <v>0</v>
      </c>
      <c r="I5" s="97" t="s">
        <v>118</v>
      </c>
      <c r="J5" s="47">
        <f>VLOOKUP(I5,Etch_Length_From_Layout!A:B,2,0)</f>
        <v>0</v>
      </c>
      <c r="K5" s="97" t="s">
        <v>120</v>
      </c>
      <c r="L5" s="47">
        <f>VLOOKUP(K5,Etch_Length_From_Layout!A:B,2,0)</f>
        <v>0</v>
      </c>
      <c r="M5" s="11">
        <f t="shared" si="0"/>
        <v>1082.53</v>
      </c>
    </row>
    <row r="6" spans="1:13" ht="16.5" thickBot="1">
      <c r="B6" s="133"/>
      <c r="C6" s="28">
        <v>41</v>
      </c>
      <c r="D6" s="44" t="s">
        <v>93</v>
      </c>
      <c r="E6" s="103" t="s">
        <v>92</v>
      </c>
      <c r="F6" s="48">
        <f>VLOOKUP(E6,Etch_Length_From_Layout!A:B,2,0)</f>
        <v>1145.3699999999999</v>
      </c>
      <c r="G6" s="103" t="s">
        <v>115</v>
      </c>
      <c r="H6" s="48">
        <f>VLOOKUP(G6,Etch_Length_From_Layout!A:B,2,0)</f>
        <v>0</v>
      </c>
      <c r="I6" s="103" t="s">
        <v>119</v>
      </c>
      <c r="J6" s="48">
        <f>VLOOKUP(I6,Etch_Length_From_Layout!A:B,2,0)</f>
        <v>0</v>
      </c>
      <c r="K6" s="103" t="s">
        <v>121</v>
      </c>
      <c r="L6" s="48">
        <f>VLOOKUP(K6,Etch_Length_From_Layout!A:B,2,0)</f>
        <v>0</v>
      </c>
      <c r="M6" s="13">
        <f t="shared" si="0"/>
        <v>1145.3699999999999</v>
      </c>
    </row>
    <row r="7" spans="1:13">
      <c r="B7" s="132" t="s">
        <v>108</v>
      </c>
      <c r="C7" s="24">
        <v>43</v>
      </c>
      <c r="D7" s="45" t="s">
        <v>87</v>
      </c>
      <c r="E7" s="102" t="s">
        <v>103</v>
      </c>
      <c r="F7" s="46">
        <f>VLOOKUP(E7,Etch_Length_From_Layout!A:B,2,0)</f>
        <v>1018.74</v>
      </c>
      <c r="G7" s="102" t="s">
        <v>122</v>
      </c>
      <c r="H7" s="46">
        <f>VLOOKUP(G7,Etch_Length_From_Layout!A:B,2,0)</f>
        <v>0</v>
      </c>
      <c r="I7" s="102"/>
      <c r="J7" s="46"/>
      <c r="K7" s="102" t="s">
        <v>123</v>
      </c>
      <c r="L7" s="46">
        <f>VLOOKUP(K7,Etch_Length_From_Layout!A:B,2,0)</f>
        <v>0</v>
      </c>
      <c r="M7" s="27">
        <f t="shared" si="0"/>
        <v>1018.74</v>
      </c>
    </row>
    <row r="8" spans="1:13">
      <c r="B8" s="120"/>
      <c r="C8" s="15">
        <v>42</v>
      </c>
      <c r="D8" s="43" t="s">
        <v>89</v>
      </c>
      <c r="E8" s="97" t="s">
        <v>104</v>
      </c>
      <c r="F8" s="47">
        <f>VLOOKUP(E8,Etch_Length_From_Layout!A:B,2,0)</f>
        <v>996.97</v>
      </c>
      <c r="G8" s="97" t="s">
        <v>124</v>
      </c>
      <c r="H8" s="47">
        <f>VLOOKUP(G8,Etch_Length_From_Layout!A:B,2,0)</f>
        <v>0</v>
      </c>
      <c r="I8" s="97"/>
      <c r="J8" s="47"/>
      <c r="K8" s="97" t="s">
        <v>125</v>
      </c>
      <c r="L8" s="47">
        <f>VLOOKUP(K8,Etch_Length_From_Layout!A:B,2,0)</f>
        <v>0</v>
      </c>
      <c r="M8" s="11">
        <f t="shared" si="0"/>
        <v>996.97</v>
      </c>
    </row>
    <row r="9" spans="1:13">
      <c r="B9" s="120"/>
      <c r="C9" s="15">
        <v>44</v>
      </c>
      <c r="D9" s="43" t="s">
        <v>91</v>
      </c>
      <c r="E9" s="97" t="s">
        <v>105</v>
      </c>
      <c r="F9" s="47">
        <f>VLOOKUP(E9,Etch_Length_From_Layout!A:B,2,0)</f>
        <v>1344.39</v>
      </c>
      <c r="G9" s="97" t="s">
        <v>126</v>
      </c>
      <c r="H9" s="47">
        <f>VLOOKUP(G9,Etch_Length_From_Layout!A:B,2,0)</f>
        <v>0</v>
      </c>
      <c r="I9" s="97" t="s">
        <v>127</v>
      </c>
      <c r="J9" s="47">
        <f>VLOOKUP(I9,Etch_Length_From_Layout!A:B,2,0)</f>
        <v>0</v>
      </c>
      <c r="K9" s="97" t="s">
        <v>128</v>
      </c>
      <c r="L9" s="47">
        <f>VLOOKUP(K9,Etch_Length_From_Layout!A:B,2,0)</f>
        <v>0</v>
      </c>
      <c r="M9" s="11">
        <f t="shared" si="0"/>
        <v>1344.39</v>
      </c>
    </row>
    <row r="10" spans="1:13" ht="16.5" thickBot="1">
      <c r="B10" s="133"/>
      <c r="C10" s="28">
        <v>41</v>
      </c>
      <c r="D10" s="44" t="s">
        <v>93</v>
      </c>
      <c r="E10" s="103" t="s">
        <v>106</v>
      </c>
      <c r="F10" s="48">
        <f>VLOOKUP(E10,Etch_Length_From_Layout!A:B,2,0)</f>
        <v>1455.19</v>
      </c>
      <c r="G10" s="103" t="s">
        <v>129</v>
      </c>
      <c r="H10" s="48">
        <f>VLOOKUP(G10,Etch_Length_From_Layout!A:B,2,0)</f>
        <v>0</v>
      </c>
      <c r="I10" s="103" t="s">
        <v>130</v>
      </c>
      <c r="J10" s="48">
        <f>VLOOKUP(I10,Etch_Length_From_Layout!A:B,2,0)</f>
        <v>0</v>
      </c>
      <c r="K10" s="103" t="s">
        <v>131</v>
      </c>
      <c r="L10" s="48">
        <f>VLOOKUP(K10,Etch_Length_From_Layout!A:B,2,0)</f>
        <v>0</v>
      </c>
      <c r="M10" s="13">
        <f t="shared" si="0"/>
        <v>1455.19</v>
      </c>
    </row>
    <row r="11" spans="1:13">
      <c r="B11" s="132" t="s">
        <v>613</v>
      </c>
      <c r="C11" s="24">
        <v>43</v>
      </c>
      <c r="D11" s="45" t="s">
        <v>87</v>
      </c>
      <c r="E11" s="102" t="s">
        <v>615</v>
      </c>
      <c r="F11" s="46">
        <f>VLOOKUP(E11,Etch_Length_From_Layout!A:B,2,0)</f>
        <v>1018.74</v>
      </c>
      <c r="G11" s="102" t="s">
        <v>616</v>
      </c>
      <c r="H11" s="46">
        <f>VLOOKUP(G11,Etch_Length_From_Layout!A:B,2,0)</f>
        <v>0</v>
      </c>
      <c r="I11" s="102"/>
      <c r="J11" s="46"/>
      <c r="K11" s="102" t="s">
        <v>617</v>
      </c>
      <c r="L11" s="46">
        <f>VLOOKUP(K11,Etch_Length_From_Layout!A:B,2,0)</f>
        <v>0</v>
      </c>
      <c r="M11" s="27">
        <f t="shared" ref="M11:M18" si="1">F11+H11+J11+L11</f>
        <v>1018.74</v>
      </c>
    </row>
    <row r="12" spans="1:13">
      <c r="B12" s="120"/>
      <c r="C12" s="15">
        <v>42</v>
      </c>
      <c r="D12" s="43" t="s">
        <v>89</v>
      </c>
      <c r="E12" s="97" t="s">
        <v>618</v>
      </c>
      <c r="F12" s="47">
        <f>VLOOKUP(E12,Etch_Length_From_Layout!A:B,2,0)</f>
        <v>996.97</v>
      </c>
      <c r="G12" s="97" t="s">
        <v>619</v>
      </c>
      <c r="H12" s="47">
        <f>VLOOKUP(G12,Etch_Length_From_Layout!A:B,2,0)</f>
        <v>0</v>
      </c>
      <c r="I12" s="97"/>
      <c r="J12" s="47"/>
      <c r="K12" s="97" t="s">
        <v>620</v>
      </c>
      <c r="L12" s="47">
        <f>VLOOKUP(K12,Etch_Length_From_Layout!A:B,2,0)</f>
        <v>0</v>
      </c>
      <c r="M12" s="11">
        <f t="shared" si="1"/>
        <v>996.97</v>
      </c>
    </row>
    <row r="13" spans="1:13">
      <c r="B13" s="120"/>
      <c r="C13" s="15">
        <v>44</v>
      </c>
      <c r="D13" s="43" t="s">
        <v>91</v>
      </c>
      <c r="E13" s="97" t="s">
        <v>621</v>
      </c>
      <c r="F13" s="47">
        <f>VLOOKUP(E13,Etch_Length_From_Layout!A:B,2,0)</f>
        <v>1344.39</v>
      </c>
      <c r="G13" s="97" t="s">
        <v>622</v>
      </c>
      <c r="H13" s="47">
        <f>VLOOKUP(G13,Etch_Length_From_Layout!A:B,2,0)</f>
        <v>0</v>
      </c>
      <c r="I13" s="97" t="s">
        <v>623</v>
      </c>
      <c r="J13" s="47">
        <f>VLOOKUP(I13,Etch_Length_From_Layout!A:B,2,0)</f>
        <v>0</v>
      </c>
      <c r="K13" s="97" t="s">
        <v>624</v>
      </c>
      <c r="L13" s="47">
        <f>VLOOKUP(K13,Etch_Length_From_Layout!A:B,2,0)</f>
        <v>0</v>
      </c>
      <c r="M13" s="11">
        <f t="shared" si="1"/>
        <v>1344.39</v>
      </c>
    </row>
    <row r="14" spans="1:13" ht="16.5" thickBot="1">
      <c r="B14" s="133"/>
      <c r="C14" s="28">
        <v>41</v>
      </c>
      <c r="D14" s="44" t="s">
        <v>93</v>
      </c>
      <c r="E14" s="103" t="s">
        <v>625</v>
      </c>
      <c r="F14" s="48">
        <f>VLOOKUP(E14,Etch_Length_From_Layout!A:B,2,0)</f>
        <v>1455.19</v>
      </c>
      <c r="G14" s="103" t="s">
        <v>626</v>
      </c>
      <c r="H14" s="48">
        <f>VLOOKUP(G14,Etch_Length_From_Layout!A:B,2,0)</f>
        <v>0</v>
      </c>
      <c r="I14" s="103" t="s">
        <v>627</v>
      </c>
      <c r="J14" s="48">
        <f>VLOOKUP(I14,Etch_Length_From_Layout!A:B,2,0)</f>
        <v>0</v>
      </c>
      <c r="K14" s="103" t="s">
        <v>628</v>
      </c>
      <c r="L14" s="48">
        <f>VLOOKUP(K14,Etch_Length_From_Layout!A:B,2,0)</f>
        <v>0</v>
      </c>
      <c r="M14" s="13">
        <f t="shared" si="1"/>
        <v>1455.19</v>
      </c>
    </row>
    <row r="15" spans="1:13">
      <c r="B15" s="132" t="s">
        <v>614</v>
      </c>
      <c r="C15" s="24">
        <v>43</v>
      </c>
      <c r="D15" s="45" t="s">
        <v>87</v>
      </c>
      <c r="E15" s="102" t="s">
        <v>629</v>
      </c>
      <c r="F15" s="46">
        <f>VLOOKUP(E15,Etch_Length_From_Layout!A:B,2,0)</f>
        <v>1018.74</v>
      </c>
      <c r="G15" s="102" t="s">
        <v>630</v>
      </c>
      <c r="H15" s="46">
        <f>VLOOKUP(G15,Etch_Length_From_Layout!A:B,2,0)</f>
        <v>0</v>
      </c>
      <c r="I15" s="102"/>
      <c r="J15" s="46"/>
      <c r="K15" s="102" t="s">
        <v>631</v>
      </c>
      <c r="L15" s="46">
        <f>VLOOKUP(K15,Etch_Length_From_Layout!A:B,2,0)</f>
        <v>0</v>
      </c>
      <c r="M15" s="27">
        <f t="shared" si="1"/>
        <v>1018.74</v>
      </c>
    </row>
    <row r="16" spans="1:13">
      <c r="B16" s="120"/>
      <c r="C16" s="15">
        <v>42</v>
      </c>
      <c r="D16" s="43" t="s">
        <v>89</v>
      </c>
      <c r="E16" s="97" t="s">
        <v>632</v>
      </c>
      <c r="F16" s="47">
        <f>VLOOKUP(E16,Etch_Length_From_Layout!A:B,2,0)</f>
        <v>996.97</v>
      </c>
      <c r="G16" s="97" t="s">
        <v>633</v>
      </c>
      <c r="H16" s="47">
        <f>VLOOKUP(G16,Etch_Length_From_Layout!A:B,2,0)</f>
        <v>0</v>
      </c>
      <c r="I16" s="97"/>
      <c r="J16" s="47"/>
      <c r="K16" s="97" t="s">
        <v>634</v>
      </c>
      <c r="L16" s="47">
        <f>VLOOKUP(K16,Etch_Length_From_Layout!A:B,2,0)</f>
        <v>0</v>
      </c>
      <c r="M16" s="11">
        <f t="shared" si="1"/>
        <v>996.97</v>
      </c>
    </row>
    <row r="17" spans="2:13">
      <c r="B17" s="120"/>
      <c r="C17" s="15">
        <v>44</v>
      </c>
      <c r="D17" s="43" t="s">
        <v>91</v>
      </c>
      <c r="E17" s="97" t="s">
        <v>635</v>
      </c>
      <c r="F17" s="47">
        <f>VLOOKUP(E17,Etch_Length_From_Layout!A:B,2,0)</f>
        <v>147.47999999999999</v>
      </c>
      <c r="G17" s="97" t="s">
        <v>636</v>
      </c>
      <c r="H17" s="47">
        <f>VLOOKUP(G17,Etch_Length_From_Layout!A:B,2,0)</f>
        <v>0</v>
      </c>
      <c r="I17" s="97" t="s">
        <v>637</v>
      </c>
      <c r="J17" s="47">
        <f>VLOOKUP(I17,Etch_Length_From_Layout!A:B,2,0)</f>
        <v>0</v>
      </c>
      <c r="K17" s="97" t="s">
        <v>638</v>
      </c>
      <c r="L17" s="47">
        <f>VLOOKUP(K17,Etch_Length_From_Layout!A:B,2,0)</f>
        <v>0</v>
      </c>
      <c r="M17" s="11">
        <f t="shared" si="1"/>
        <v>147.47999999999999</v>
      </c>
    </row>
    <row r="18" spans="2:13" ht="16.5" thickBot="1">
      <c r="B18" s="133"/>
      <c r="C18" s="28">
        <v>41</v>
      </c>
      <c r="D18" s="44" t="s">
        <v>93</v>
      </c>
      <c r="E18" s="103" t="s">
        <v>639</v>
      </c>
      <c r="F18" s="48">
        <f>VLOOKUP(E18,Etch_Length_From_Layout!A:B,2,0)</f>
        <v>1455.19</v>
      </c>
      <c r="G18" s="103" t="s">
        <v>640</v>
      </c>
      <c r="H18" s="48">
        <f>VLOOKUP(G18,Etch_Length_From_Layout!A:B,2,0)</f>
        <v>0</v>
      </c>
      <c r="I18" s="103" t="s">
        <v>641</v>
      </c>
      <c r="J18" s="48">
        <f>VLOOKUP(I18,Etch_Length_From_Layout!A:B,2,0)</f>
        <v>0</v>
      </c>
      <c r="K18" s="103" t="s">
        <v>642</v>
      </c>
      <c r="L18" s="48">
        <f>VLOOKUP(K18,Etch_Length_From_Layout!A:B,2,0)</f>
        <v>0</v>
      </c>
      <c r="M18" s="13">
        <f t="shared" si="1"/>
        <v>1455.19</v>
      </c>
    </row>
    <row r="19" spans="2:13">
      <c r="B19" s="30"/>
      <c r="C19" s="31"/>
      <c r="D19" s="31"/>
      <c r="E19" s="32"/>
      <c r="F19" s="34"/>
      <c r="G19" s="32"/>
      <c r="H19" s="34"/>
      <c r="I19" s="32"/>
      <c r="J19" s="34"/>
      <c r="K19" s="32"/>
      <c r="L19" s="34" t="s">
        <v>0</v>
      </c>
      <c r="M19" s="55">
        <f>MAX(M3:M18)</f>
        <v>1455.19</v>
      </c>
    </row>
    <row r="20" spans="2:13">
      <c r="B20" s="22"/>
      <c r="C20" s="16"/>
      <c r="D20" s="16"/>
      <c r="E20" s="20"/>
      <c r="F20" s="18"/>
      <c r="G20" s="20"/>
      <c r="H20" s="18"/>
      <c r="I20" s="20"/>
      <c r="J20" s="18"/>
      <c r="K20" s="20"/>
      <c r="L20" s="18" t="s">
        <v>1</v>
      </c>
      <c r="M20" s="52">
        <f>MIN(M3:M18)</f>
        <v>147.47999999999999</v>
      </c>
    </row>
    <row r="21" spans="2:13">
      <c r="B21" s="22"/>
      <c r="C21" s="16"/>
      <c r="D21" s="16"/>
      <c r="E21" s="20"/>
      <c r="F21" s="18"/>
      <c r="G21" s="20"/>
      <c r="H21" s="18"/>
      <c r="I21" s="20"/>
      <c r="J21" s="18"/>
      <c r="K21" s="20"/>
      <c r="L21" s="18" t="s">
        <v>2</v>
      </c>
      <c r="M21" s="52">
        <f>M19-M20</f>
        <v>1307.71</v>
      </c>
    </row>
    <row r="22" spans="2:13">
      <c r="B22" s="22"/>
      <c r="C22" s="16"/>
      <c r="D22" s="16"/>
      <c r="E22" s="20"/>
      <c r="F22" s="18"/>
      <c r="G22" s="20"/>
      <c r="H22" s="18"/>
      <c r="I22" s="20"/>
      <c r="J22" s="18"/>
      <c r="K22" s="20"/>
      <c r="L22" s="18" t="s">
        <v>3</v>
      </c>
      <c r="M22" s="52" t="str">
        <f>IF(M21&lt;=1,"PASS", "FAIL")</f>
        <v>FAIL</v>
      </c>
    </row>
    <row r="23" spans="2:13" ht="16.5" thickBot="1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/>
    </row>
    <row r="24" spans="2:13" ht="16.5" thickBot="1">
      <c r="B24" s="129" t="s">
        <v>656</v>
      </c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1"/>
    </row>
    <row r="25" spans="2:13" ht="16.5" thickBot="1">
      <c r="B25" s="36" t="s">
        <v>10</v>
      </c>
      <c r="C25" s="37" t="s">
        <v>8</v>
      </c>
      <c r="D25" s="38" t="s">
        <v>9</v>
      </c>
      <c r="E25" s="38" t="s">
        <v>55</v>
      </c>
      <c r="F25" s="39" t="s">
        <v>52</v>
      </c>
      <c r="G25" s="38" t="s">
        <v>109</v>
      </c>
      <c r="H25" s="39" t="s">
        <v>54</v>
      </c>
      <c r="I25" s="38" t="s">
        <v>110</v>
      </c>
      <c r="J25" s="39" t="s">
        <v>59</v>
      </c>
      <c r="K25" s="38" t="s">
        <v>144</v>
      </c>
      <c r="L25" s="39" t="s">
        <v>60</v>
      </c>
      <c r="M25" s="54" t="s">
        <v>12</v>
      </c>
    </row>
    <row r="26" spans="2:13">
      <c r="B26" s="132" t="s">
        <v>107</v>
      </c>
      <c r="C26" s="24">
        <v>43</v>
      </c>
      <c r="D26" s="45" t="s">
        <v>87</v>
      </c>
      <c r="E26" s="102" t="s">
        <v>86</v>
      </c>
      <c r="F26" s="46">
        <f>VLOOKUP(E26,Etch_Length_From_Layout!A:B,2,0)</f>
        <v>1018.74</v>
      </c>
      <c r="G26" s="102" t="s">
        <v>112</v>
      </c>
      <c r="H26" s="46">
        <f>VLOOKUP(G26,Etch_Length_From_Layout!A:B,2,0)</f>
        <v>0</v>
      </c>
      <c r="I26" s="45"/>
      <c r="J26" s="46"/>
      <c r="K26" s="102" t="s">
        <v>136</v>
      </c>
      <c r="L26" s="46">
        <f>VLOOKUP(K26,Etch_Length_From_Layout!A:B,2,0)</f>
        <v>0</v>
      </c>
      <c r="M26" s="27">
        <f t="shared" ref="M26:M33" si="2">F26+H26+J26+L26</f>
        <v>1018.74</v>
      </c>
    </row>
    <row r="27" spans="2:13">
      <c r="B27" s="120"/>
      <c r="C27" s="15">
        <v>42</v>
      </c>
      <c r="D27" s="43" t="s">
        <v>89</v>
      </c>
      <c r="E27" s="97" t="s">
        <v>88</v>
      </c>
      <c r="F27" s="47">
        <f>VLOOKUP(E27,Etch_Length_From_Layout!A:B,2,0)</f>
        <v>996.97</v>
      </c>
      <c r="G27" s="97" t="s">
        <v>113</v>
      </c>
      <c r="H27" s="47">
        <f>VLOOKUP(G27,Etch_Length_From_Layout!A:B,2,0)</f>
        <v>0</v>
      </c>
      <c r="I27" s="43"/>
      <c r="J27" s="47"/>
      <c r="K27" s="97" t="s">
        <v>137</v>
      </c>
      <c r="L27" s="47">
        <f>VLOOKUP(K27,Etch_Length_From_Layout!A:B,2,0)</f>
        <v>0</v>
      </c>
      <c r="M27" s="11">
        <f t="shared" si="2"/>
        <v>996.97</v>
      </c>
    </row>
    <row r="28" spans="2:13">
      <c r="B28" s="120"/>
      <c r="C28" s="15">
        <v>44</v>
      </c>
      <c r="D28" s="43" t="s">
        <v>91</v>
      </c>
      <c r="E28" s="97" t="s">
        <v>90</v>
      </c>
      <c r="F28" s="47">
        <f>VLOOKUP(E28,Etch_Length_From_Layout!A:B,2,0)</f>
        <v>1082.53</v>
      </c>
      <c r="G28" s="97" t="s">
        <v>114</v>
      </c>
      <c r="H28" s="47">
        <f>VLOOKUP(G28,Etch_Length_From_Layout!A:B,2,0)</f>
        <v>0</v>
      </c>
      <c r="I28" s="97" t="s">
        <v>132</v>
      </c>
      <c r="J28" s="47">
        <f>VLOOKUP(I28,Etch_Length_From_Layout!A:B,2,0)</f>
        <v>0</v>
      </c>
      <c r="K28" s="97" t="s">
        <v>140</v>
      </c>
      <c r="L28" s="47">
        <f>VLOOKUP(K28,Etch_Length_From_Layout!A:B,2,0)</f>
        <v>0</v>
      </c>
      <c r="M28" s="11">
        <f t="shared" si="2"/>
        <v>1082.53</v>
      </c>
    </row>
    <row r="29" spans="2:13" ht="16.5" thickBot="1">
      <c r="B29" s="133"/>
      <c r="C29" s="28">
        <v>41</v>
      </c>
      <c r="D29" s="44" t="s">
        <v>93</v>
      </c>
      <c r="E29" s="103" t="s">
        <v>92</v>
      </c>
      <c r="F29" s="48">
        <f>VLOOKUP(E29,Etch_Length_From_Layout!A:B,2,0)</f>
        <v>1145.3699999999999</v>
      </c>
      <c r="G29" s="103" t="s">
        <v>115</v>
      </c>
      <c r="H29" s="48">
        <f>VLOOKUP(G29,Etch_Length_From_Layout!A:B,2,0)</f>
        <v>0</v>
      </c>
      <c r="I29" s="103" t="s">
        <v>133</v>
      </c>
      <c r="J29" s="48">
        <f>VLOOKUP(I29,Etch_Length_From_Layout!A:B,2,0)</f>
        <v>0</v>
      </c>
      <c r="K29" s="103" t="s">
        <v>141</v>
      </c>
      <c r="L29" s="48">
        <f>VLOOKUP(K29,Etch_Length_From_Layout!A:B,2,0)</f>
        <v>0</v>
      </c>
      <c r="M29" s="13">
        <f t="shared" si="2"/>
        <v>1145.3699999999999</v>
      </c>
    </row>
    <row r="30" spans="2:13">
      <c r="B30" s="132" t="s">
        <v>108</v>
      </c>
      <c r="C30" s="24">
        <v>43</v>
      </c>
      <c r="D30" s="45" t="s">
        <v>87</v>
      </c>
      <c r="E30" s="102" t="s">
        <v>103</v>
      </c>
      <c r="F30" s="46">
        <f>VLOOKUP(E30,Etch_Length_From_Layout!A:B,2,0)</f>
        <v>1018.74</v>
      </c>
      <c r="G30" s="102" t="s">
        <v>122</v>
      </c>
      <c r="H30" s="46">
        <f>VLOOKUP(G30,Etch_Length_From_Layout!A:B,2,0)</f>
        <v>0</v>
      </c>
      <c r="I30" s="102"/>
      <c r="J30" s="46"/>
      <c r="K30" s="102" t="s">
        <v>138</v>
      </c>
      <c r="L30" s="46">
        <f>VLOOKUP(K30,Etch_Length_From_Layout!A:B,2,0)</f>
        <v>0</v>
      </c>
      <c r="M30" s="27">
        <f t="shared" si="2"/>
        <v>1018.74</v>
      </c>
    </row>
    <row r="31" spans="2:13">
      <c r="B31" s="120"/>
      <c r="C31" s="15">
        <v>42</v>
      </c>
      <c r="D31" s="43" t="s">
        <v>89</v>
      </c>
      <c r="E31" s="97" t="s">
        <v>104</v>
      </c>
      <c r="F31" s="47">
        <f>VLOOKUP(E31,Etch_Length_From_Layout!A:B,2,0)</f>
        <v>996.97</v>
      </c>
      <c r="G31" s="97" t="s">
        <v>124</v>
      </c>
      <c r="H31" s="47">
        <f>VLOOKUP(G31,Etch_Length_From_Layout!A:B,2,0)</f>
        <v>0</v>
      </c>
      <c r="I31" s="97"/>
      <c r="J31" s="47"/>
      <c r="K31" s="97" t="s">
        <v>139</v>
      </c>
      <c r="L31" s="47">
        <f>VLOOKUP(K31,Etch_Length_From_Layout!A:B,2,0)</f>
        <v>0</v>
      </c>
      <c r="M31" s="11">
        <f t="shared" si="2"/>
        <v>996.97</v>
      </c>
    </row>
    <row r="32" spans="2:13">
      <c r="B32" s="120"/>
      <c r="C32" s="15">
        <v>44</v>
      </c>
      <c r="D32" s="43" t="s">
        <v>91</v>
      </c>
      <c r="E32" s="97" t="s">
        <v>105</v>
      </c>
      <c r="F32" s="47">
        <f>VLOOKUP(E32,Etch_Length_From_Layout!A:B,2,0)</f>
        <v>1344.39</v>
      </c>
      <c r="G32" s="97" t="s">
        <v>126</v>
      </c>
      <c r="H32" s="47">
        <f>VLOOKUP(G32,Etch_Length_From_Layout!A:B,2,0)</f>
        <v>0</v>
      </c>
      <c r="I32" s="97" t="s">
        <v>134</v>
      </c>
      <c r="J32" s="47">
        <f>VLOOKUP(I32,Etch_Length_From_Layout!A:B,2,0)</f>
        <v>0</v>
      </c>
      <c r="K32" s="97" t="s">
        <v>142</v>
      </c>
      <c r="L32" s="47">
        <f>VLOOKUP(K32,Etch_Length_From_Layout!A:B,2,0)</f>
        <v>0</v>
      </c>
      <c r="M32" s="11">
        <f t="shared" si="2"/>
        <v>1344.39</v>
      </c>
    </row>
    <row r="33" spans="2:13" ht="16.5" thickBot="1">
      <c r="B33" s="133"/>
      <c r="C33" s="28">
        <v>41</v>
      </c>
      <c r="D33" s="44" t="s">
        <v>93</v>
      </c>
      <c r="E33" s="103" t="s">
        <v>106</v>
      </c>
      <c r="F33" s="48">
        <f>VLOOKUP(E33,Etch_Length_From_Layout!A:B,2,0)</f>
        <v>1455.19</v>
      </c>
      <c r="G33" s="103" t="s">
        <v>129</v>
      </c>
      <c r="H33" s="48">
        <f>VLOOKUP(G33,Etch_Length_From_Layout!A:B,2,0)</f>
        <v>0</v>
      </c>
      <c r="I33" s="103" t="s">
        <v>135</v>
      </c>
      <c r="J33" s="48">
        <f>VLOOKUP(I33,Etch_Length_From_Layout!A:B,2,0)</f>
        <v>0</v>
      </c>
      <c r="K33" s="103" t="s">
        <v>143</v>
      </c>
      <c r="L33" s="48">
        <f>VLOOKUP(K33,Etch_Length_From_Layout!A:B,2,0)</f>
        <v>0</v>
      </c>
      <c r="M33" s="13">
        <f t="shared" si="2"/>
        <v>1455.19</v>
      </c>
    </row>
    <row r="34" spans="2:13">
      <c r="B34" s="132" t="s">
        <v>613</v>
      </c>
      <c r="C34" s="24">
        <v>43</v>
      </c>
      <c r="D34" s="45" t="s">
        <v>87</v>
      </c>
      <c r="E34" s="102" t="s">
        <v>615</v>
      </c>
      <c r="F34" s="46">
        <f>VLOOKUP(E34,Etch_Length_From_Layout!A:B,2,0)</f>
        <v>1018.74</v>
      </c>
      <c r="G34" s="102" t="s">
        <v>616</v>
      </c>
      <c r="H34" s="46">
        <f>VLOOKUP(G34,Etch_Length_From_Layout!A:B,2,0)</f>
        <v>0</v>
      </c>
      <c r="I34" s="102"/>
      <c r="J34" s="46"/>
      <c r="K34" s="102" t="s">
        <v>649</v>
      </c>
      <c r="L34" s="46">
        <f>VLOOKUP(K34,Etch_Length_From_Layout!A:B,2,0)</f>
        <v>0</v>
      </c>
      <c r="M34" s="27">
        <f t="shared" ref="M34:M41" si="3">F34+H34+J34+L34</f>
        <v>1018.74</v>
      </c>
    </row>
    <row r="35" spans="2:13">
      <c r="B35" s="120"/>
      <c r="C35" s="15">
        <v>42</v>
      </c>
      <c r="D35" s="43" t="s">
        <v>89</v>
      </c>
      <c r="E35" s="97" t="s">
        <v>618</v>
      </c>
      <c r="F35" s="47">
        <f>VLOOKUP(E35,Etch_Length_From_Layout!A:B,2,0)</f>
        <v>996.97</v>
      </c>
      <c r="G35" s="97" t="s">
        <v>619</v>
      </c>
      <c r="H35" s="47">
        <f>VLOOKUP(G35,Etch_Length_From_Layout!A:B,2,0)</f>
        <v>0</v>
      </c>
      <c r="I35" s="97"/>
      <c r="J35" s="47"/>
      <c r="K35" s="97" t="s">
        <v>650</v>
      </c>
      <c r="L35" s="47">
        <f>VLOOKUP(K35,Etch_Length_From_Layout!A:B,2,0)</f>
        <v>0</v>
      </c>
      <c r="M35" s="11">
        <f t="shared" si="3"/>
        <v>996.97</v>
      </c>
    </row>
    <row r="36" spans="2:13">
      <c r="B36" s="120"/>
      <c r="C36" s="15">
        <v>44</v>
      </c>
      <c r="D36" s="43" t="s">
        <v>91</v>
      </c>
      <c r="E36" s="97" t="s">
        <v>621</v>
      </c>
      <c r="F36" s="47">
        <f>VLOOKUP(E36,Etch_Length_From_Layout!A:B,2,0)</f>
        <v>1344.39</v>
      </c>
      <c r="G36" s="97" t="s">
        <v>622</v>
      </c>
      <c r="H36" s="47">
        <f>VLOOKUP(G36,Etch_Length_From_Layout!A:B,2,0)</f>
        <v>0</v>
      </c>
      <c r="I36" s="97" t="s">
        <v>651</v>
      </c>
      <c r="J36" s="47">
        <f>VLOOKUP(I36,Etch_Length_From_Layout!A:B,2,0)</f>
        <v>0</v>
      </c>
      <c r="K36" s="97" t="s">
        <v>652</v>
      </c>
      <c r="L36" s="47">
        <f>VLOOKUP(K36,Etch_Length_From_Layout!A:B,2,0)</f>
        <v>0</v>
      </c>
      <c r="M36" s="11">
        <f t="shared" si="3"/>
        <v>1344.39</v>
      </c>
    </row>
    <row r="37" spans="2:13" ht="16.5" thickBot="1">
      <c r="B37" s="133"/>
      <c r="C37" s="28">
        <v>41</v>
      </c>
      <c r="D37" s="44" t="s">
        <v>93</v>
      </c>
      <c r="E37" s="103" t="s">
        <v>625</v>
      </c>
      <c r="F37" s="48">
        <f>VLOOKUP(E37,Etch_Length_From_Layout!A:B,2,0)</f>
        <v>1455.19</v>
      </c>
      <c r="G37" s="103" t="s">
        <v>626</v>
      </c>
      <c r="H37" s="48">
        <f>VLOOKUP(G37,Etch_Length_From_Layout!A:B,2,0)</f>
        <v>0</v>
      </c>
      <c r="I37" s="103" t="s">
        <v>653</v>
      </c>
      <c r="J37" s="48">
        <f>VLOOKUP(I37,Etch_Length_From_Layout!A:B,2,0)</f>
        <v>0</v>
      </c>
      <c r="K37" s="103" t="s">
        <v>654</v>
      </c>
      <c r="L37" s="48">
        <f>VLOOKUP(K37,Etch_Length_From_Layout!A:B,2,0)</f>
        <v>0</v>
      </c>
      <c r="M37" s="13">
        <f t="shared" si="3"/>
        <v>1455.19</v>
      </c>
    </row>
    <row r="38" spans="2:13">
      <c r="B38" s="132" t="s">
        <v>614</v>
      </c>
      <c r="C38" s="24">
        <v>43</v>
      </c>
      <c r="D38" s="45" t="s">
        <v>87</v>
      </c>
      <c r="E38" s="102" t="s">
        <v>629</v>
      </c>
      <c r="F38" s="46">
        <f>VLOOKUP(E38,Etch_Length_From_Layout!A:B,2,0)</f>
        <v>1018.74</v>
      </c>
      <c r="G38" s="102" t="s">
        <v>630</v>
      </c>
      <c r="H38" s="46">
        <f>VLOOKUP(G38,Etch_Length_From_Layout!A:B,2,0)</f>
        <v>0</v>
      </c>
      <c r="I38" s="102"/>
      <c r="J38" s="46"/>
      <c r="K38" s="102" t="s">
        <v>643</v>
      </c>
      <c r="L38" s="46">
        <f>VLOOKUP(K38,Etch_Length_From_Layout!A:B,2,0)</f>
        <v>0</v>
      </c>
      <c r="M38" s="27">
        <f t="shared" si="3"/>
        <v>1018.74</v>
      </c>
    </row>
    <row r="39" spans="2:13">
      <c r="B39" s="120"/>
      <c r="C39" s="15">
        <v>42</v>
      </c>
      <c r="D39" s="43" t="s">
        <v>89</v>
      </c>
      <c r="E39" s="97" t="s">
        <v>632</v>
      </c>
      <c r="F39" s="47">
        <f>VLOOKUP(E39,Etch_Length_From_Layout!A:B,2,0)</f>
        <v>996.97</v>
      </c>
      <c r="G39" s="97" t="s">
        <v>633</v>
      </c>
      <c r="H39" s="47">
        <f>VLOOKUP(G39,Etch_Length_From_Layout!A:B,2,0)</f>
        <v>0</v>
      </c>
      <c r="I39" s="97"/>
      <c r="J39" s="47"/>
      <c r="K39" s="97" t="s">
        <v>644</v>
      </c>
      <c r="L39" s="47">
        <f>VLOOKUP(K39,Etch_Length_From_Layout!A:B,2,0)</f>
        <v>0</v>
      </c>
      <c r="M39" s="11">
        <f t="shared" si="3"/>
        <v>996.97</v>
      </c>
    </row>
    <row r="40" spans="2:13">
      <c r="B40" s="120"/>
      <c r="C40" s="15">
        <v>44</v>
      </c>
      <c r="D40" s="43" t="s">
        <v>91</v>
      </c>
      <c r="E40" s="97" t="s">
        <v>635</v>
      </c>
      <c r="F40" s="47">
        <f>VLOOKUP(E40,Etch_Length_From_Layout!A:B,2,0)</f>
        <v>147.47999999999999</v>
      </c>
      <c r="G40" s="97" t="s">
        <v>636</v>
      </c>
      <c r="H40" s="47">
        <f>VLOOKUP(G40,Etch_Length_From_Layout!A:B,2,0)</f>
        <v>0</v>
      </c>
      <c r="I40" s="97" t="s">
        <v>645</v>
      </c>
      <c r="J40" s="47">
        <f>VLOOKUP(I40,Etch_Length_From_Layout!A:B,2,0)</f>
        <v>0</v>
      </c>
      <c r="K40" s="97" t="s">
        <v>646</v>
      </c>
      <c r="L40" s="47">
        <f>VLOOKUP(K40,Etch_Length_From_Layout!A:B,2,0)</f>
        <v>0</v>
      </c>
      <c r="M40" s="11">
        <f t="shared" si="3"/>
        <v>147.47999999999999</v>
      </c>
    </row>
    <row r="41" spans="2:13" ht="16.5" thickBot="1">
      <c r="B41" s="133"/>
      <c r="C41" s="28">
        <v>41</v>
      </c>
      <c r="D41" s="44" t="s">
        <v>93</v>
      </c>
      <c r="E41" s="103" t="s">
        <v>639</v>
      </c>
      <c r="F41" s="48">
        <f>VLOOKUP(E41,Etch_Length_From_Layout!A:B,2,0)</f>
        <v>1455.19</v>
      </c>
      <c r="G41" s="103" t="s">
        <v>640</v>
      </c>
      <c r="H41" s="48">
        <f>VLOOKUP(G41,Etch_Length_From_Layout!A:B,2,0)</f>
        <v>0</v>
      </c>
      <c r="I41" s="103" t="s">
        <v>647</v>
      </c>
      <c r="J41" s="48">
        <f>VLOOKUP(I41,Etch_Length_From_Layout!A:B,2,0)</f>
        <v>0</v>
      </c>
      <c r="K41" s="103" t="s">
        <v>648</v>
      </c>
      <c r="L41" s="48">
        <f>VLOOKUP(K41,Etch_Length_From_Layout!A:B,2,0)</f>
        <v>0</v>
      </c>
      <c r="M41" s="13">
        <f t="shared" si="3"/>
        <v>1455.19</v>
      </c>
    </row>
    <row r="42" spans="2:13">
      <c r="B42" s="30"/>
      <c r="C42" s="31"/>
      <c r="D42" s="31"/>
      <c r="E42" s="32"/>
      <c r="F42" s="34"/>
      <c r="G42" s="32"/>
      <c r="H42" s="34"/>
      <c r="I42" s="32"/>
      <c r="J42" s="34"/>
      <c r="K42" s="32"/>
      <c r="L42" s="34" t="s">
        <v>0</v>
      </c>
      <c r="M42" s="55">
        <f>MAX(M26:M41)</f>
        <v>1455.19</v>
      </c>
    </row>
    <row r="43" spans="2:13">
      <c r="B43" s="22"/>
      <c r="C43" s="16"/>
      <c r="D43" s="16"/>
      <c r="E43" s="20"/>
      <c r="F43" s="18"/>
      <c r="G43" s="20"/>
      <c r="H43" s="18"/>
      <c r="I43" s="20"/>
      <c r="J43" s="18"/>
      <c r="K43" s="20"/>
      <c r="L43" s="18" t="s">
        <v>1</v>
      </c>
      <c r="M43" s="52">
        <f>MIN(M26:M41)</f>
        <v>147.47999999999999</v>
      </c>
    </row>
    <row r="44" spans="2:13">
      <c r="B44" s="22"/>
      <c r="C44" s="16"/>
      <c r="D44" s="16"/>
      <c r="E44" s="20"/>
      <c r="F44" s="18"/>
      <c r="G44" s="20"/>
      <c r="H44" s="18"/>
      <c r="I44" s="20"/>
      <c r="J44" s="18"/>
      <c r="K44" s="20"/>
      <c r="L44" s="18" t="s">
        <v>2</v>
      </c>
      <c r="M44" s="52">
        <f>M42-M43</f>
        <v>1307.71</v>
      </c>
    </row>
    <row r="45" spans="2:13" ht="16.5" thickBot="1">
      <c r="B45" s="23"/>
      <c r="C45" s="17"/>
      <c r="D45" s="17"/>
      <c r="E45" s="21"/>
      <c r="F45" s="19"/>
      <c r="G45" s="21"/>
      <c r="H45" s="19"/>
      <c r="I45" s="21"/>
      <c r="J45" s="19"/>
      <c r="K45" s="21"/>
      <c r="L45" s="19" t="s">
        <v>3</v>
      </c>
      <c r="M45" s="53" t="str">
        <f>IF(M44&lt;=1,"PASS", "FAIL")</f>
        <v>FAIL</v>
      </c>
    </row>
  </sheetData>
  <mergeCells count="10">
    <mergeCell ref="B34:B37"/>
    <mergeCell ref="B38:B41"/>
    <mergeCell ref="B30:B33"/>
    <mergeCell ref="B1:M1"/>
    <mergeCell ref="B3:B6"/>
    <mergeCell ref="B7:B10"/>
    <mergeCell ref="B24:M24"/>
    <mergeCell ref="B26:B29"/>
    <mergeCell ref="B11:B14"/>
    <mergeCell ref="B15:B18"/>
  </mergeCells>
  <phoneticPr fontId="1" type="noConversion"/>
  <conditionalFormatting sqref="A1:XFD1048576">
    <cfRule type="containsText" dxfId="19" priority="5" operator="containsText" text="FAIL">
      <formula>NOT(ISERROR(SEARCH("FAIL",A1)))</formula>
    </cfRule>
    <cfRule type="containsText" dxfId="18" priority="6" operator="containsText" text="PASS">
      <formula>NOT(ISERROR(SEARCH("PASS",A1)))</formula>
    </cfRule>
  </conditionalFormatting>
  <conditionalFormatting sqref="M22">
    <cfRule type="containsText" dxfId="17" priority="3" operator="containsText" text="pass">
      <formula>NOT(ISERROR(SEARCH("pass",M22)))</formula>
    </cfRule>
    <cfRule type="containsText" dxfId="16" priority="4" operator="containsText" text="fail">
      <formula>NOT(ISERROR(SEARCH("fail",M22)))</formula>
    </cfRule>
  </conditionalFormatting>
  <conditionalFormatting sqref="M45">
    <cfRule type="containsText" dxfId="15" priority="1" operator="containsText" text="fail">
      <formula>NOT(ISERROR(SEARCH("fail",M45)))</formula>
    </cfRule>
    <cfRule type="containsText" dxfId="14" priority="2" operator="containsText" text="pass">
      <formula>NOT(ISERROR(SEARCH("pass",M45)))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6"/>
  <sheetViews>
    <sheetView zoomScaleNormal="100" workbookViewId="0">
      <pane ySplit="1" topLeftCell="A2" activePane="bottomLeft" state="frozen"/>
      <selection pane="bottomLeft" activeCell="M13" sqref="M13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25" style="4" bestFit="1" customWidth="1"/>
    <col min="5" max="5" width="13" style="4" bestFit="1" customWidth="1"/>
    <col min="6" max="6" width="13.875" style="4" bestFit="1" customWidth="1"/>
    <col min="7" max="7" width="19.25" style="4" bestFit="1" customWidth="1"/>
    <col min="8" max="8" width="8.375" style="4" bestFit="1" customWidth="1"/>
    <col min="9" max="9" width="13.875" style="4" bestFit="1" customWidth="1"/>
    <col min="10" max="10" width="17.375" style="4" bestFit="1" customWidth="1"/>
    <col min="11" max="11" width="8.375" style="4" bestFit="1" customWidth="1"/>
    <col min="12" max="16384" width="9" style="4"/>
  </cols>
  <sheetData>
    <row r="1" spans="1:10" ht="16.5" thickBot="1">
      <c r="B1" s="129" t="s">
        <v>712</v>
      </c>
      <c r="C1" s="130"/>
      <c r="D1" s="130"/>
      <c r="E1" s="130"/>
      <c r="F1" s="130"/>
      <c r="G1" s="130"/>
      <c r="H1" s="130"/>
      <c r="I1" s="130"/>
      <c r="J1" s="131"/>
    </row>
    <row r="2" spans="1:10" s="5" customFormat="1" ht="16.5" thickBot="1">
      <c r="A2" s="124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54" t="s">
        <v>12</v>
      </c>
    </row>
    <row r="3" spans="1:10" ht="16.5" thickBot="1">
      <c r="A3" s="124"/>
      <c r="B3" s="126" t="s">
        <v>7</v>
      </c>
      <c r="C3" s="64">
        <v>48</v>
      </c>
      <c r="D3" s="61" t="s">
        <v>61</v>
      </c>
      <c r="E3" s="102"/>
      <c r="F3" s="46"/>
      <c r="G3" s="113" t="s">
        <v>63</v>
      </c>
      <c r="H3" s="49" t="e">
        <f>VLOOKUP(G3,'CH assign'!A:B,2,0)</f>
        <v>#N/A</v>
      </c>
      <c r="I3" s="25" t="e">
        <f>VLOOKUP(H3,Etch_Length_From_Layout!A:B,2,0)</f>
        <v>#N/A</v>
      </c>
      <c r="J3" s="27" t="e">
        <f>F3+I3</f>
        <v>#N/A</v>
      </c>
    </row>
    <row r="4" spans="1:10" ht="16.5" thickBot="1">
      <c r="A4" s="124"/>
      <c r="B4" s="127"/>
      <c r="C4" s="65">
        <v>52</v>
      </c>
      <c r="D4" s="62" t="s">
        <v>62</v>
      </c>
      <c r="E4" s="97"/>
      <c r="F4" s="47"/>
      <c r="G4" s="113" t="s">
        <v>66</v>
      </c>
      <c r="H4" s="51" t="e">
        <f>VLOOKUP(G4,'CH assign'!A:B,2,0)</f>
        <v>#N/A</v>
      </c>
      <c r="I4" s="7" t="e">
        <f>VLOOKUP(H4,Etch_Length_From_Layout!A:B,2,0)</f>
        <v>#N/A</v>
      </c>
      <c r="J4" s="11" t="e">
        <f t="shared" ref="J4:J22" si="0">F4+I4</f>
        <v>#N/A</v>
      </c>
    </row>
    <row r="5" spans="1:10" ht="16.5" thickBot="1">
      <c r="B5" s="127"/>
      <c r="C5" s="65">
        <v>53</v>
      </c>
      <c r="D5" s="62" t="s">
        <v>64</v>
      </c>
      <c r="E5" s="97"/>
      <c r="F5" s="47"/>
      <c r="G5" s="113" t="s">
        <v>68</v>
      </c>
      <c r="H5" s="51" t="e">
        <f>VLOOKUP(G5,'CH assign'!A:B,2,0)</f>
        <v>#N/A</v>
      </c>
      <c r="I5" s="7" t="e">
        <f>VLOOKUP(H5,Etch_Length_From_Layout!A:B,2,0)</f>
        <v>#N/A</v>
      </c>
      <c r="J5" s="11" t="e">
        <f t="shared" si="0"/>
        <v>#N/A</v>
      </c>
    </row>
    <row r="6" spans="1:10" ht="16.5" thickBot="1">
      <c r="B6" s="127"/>
      <c r="C6" s="65">
        <v>56</v>
      </c>
      <c r="D6" s="62" t="s">
        <v>65</v>
      </c>
      <c r="E6" s="97"/>
      <c r="F6" s="47"/>
      <c r="G6" s="113" t="s">
        <v>72</v>
      </c>
      <c r="H6" s="51" t="e">
        <f>VLOOKUP(G6,'CH assign'!A:B,2,0)</f>
        <v>#N/A</v>
      </c>
      <c r="I6" s="7" t="e">
        <f>VLOOKUP(H6,Etch_Length_From_Layout!A:B,2,0)</f>
        <v>#N/A</v>
      </c>
      <c r="J6" s="11" t="e">
        <f t="shared" si="0"/>
        <v>#N/A</v>
      </c>
    </row>
    <row r="7" spans="1:10" ht="16.5" thickBot="1">
      <c r="B7" s="127"/>
      <c r="C7" s="65">
        <v>57</v>
      </c>
      <c r="D7" s="62" t="s">
        <v>67</v>
      </c>
      <c r="E7" s="97"/>
      <c r="F7" s="47"/>
      <c r="G7" s="113" t="s">
        <v>74</v>
      </c>
      <c r="H7" s="51" t="e">
        <f>VLOOKUP(G7,'CH assign'!A:B,2,0)</f>
        <v>#N/A</v>
      </c>
      <c r="I7" s="7" t="e">
        <f>VLOOKUP(H7,Etch_Length_From_Layout!A:B,2,0)</f>
        <v>#N/A</v>
      </c>
      <c r="J7" s="11" t="e">
        <f t="shared" si="0"/>
        <v>#N/A</v>
      </c>
    </row>
    <row r="8" spans="1:10" ht="16.5" thickBot="1">
      <c r="B8" s="127"/>
      <c r="C8" s="65">
        <v>58</v>
      </c>
      <c r="D8" s="62" t="s">
        <v>69</v>
      </c>
      <c r="E8" s="97"/>
      <c r="F8" s="47"/>
      <c r="G8" s="113" t="s">
        <v>76</v>
      </c>
      <c r="H8" s="51" t="e">
        <f>VLOOKUP(G8,'CH assign'!A:B,2,0)</f>
        <v>#N/A</v>
      </c>
      <c r="I8" s="7" t="e">
        <f>VLOOKUP(H8,Etch_Length_From_Layout!A:B,2,0)</f>
        <v>#N/A</v>
      </c>
      <c r="J8" s="11" t="e">
        <f t="shared" si="0"/>
        <v>#N/A</v>
      </c>
    </row>
    <row r="9" spans="1:10" ht="16.5" thickBot="1">
      <c r="B9" s="127"/>
      <c r="C9" s="65">
        <v>59</v>
      </c>
      <c r="D9" s="62" t="s">
        <v>70</v>
      </c>
      <c r="E9" s="97"/>
      <c r="F9" s="47"/>
      <c r="G9" s="113" t="s">
        <v>78</v>
      </c>
      <c r="H9" s="51" t="e">
        <f>VLOOKUP(G9,'CH assign'!A:B,2,0)</f>
        <v>#N/A</v>
      </c>
      <c r="I9" s="7" t="e">
        <f>VLOOKUP(H9,Etch_Length_From_Layout!A:B,2,0)</f>
        <v>#N/A</v>
      </c>
      <c r="J9" s="11" t="e">
        <f t="shared" si="0"/>
        <v>#N/A</v>
      </c>
    </row>
    <row r="10" spans="1:10" ht="16.5" thickBot="1">
      <c r="B10" s="127"/>
      <c r="C10" s="65">
        <v>60</v>
      </c>
      <c r="D10" s="62" t="s">
        <v>71</v>
      </c>
      <c r="E10" s="97"/>
      <c r="F10" s="47"/>
      <c r="G10" s="113" t="s">
        <v>80</v>
      </c>
      <c r="H10" s="51" t="e">
        <f>VLOOKUP(G10,'CH assign'!A:B,2,0)</f>
        <v>#N/A</v>
      </c>
      <c r="I10" s="7" t="e">
        <f>VLOOKUP(H10,Etch_Length_From_Layout!A:B,2,0)</f>
        <v>#N/A</v>
      </c>
      <c r="J10" s="11" t="e">
        <f t="shared" si="0"/>
        <v>#N/A</v>
      </c>
    </row>
    <row r="11" spans="1:10" ht="16.5" thickBot="1">
      <c r="B11" s="127"/>
      <c r="C11" s="65">
        <v>61</v>
      </c>
      <c r="D11" s="62" t="s">
        <v>73</v>
      </c>
      <c r="E11" s="97"/>
      <c r="F11" s="47"/>
      <c r="G11" s="113" t="s">
        <v>82</v>
      </c>
      <c r="H11" s="51" t="e">
        <f>VLOOKUP(G11,'CH assign'!A:B,2,0)</f>
        <v>#N/A</v>
      </c>
      <c r="I11" s="7" t="e">
        <f>VLOOKUP(H11,Etch_Length_From_Layout!A:B,2,0)</f>
        <v>#N/A</v>
      </c>
      <c r="J11" s="11" t="e">
        <f t="shared" si="0"/>
        <v>#N/A</v>
      </c>
    </row>
    <row r="12" spans="1:10" ht="16.5" thickBot="1">
      <c r="B12" s="127"/>
      <c r="C12" s="65">
        <v>67</v>
      </c>
      <c r="D12" s="62" t="s">
        <v>75</v>
      </c>
      <c r="E12" s="97"/>
      <c r="F12" s="47"/>
      <c r="G12" s="113" t="s">
        <v>292</v>
      </c>
      <c r="H12" s="51" t="e">
        <f>VLOOKUP(G12,'CH assign'!A:B,2,0)</f>
        <v>#N/A</v>
      </c>
      <c r="I12" s="7" t="e">
        <f>VLOOKUP(H12,Etch_Length_From_Layout!A:B,2,0)</f>
        <v>#N/A</v>
      </c>
      <c r="J12" s="11" t="e">
        <f t="shared" si="0"/>
        <v>#N/A</v>
      </c>
    </row>
    <row r="13" spans="1:10" ht="16.5" thickBot="1">
      <c r="B13" s="127"/>
      <c r="C13" s="65">
        <v>68</v>
      </c>
      <c r="D13" s="62" t="s">
        <v>77</v>
      </c>
      <c r="E13" s="97"/>
      <c r="F13" s="47"/>
      <c r="G13" s="113" t="s">
        <v>293</v>
      </c>
      <c r="H13" s="51" t="e">
        <f>VLOOKUP(G13,'CH assign'!A:B,2,0)</f>
        <v>#N/A</v>
      </c>
      <c r="I13" s="7" t="e">
        <f>VLOOKUP(H13,Etch_Length_From_Layout!A:B,2,0)</f>
        <v>#N/A</v>
      </c>
      <c r="J13" s="11" t="e">
        <f t="shared" si="0"/>
        <v>#N/A</v>
      </c>
    </row>
    <row r="14" spans="1:10" ht="16.5" thickBot="1">
      <c r="B14" s="127"/>
      <c r="C14" s="65">
        <v>69</v>
      </c>
      <c r="D14" s="62" t="s">
        <v>79</v>
      </c>
      <c r="E14" s="97"/>
      <c r="F14" s="47"/>
      <c r="G14" s="113" t="s">
        <v>291</v>
      </c>
      <c r="H14" s="51" t="e">
        <f>VLOOKUP(G14,'CH assign'!A:B,2,0)</f>
        <v>#N/A</v>
      </c>
      <c r="I14" s="7" t="e">
        <f>VLOOKUP(H14,Etch_Length_From_Layout!A:B,2,0)</f>
        <v>#N/A</v>
      </c>
      <c r="J14" s="11" t="e">
        <f t="shared" si="0"/>
        <v>#N/A</v>
      </c>
    </row>
    <row r="15" spans="1:10" ht="16.5" thickBot="1">
      <c r="B15" s="127"/>
      <c r="C15" s="65">
        <v>149</v>
      </c>
      <c r="D15" s="62" t="s">
        <v>81</v>
      </c>
      <c r="E15" s="97"/>
      <c r="F15" s="47"/>
      <c r="G15" s="113" t="s">
        <v>278</v>
      </c>
      <c r="H15" s="51" t="e">
        <f>VLOOKUP(G15,'CH assign'!A:B,2,0)</f>
        <v>#N/A</v>
      </c>
      <c r="I15" s="7" t="e">
        <f>VLOOKUP(H15,Etch_Length_From_Layout!A:B,2,0)</f>
        <v>#N/A</v>
      </c>
      <c r="J15" s="11" t="e">
        <f t="shared" si="0"/>
        <v>#N/A</v>
      </c>
    </row>
    <row r="16" spans="1:10" ht="16.5" thickBot="1">
      <c r="B16" s="127"/>
      <c r="C16" s="65">
        <v>150</v>
      </c>
      <c r="D16" s="62" t="s">
        <v>83</v>
      </c>
      <c r="E16" s="97"/>
      <c r="F16" s="47"/>
      <c r="G16" s="113" t="s">
        <v>277</v>
      </c>
      <c r="H16" s="51" t="e">
        <f>VLOOKUP(G16,'CH assign'!A:B,2,0)</f>
        <v>#N/A</v>
      </c>
      <c r="I16" s="7" t="e">
        <f>VLOOKUP(H16,Etch_Length_From_Layout!A:B,2,0)</f>
        <v>#N/A</v>
      </c>
      <c r="J16" s="11" t="e">
        <f t="shared" si="0"/>
        <v>#N/A</v>
      </c>
    </row>
    <row r="17" spans="2:10" ht="16.5" thickBot="1">
      <c r="B17" s="127"/>
      <c r="C17" s="65">
        <v>151</v>
      </c>
      <c r="D17" s="62" t="s">
        <v>84</v>
      </c>
      <c r="E17" s="97"/>
      <c r="F17" s="47"/>
      <c r="G17" s="113" t="s">
        <v>237</v>
      </c>
      <c r="H17" s="51" t="e">
        <f>VLOOKUP(G17,'CH assign'!A:B,2,0)</f>
        <v>#N/A</v>
      </c>
      <c r="I17" s="7" t="e">
        <f>VLOOKUP(H17,Etch_Length_From_Layout!A:B,2,0)</f>
        <v>#N/A</v>
      </c>
      <c r="J17" s="11" t="e">
        <f t="shared" si="0"/>
        <v>#N/A</v>
      </c>
    </row>
    <row r="18" spans="2:10" ht="16.5" thickBot="1">
      <c r="B18" s="127"/>
      <c r="C18" s="65">
        <v>152</v>
      </c>
      <c r="D18" s="62" t="s">
        <v>85</v>
      </c>
      <c r="E18" s="97"/>
      <c r="F18" s="47"/>
      <c r="G18" s="113" t="s">
        <v>236</v>
      </c>
      <c r="H18" s="51" t="e">
        <f>VLOOKUP(G18,'CH assign'!A:B,2,0)</f>
        <v>#N/A</v>
      </c>
      <c r="I18" s="7" t="e">
        <f>VLOOKUP(H18,Etch_Length_From_Layout!A:B,2,0)</f>
        <v>#N/A</v>
      </c>
      <c r="J18" s="11" t="e">
        <f t="shared" si="0"/>
        <v>#N/A</v>
      </c>
    </row>
    <row r="19" spans="2:10" ht="16.5" thickBot="1">
      <c r="B19" s="127"/>
      <c r="C19" s="65">
        <v>43</v>
      </c>
      <c r="D19" s="62" t="s">
        <v>87</v>
      </c>
      <c r="E19" s="97" t="s">
        <v>86</v>
      </c>
      <c r="F19" s="47">
        <f>VLOOKUP(E19,Etch_Length_From_Layout!A:B,2,0)</f>
        <v>1018.74</v>
      </c>
      <c r="G19" s="113" t="s">
        <v>657</v>
      </c>
      <c r="H19" s="51" t="e">
        <f>VLOOKUP(G19,'CH assign'!A:B,2,0)</f>
        <v>#N/A</v>
      </c>
      <c r="I19" s="7" t="e">
        <f>VLOOKUP(H19,Etch_Length_From_Layout!A:B,2,0)</f>
        <v>#N/A</v>
      </c>
      <c r="J19" s="11" t="e">
        <f t="shared" si="0"/>
        <v>#N/A</v>
      </c>
    </row>
    <row r="20" spans="2:10" ht="16.5" thickBot="1">
      <c r="B20" s="127"/>
      <c r="C20" s="65">
        <v>42</v>
      </c>
      <c r="D20" s="62" t="s">
        <v>89</v>
      </c>
      <c r="E20" s="97" t="s">
        <v>88</v>
      </c>
      <c r="F20" s="47">
        <f>VLOOKUP(E20,Etch_Length_From_Layout!A:B,2,0)</f>
        <v>996.97</v>
      </c>
      <c r="G20" s="113" t="s">
        <v>658</v>
      </c>
      <c r="H20" s="51" t="e">
        <f>VLOOKUP(G20,'CH assign'!A:B,2,0)</f>
        <v>#N/A</v>
      </c>
      <c r="I20" s="7" t="e">
        <f>VLOOKUP(H20,Etch_Length_From_Layout!A:B,2,0)</f>
        <v>#N/A</v>
      </c>
      <c r="J20" s="11" t="e">
        <f t="shared" si="0"/>
        <v>#N/A</v>
      </c>
    </row>
    <row r="21" spans="2:10" ht="16.5" thickBot="1">
      <c r="B21" s="127"/>
      <c r="C21" s="65">
        <v>44</v>
      </c>
      <c r="D21" s="62" t="s">
        <v>91</v>
      </c>
      <c r="E21" s="97" t="s">
        <v>90</v>
      </c>
      <c r="F21" s="47">
        <f>VLOOKUP(E21,Etch_Length_From_Layout!A:B,2,0)</f>
        <v>1082.53</v>
      </c>
      <c r="G21" s="113" t="s">
        <v>659</v>
      </c>
      <c r="H21" s="51" t="e">
        <f>VLOOKUP(G21,'CH assign'!A:B,2,0)</f>
        <v>#N/A</v>
      </c>
      <c r="I21" s="7" t="e">
        <f>VLOOKUP(H21,Etch_Length_From_Layout!A:B,2,0)</f>
        <v>#N/A</v>
      </c>
      <c r="J21" s="11" t="e">
        <f t="shared" si="0"/>
        <v>#N/A</v>
      </c>
    </row>
    <row r="22" spans="2:10" ht="16.5" thickBot="1">
      <c r="B22" s="128"/>
      <c r="C22" s="66">
        <v>41</v>
      </c>
      <c r="D22" s="63" t="s">
        <v>93</v>
      </c>
      <c r="E22" s="103" t="s">
        <v>92</v>
      </c>
      <c r="F22" s="48">
        <f>VLOOKUP(E22,Etch_Length_From_Layout!A:B,2,0)</f>
        <v>1145.3699999999999</v>
      </c>
      <c r="G22" s="113" t="s">
        <v>660</v>
      </c>
      <c r="H22" s="50" t="e">
        <f>VLOOKUP(G22,'CH assign'!A:B,2,0)</f>
        <v>#N/A</v>
      </c>
      <c r="I22" s="29" t="e">
        <f>VLOOKUP(H22,Etch_Length_From_Layout!A:B,2,0)</f>
        <v>#N/A</v>
      </c>
      <c r="J22" s="13" t="e">
        <f t="shared" si="0"/>
        <v>#N/A</v>
      </c>
    </row>
    <row r="23" spans="2:10">
      <c r="B23" s="126" t="s">
        <v>11</v>
      </c>
      <c r="C23" s="64">
        <v>48</v>
      </c>
      <c r="D23" s="61" t="s">
        <v>61</v>
      </c>
      <c r="E23" s="102"/>
      <c r="F23" s="46"/>
      <c r="G23" s="113" t="s">
        <v>94</v>
      </c>
      <c r="H23" s="49" t="e">
        <f>VLOOKUP(G23,'CH assign'!A:B,2,0)</f>
        <v>#N/A</v>
      </c>
      <c r="I23" s="25" t="e">
        <f>VLOOKUP(H23,Etch_Length_From_Layout!A:B,2,0)</f>
        <v>#N/A</v>
      </c>
      <c r="J23" s="27" t="e">
        <f>F23+I23</f>
        <v>#N/A</v>
      </c>
    </row>
    <row r="24" spans="2:10">
      <c r="B24" s="127"/>
      <c r="C24" s="65">
        <v>52</v>
      </c>
      <c r="D24" s="62" t="s">
        <v>62</v>
      </c>
      <c r="E24" s="97"/>
      <c r="F24" s="47"/>
      <c r="G24" s="116" t="s">
        <v>95</v>
      </c>
      <c r="H24" s="51" t="e">
        <f>VLOOKUP(G24,'CH assign'!A:B,2,0)</f>
        <v>#N/A</v>
      </c>
      <c r="I24" s="7" t="e">
        <f>VLOOKUP(H24,Etch_Length_From_Layout!A:B,2,0)</f>
        <v>#N/A</v>
      </c>
      <c r="J24" s="11" t="e">
        <f t="shared" ref="J24:J42" si="1">F24+I24</f>
        <v>#N/A</v>
      </c>
    </row>
    <row r="25" spans="2:10">
      <c r="B25" s="127"/>
      <c r="C25" s="65">
        <v>53</v>
      </c>
      <c r="D25" s="62" t="s">
        <v>64</v>
      </c>
      <c r="E25" s="97"/>
      <c r="F25" s="47"/>
      <c r="G25" s="116" t="s">
        <v>96</v>
      </c>
      <c r="H25" s="51" t="e">
        <f>VLOOKUP(G25,'CH assign'!A:B,2,0)</f>
        <v>#N/A</v>
      </c>
      <c r="I25" s="7" t="e">
        <f>VLOOKUP(H25,Etch_Length_From_Layout!A:B,2,0)</f>
        <v>#N/A</v>
      </c>
      <c r="J25" s="11" t="e">
        <f t="shared" si="1"/>
        <v>#N/A</v>
      </c>
    </row>
    <row r="26" spans="2:10">
      <c r="B26" s="127"/>
      <c r="C26" s="65">
        <v>56</v>
      </c>
      <c r="D26" s="62" t="s">
        <v>65</v>
      </c>
      <c r="E26" s="97"/>
      <c r="F26" s="47"/>
      <c r="G26" s="116" t="s">
        <v>97</v>
      </c>
      <c r="H26" s="51" t="e">
        <f>VLOOKUP(G26,'CH assign'!A:B,2,0)</f>
        <v>#N/A</v>
      </c>
      <c r="I26" s="7" t="e">
        <f>VLOOKUP(H26,Etch_Length_From_Layout!A:B,2,0)</f>
        <v>#N/A</v>
      </c>
      <c r="J26" s="11" t="e">
        <f t="shared" si="1"/>
        <v>#N/A</v>
      </c>
    </row>
    <row r="27" spans="2:10">
      <c r="B27" s="127"/>
      <c r="C27" s="65">
        <v>57</v>
      </c>
      <c r="D27" s="62" t="s">
        <v>67</v>
      </c>
      <c r="E27" s="97"/>
      <c r="F27" s="47"/>
      <c r="G27" s="116" t="s">
        <v>98</v>
      </c>
      <c r="H27" s="51" t="e">
        <f>VLOOKUP(G27,'CH assign'!A:B,2,0)</f>
        <v>#N/A</v>
      </c>
      <c r="I27" s="7" t="e">
        <f>VLOOKUP(H27,Etch_Length_From_Layout!A:B,2,0)</f>
        <v>#N/A</v>
      </c>
      <c r="J27" s="11" t="e">
        <f t="shared" si="1"/>
        <v>#N/A</v>
      </c>
    </row>
    <row r="28" spans="2:10">
      <c r="B28" s="127"/>
      <c r="C28" s="65">
        <v>58</v>
      </c>
      <c r="D28" s="62" t="s">
        <v>69</v>
      </c>
      <c r="E28" s="97"/>
      <c r="F28" s="47"/>
      <c r="G28" s="116" t="s">
        <v>99</v>
      </c>
      <c r="H28" s="51" t="e">
        <f>VLOOKUP(G28,'CH assign'!A:B,2,0)</f>
        <v>#N/A</v>
      </c>
      <c r="I28" s="7" t="e">
        <f>VLOOKUP(H28,Etch_Length_From_Layout!A:B,2,0)</f>
        <v>#N/A</v>
      </c>
      <c r="J28" s="11" t="e">
        <f t="shared" si="1"/>
        <v>#N/A</v>
      </c>
    </row>
    <row r="29" spans="2:10">
      <c r="B29" s="127"/>
      <c r="C29" s="65">
        <v>59</v>
      </c>
      <c r="D29" s="62" t="s">
        <v>70</v>
      </c>
      <c r="E29" s="97"/>
      <c r="F29" s="47"/>
      <c r="G29" s="116" t="s">
        <v>100</v>
      </c>
      <c r="H29" s="51" t="e">
        <f>VLOOKUP(G29,'CH assign'!A:B,2,0)</f>
        <v>#N/A</v>
      </c>
      <c r="I29" s="7" t="e">
        <f>VLOOKUP(H29,Etch_Length_From_Layout!A:B,2,0)</f>
        <v>#N/A</v>
      </c>
      <c r="J29" s="11" t="e">
        <f t="shared" si="1"/>
        <v>#N/A</v>
      </c>
    </row>
    <row r="30" spans="2:10">
      <c r="B30" s="127"/>
      <c r="C30" s="65">
        <v>60</v>
      </c>
      <c r="D30" s="62" t="s">
        <v>71</v>
      </c>
      <c r="E30" s="97"/>
      <c r="F30" s="47"/>
      <c r="G30" s="116" t="s">
        <v>101</v>
      </c>
      <c r="H30" s="51" t="e">
        <f>VLOOKUP(G30,'CH assign'!A:B,2,0)</f>
        <v>#N/A</v>
      </c>
      <c r="I30" s="7" t="e">
        <f>VLOOKUP(H30,Etch_Length_From_Layout!A:B,2,0)</f>
        <v>#N/A</v>
      </c>
      <c r="J30" s="11" t="e">
        <f t="shared" si="1"/>
        <v>#N/A</v>
      </c>
    </row>
    <row r="31" spans="2:10">
      <c r="B31" s="127"/>
      <c r="C31" s="65">
        <v>61</v>
      </c>
      <c r="D31" s="62" t="s">
        <v>73</v>
      </c>
      <c r="E31" s="97"/>
      <c r="F31" s="47"/>
      <c r="G31" s="116" t="s">
        <v>102</v>
      </c>
      <c r="H31" s="51" t="e">
        <f>VLOOKUP(G31,'CH assign'!A:B,2,0)</f>
        <v>#N/A</v>
      </c>
      <c r="I31" s="7" t="e">
        <f>VLOOKUP(H31,Etch_Length_From_Layout!A:B,2,0)</f>
        <v>#N/A</v>
      </c>
      <c r="J31" s="11" t="e">
        <f t="shared" si="1"/>
        <v>#N/A</v>
      </c>
    </row>
    <row r="32" spans="2:10">
      <c r="B32" s="127"/>
      <c r="C32" s="65">
        <v>67</v>
      </c>
      <c r="D32" s="62" t="s">
        <v>75</v>
      </c>
      <c r="E32" s="97"/>
      <c r="F32" s="47"/>
      <c r="G32" s="116" t="s">
        <v>661</v>
      </c>
      <c r="H32" s="51" t="e">
        <f>VLOOKUP(G32,'CH assign'!A:B,2,0)</f>
        <v>#N/A</v>
      </c>
      <c r="I32" s="7" t="e">
        <f>VLOOKUP(H32,Etch_Length_From_Layout!A:B,2,0)</f>
        <v>#N/A</v>
      </c>
      <c r="J32" s="11" t="e">
        <f t="shared" si="1"/>
        <v>#N/A</v>
      </c>
    </row>
    <row r="33" spans="2:10">
      <c r="B33" s="127"/>
      <c r="C33" s="65">
        <v>68</v>
      </c>
      <c r="D33" s="62" t="s">
        <v>77</v>
      </c>
      <c r="E33" s="97"/>
      <c r="F33" s="47"/>
      <c r="G33" s="116" t="s">
        <v>662</v>
      </c>
      <c r="H33" s="51" t="e">
        <f>VLOOKUP(G33,'CH assign'!A:B,2,0)</f>
        <v>#N/A</v>
      </c>
      <c r="I33" s="7" t="e">
        <f>VLOOKUP(H33,Etch_Length_From_Layout!A:B,2,0)</f>
        <v>#N/A</v>
      </c>
      <c r="J33" s="11" t="e">
        <f t="shared" si="1"/>
        <v>#N/A</v>
      </c>
    </row>
    <row r="34" spans="2:10">
      <c r="B34" s="127"/>
      <c r="C34" s="65">
        <v>69</v>
      </c>
      <c r="D34" s="62" t="s">
        <v>79</v>
      </c>
      <c r="E34" s="97"/>
      <c r="F34" s="47"/>
      <c r="G34" s="116" t="s">
        <v>663</v>
      </c>
      <c r="H34" s="51" t="e">
        <f>VLOOKUP(G34,'CH assign'!A:B,2,0)</f>
        <v>#N/A</v>
      </c>
      <c r="I34" s="7" t="e">
        <f>VLOOKUP(H34,Etch_Length_From_Layout!A:B,2,0)</f>
        <v>#N/A</v>
      </c>
      <c r="J34" s="11" t="e">
        <f t="shared" si="1"/>
        <v>#N/A</v>
      </c>
    </row>
    <row r="35" spans="2:10">
      <c r="B35" s="127"/>
      <c r="C35" s="65">
        <v>149</v>
      </c>
      <c r="D35" s="62" t="s">
        <v>81</v>
      </c>
      <c r="E35" s="97"/>
      <c r="F35" s="47"/>
      <c r="G35" s="116" t="s">
        <v>664</v>
      </c>
      <c r="H35" s="51" t="e">
        <f>VLOOKUP(G35,'CH assign'!A:B,2,0)</f>
        <v>#N/A</v>
      </c>
      <c r="I35" s="7" t="e">
        <f>VLOOKUP(H35,Etch_Length_From_Layout!A:B,2,0)</f>
        <v>#N/A</v>
      </c>
      <c r="J35" s="11" t="e">
        <f t="shared" si="1"/>
        <v>#N/A</v>
      </c>
    </row>
    <row r="36" spans="2:10">
      <c r="B36" s="127"/>
      <c r="C36" s="65">
        <v>150</v>
      </c>
      <c r="D36" s="62" t="s">
        <v>83</v>
      </c>
      <c r="E36" s="97"/>
      <c r="F36" s="47"/>
      <c r="G36" s="116" t="s">
        <v>665</v>
      </c>
      <c r="H36" s="51" t="e">
        <f>VLOOKUP(G36,'CH assign'!A:B,2,0)</f>
        <v>#N/A</v>
      </c>
      <c r="I36" s="7" t="e">
        <f>VLOOKUP(H36,Etch_Length_From_Layout!A:B,2,0)</f>
        <v>#N/A</v>
      </c>
      <c r="J36" s="11" t="e">
        <f t="shared" si="1"/>
        <v>#N/A</v>
      </c>
    </row>
    <row r="37" spans="2:10">
      <c r="B37" s="127"/>
      <c r="C37" s="65">
        <v>151</v>
      </c>
      <c r="D37" s="62" t="s">
        <v>84</v>
      </c>
      <c r="E37" s="97"/>
      <c r="F37" s="47"/>
      <c r="G37" s="116" t="s">
        <v>666</v>
      </c>
      <c r="H37" s="51" t="e">
        <f>VLOOKUP(G37,'CH assign'!A:B,2,0)</f>
        <v>#N/A</v>
      </c>
      <c r="I37" s="7" t="e">
        <f>VLOOKUP(H37,Etch_Length_From_Layout!A:B,2,0)</f>
        <v>#N/A</v>
      </c>
      <c r="J37" s="11" t="e">
        <f t="shared" si="1"/>
        <v>#N/A</v>
      </c>
    </row>
    <row r="38" spans="2:10">
      <c r="B38" s="127"/>
      <c r="C38" s="65">
        <v>152</v>
      </c>
      <c r="D38" s="62" t="s">
        <v>85</v>
      </c>
      <c r="E38" s="97"/>
      <c r="F38" s="47"/>
      <c r="G38" s="116" t="s">
        <v>667</v>
      </c>
      <c r="H38" s="51" t="e">
        <f>VLOOKUP(G38,'CH assign'!A:B,2,0)</f>
        <v>#N/A</v>
      </c>
      <c r="I38" s="7" t="e">
        <f>VLOOKUP(H38,Etch_Length_From_Layout!A:B,2,0)</f>
        <v>#N/A</v>
      </c>
      <c r="J38" s="11" t="e">
        <f t="shared" si="1"/>
        <v>#N/A</v>
      </c>
    </row>
    <row r="39" spans="2:10">
      <c r="B39" s="127"/>
      <c r="C39" s="65">
        <v>43</v>
      </c>
      <c r="D39" s="62" t="s">
        <v>87</v>
      </c>
      <c r="E39" s="97" t="s">
        <v>103</v>
      </c>
      <c r="F39" s="47">
        <f>VLOOKUP(E39,Etch_Length_From_Layout!A:B,2,0)</f>
        <v>1018.74</v>
      </c>
      <c r="G39" s="116" t="s">
        <v>668</v>
      </c>
      <c r="H39" s="51" t="e">
        <f>VLOOKUP(G39,'CH assign'!A:B,2,0)</f>
        <v>#N/A</v>
      </c>
      <c r="I39" s="7" t="e">
        <f>VLOOKUP(H39,Etch_Length_From_Layout!A:B,2,0)</f>
        <v>#N/A</v>
      </c>
      <c r="J39" s="11" t="e">
        <f t="shared" si="1"/>
        <v>#N/A</v>
      </c>
    </row>
    <row r="40" spans="2:10">
      <c r="B40" s="127"/>
      <c r="C40" s="65">
        <v>42</v>
      </c>
      <c r="D40" s="62" t="s">
        <v>89</v>
      </c>
      <c r="E40" s="97" t="s">
        <v>104</v>
      </c>
      <c r="F40" s="47">
        <f>VLOOKUP(E40,Etch_Length_From_Layout!A:B,2,0)</f>
        <v>996.97</v>
      </c>
      <c r="G40" s="116" t="s">
        <v>669</v>
      </c>
      <c r="H40" s="51" t="e">
        <f>VLOOKUP(G40,'CH assign'!A:B,2,0)</f>
        <v>#N/A</v>
      </c>
      <c r="I40" s="7" t="e">
        <f>VLOOKUP(H40,Etch_Length_From_Layout!A:B,2,0)</f>
        <v>#N/A</v>
      </c>
      <c r="J40" s="11" t="e">
        <f t="shared" si="1"/>
        <v>#N/A</v>
      </c>
    </row>
    <row r="41" spans="2:10">
      <c r="B41" s="127"/>
      <c r="C41" s="65">
        <v>44</v>
      </c>
      <c r="D41" s="62" t="s">
        <v>91</v>
      </c>
      <c r="E41" s="97" t="s">
        <v>105</v>
      </c>
      <c r="F41" s="47">
        <f>VLOOKUP(E41,Etch_Length_From_Layout!A:B,2,0)</f>
        <v>1344.39</v>
      </c>
      <c r="G41" s="116" t="s">
        <v>670</v>
      </c>
      <c r="H41" s="51" t="e">
        <f>VLOOKUP(G41,'CH assign'!A:B,2,0)</f>
        <v>#N/A</v>
      </c>
      <c r="I41" s="7" t="e">
        <f>VLOOKUP(H41,Etch_Length_From_Layout!A:B,2,0)</f>
        <v>#N/A</v>
      </c>
      <c r="J41" s="11" t="e">
        <f t="shared" si="1"/>
        <v>#N/A</v>
      </c>
    </row>
    <row r="42" spans="2:10" ht="16.5" thickBot="1">
      <c r="B42" s="128"/>
      <c r="C42" s="66">
        <v>41</v>
      </c>
      <c r="D42" s="63" t="s">
        <v>93</v>
      </c>
      <c r="E42" s="103" t="s">
        <v>106</v>
      </c>
      <c r="F42" s="48">
        <f>VLOOKUP(E42,Etch_Length_From_Layout!A:B,2,0)</f>
        <v>1455.19</v>
      </c>
      <c r="G42" s="117" t="s">
        <v>671</v>
      </c>
      <c r="H42" s="50" t="e">
        <f>VLOOKUP(G42,'CH assign'!A:B,2,0)</f>
        <v>#N/A</v>
      </c>
      <c r="I42" s="29" t="e">
        <f>VLOOKUP(H42,Etch_Length_From_Layout!A:B,2,0)</f>
        <v>#N/A</v>
      </c>
      <c r="J42" s="13" t="e">
        <f t="shared" si="1"/>
        <v>#N/A</v>
      </c>
    </row>
    <row r="43" spans="2:10" ht="16.5" thickBot="1">
      <c r="B43" s="126" t="s">
        <v>302</v>
      </c>
      <c r="C43" s="64">
        <v>48</v>
      </c>
      <c r="D43" s="61" t="s">
        <v>61</v>
      </c>
      <c r="E43" s="102"/>
      <c r="F43" s="46"/>
      <c r="G43" s="113" t="s">
        <v>672</v>
      </c>
      <c r="H43" s="49" t="e">
        <f>VLOOKUP(G43,'CH assign'!A:B,2,0)</f>
        <v>#N/A</v>
      </c>
      <c r="I43" s="25" t="e">
        <f>VLOOKUP(H43,Etch_Length_From_Layout!A:B,2,0)</f>
        <v>#N/A</v>
      </c>
      <c r="J43" s="27" t="e">
        <f>F43+I43</f>
        <v>#N/A</v>
      </c>
    </row>
    <row r="44" spans="2:10" ht="16.5" thickBot="1">
      <c r="B44" s="127"/>
      <c r="C44" s="65">
        <v>52</v>
      </c>
      <c r="D44" s="62" t="s">
        <v>62</v>
      </c>
      <c r="E44" s="97"/>
      <c r="F44" s="47"/>
      <c r="G44" s="113" t="s">
        <v>673</v>
      </c>
      <c r="H44" s="51" t="e">
        <f>VLOOKUP(G44,'CH assign'!A:B,2,0)</f>
        <v>#N/A</v>
      </c>
      <c r="I44" s="7" t="e">
        <f>VLOOKUP(H44,Etch_Length_From_Layout!A:B,2,0)</f>
        <v>#N/A</v>
      </c>
      <c r="J44" s="11" t="e">
        <f t="shared" ref="J44:J62" si="2">F44+I44</f>
        <v>#N/A</v>
      </c>
    </row>
    <row r="45" spans="2:10" ht="16.5" thickBot="1">
      <c r="B45" s="127"/>
      <c r="C45" s="65">
        <v>53</v>
      </c>
      <c r="D45" s="62" t="s">
        <v>64</v>
      </c>
      <c r="E45" s="97"/>
      <c r="F45" s="47"/>
      <c r="G45" s="113" t="s">
        <v>674</v>
      </c>
      <c r="H45" s="51" t="e">
        <f>VLOOKUP(G45,'CH assign'!A:B,2,0)</f>
        <v>#N/A</v>
      </c>
      <c r="I45" s="7" t="e">
        <f>VLOOKUP(H45,Etch_Length_From_Layout!A:B,2,0)</f>
        <v>#N/A</v>
      </c>
      <c r="J45" s="11" t="e">
        <f t="shared" si="2"/>
        <v>#N/A</v>
      </c>
    </row>
    <row r="46" spans="2:10" ht="16.5" thickBot="1">
      <c r="B46" s="127"/>
      <c r="C46" s="65">
        <v>56</v>
      </c>
      <c r="D46" s="62" t="s">
        <v>65</v>
      </c>
      <c r="E46" s="97"/>
      <c r="F46" s="47"/>
      <c r="G46" s="113" t="s">
        <v>675</v>
      </c>
      <c r="H46" s="51" t="e">
        <f>VLOOKUP(G46,'CH assign'!A:B,2,0)</f>
        <v>#N/A</v>
      </c>
      <c r="I46" s="7" t="e">
        <f>VLOOKUP(H46,Etch_Length_From_Layout!A:B,2,0)</f>
        <v>#N/A</v>
      </c>
      <c r="J46" s="11" t="e">
        <f t="shared" si="2"/>
        <v>#N/A</v>
      </c>
    </row>
    <row r="47" spans="2:10" ht="16.5" thickBot="1">
      <c r="B47" s="127"/>
      <c r="C47" s="65">
        <v>57</v>
      </c>
      <c r="D47" s="62" t="s">
        <v>67</v>
      </c>
      <c r="E47" s="97"/>
      <c r="F47" s="47"/>
      <c r="G47" s="113" t="s">
        <v>676</v>
      </c>
      <c r="H47" s="51" t="e">
        <f>VLOOKUP(G47,'CH assign'!A:B,2,0)</f>
        <v>#N/A</v>
      </c>
      <c r="I47" s="7" t="e">
        <f>VLOOKUP(H47,Etch_Length_From_Layout!A:B,2,0)</f>
        <v>#N/A</v>
      </c>
      <c r="J47" s="11" t="e">
        <f t="shared" si="2"/>
        <v>#N/A</v>
      </c>
    </row>
    <row r="48" spans="2:10" ht="16.5" thickBot="1">
      <c r="B48" s="127"/>
      <c r="C48" s="65">
        <v>58</v>
      </c>
      <c r="D48" s="62" t="s">
        <v>69</v>
      </c>
      <c r="E48" s="97"/>
      <c r="F48" s="47"/>
      <c r="G48" s="113" t="s">
        <v>677</v>
      </c>
      <c r="H48" s="51" t="e">
        <f>VLOOKUP(G48,'CH assign'!A:B,2,0)</f>
        <v>#N/A</v>
      </c>
      <c r="I48" s="7" t="e">
        <f>VLOOKUP(H48,Etch_Length_From_Layout!A:B,2,0)</f>
        <v>#N/A</v>
      </c>
      <c r="J48" s="11" t="e">
        <f t="shared" si="2"/>
        <v>#N/A</v>
      </c>
    </row>
    <row r="49" spans="2:10" ht="16.5" thickBot="1">
      <c r="B49" s="127"/>
      <c r="C49" s="65">
        <v>59</v>
      </c>
      <c r="D49" s="62" t="s">
        <v>70</v>
      </c>
      <c r="E49" s="97"/>
      <c r="F49" s="47"/>
      <c r="G49" s="113" t="s">
        <v>678</v>
      </c>
      <c r="H49" s="51" t="e">
        <f>VLOOKUP(G49,'CH assign'!A:B,2,0)</f>
        <v>#N/A</v>
      </c>
      <c r="I49" s="7" t="e">
        <f>VLOOKUP(H49,Etch_Length_From_Layout!A:B,2,0)</f>
        <v>#N/A</v>
      </c>
      <c r="J49" s="11" t="e">
        <f t="shared" si="2"/>
        <v>#N/A</v>
      </c>
    </row>
    <row r="50" spans="2:10" ht="16.5" thickBot="1">
      <c r="B50" s="127"/>
      <c r="C50" s="65">
        <v>60</v>
      </c>
      <c r="D50" s="62" t="s">
        <v>71</v>
      </c>
      <c r="E50" s="97"/>
      <c r="F50" s="47"/>
      <c r="G50" s="113" t="s">
        <v>679</v>
      </c>
      <c r="H50" s="51" t="e">
        <f>VLOOKUP(G50,'CH assign'!A:B,2,0)</f>
        <v>#N/A</v>
      </c>
      <c r="I50" s="7" t="e">
        <f>VLOOKUP(H50,Etch_Length_From_Layout!A:B,2,0)</f>
        <v>#N/A</v>
      </c>
      <c r="J50" s="11" t="e">
        <f t="shared" si="2"/>
        <v>#N/A</v>
      </c>
    </row>
    <row r="51" spans="2:10" ht="16.5" thickBot="1">
      <c r="B51" s="127"/>
      <c r="C51" s="65">
        <v>61</v>
      </c>
      <c r="D51" s="62" t="s">
        <v>73</v>
      </c>
      <c r="E51" s="97"/>
      <c r="F51" s="47"/>
      <c r="G51" s="113" t="s">
        <v>680</v>
      </c>
      <c r="H51" s="51" t="e">
        <f>VLOOKUP(G51,'CH assign'!A:B,2,0)</f>
        <v>#N/A</v>
      </c>
      <c r="I51" s="7" t="e">
        <f>VLOOKUP(H51,Etch_Length_From_Layout!A:B,2,0)</f>
        <v>#N/A</v>
      </c>
      <c r="J51" s="11" t="e">
        <f t="shared" si="2"/>
        <v>#N/A</v>
      </c>
    </row>
    <row r="52" spans="2:10" ht="16.5" thickBot="1">
      <c r="B52" s="127"/>
      <c r="C52" s="65">
        <v>67</v>
      </c>
      <c r="D52" s="62" t="s">
        <v>75</v>
      </c>
      <c r="E52" s="97"/>
      <c r="F52" s="47"/>
      <c r="G52" s="113" t="s">
        <v>681</v>
      </c>
      <c r="H52" s="51" t="e">
        <f>VLOOKUP(G52,'CH assign'!A:B,2,0)</f>
        <v>#N/A</v>
      </c>
      <c r="I52" s="7" t="e">
        <f>VLOOKUP(H52,Etch_Length_From_Layout!A:B,2,0)</f>
        <v>#N/A</v>
      </c>
      <c r="J52" s="11" t="e">
        <f t="shared" si="2"/>
        <v>#N/A</v>
      </c>
    </row>
    <row r="53" spans="2:10" ht="16.5" thickBot="1">
      <c r="B53" s="127"/>
      <c r="C53" s="65">
        <v>68</v>
      </c>
      <c r="D53" s="62" t="s">
        <v>77</v>
      </c>
      <c r="E53" s="97"/>
      <c r="F53" s="47"/>
      <c r="G53" s="113" t="s">
        <v>682</v>
      </c>
      <c r="H53" s="51" t="e">
        <f>VLOOKUP(G53,'CH assign'!A:B,2,0)</f>
        <v>#N/A</v>
      </c>
      <c r="I53" s="7" t="e">
        <f>VLOOKUP(H53,Etch_Length_From_Layout!A:B,2,0)</f>
        <v>#N/A</v>
      </c>
      <c r="J53" s="11" t="e">
        <f t="shared" si="2"/>
        <v>#N/A</v>
      </c>
    </row>
    <row r="54" spans="2:10" ht="16.5" thickBot="1">
      <c r="B54" s="127"/>
      <c r="C54" s="65">
        <v>69</v>
      </c>
      <c r="D54" s="62" t="s">
        <v>79</v>
      </c>
      <c r="E54" s="97"/>
      <c r="F54" s="47"/>
      <c r="G54" s="113" t="s">
        <v>683</v>
      </c>
      <c r="H54" s="51" t="e">
        <f>VLOOKUP(G54,'CH assign'!A:B,2,0)</f>
        <v>#N/A</v>
      </c>
      <c r="I54" s="7" t="e">
        <f>VLOOKUP(H54,Etch_Length_From_Layout!A:B,2,0)</f>
        <v>#N/A</v>
      </c>
      <c r="J54" s="11" t="e">
        <f t="shared" si="2"/>
        <v>#N/A</v>
      </c>
    </row>
    <row r="55" spans="2:10" ht="16.5" thickBot="1">
      <c r="B55" s="127"/>
      <c r="C55" s="65">
        <v>149</v>
      </c>
      <c r="D55" s="62" t="s">
        <v>81</v>
      </c>
      <c r="E55" s="97"/>
      <c r="F55" s="47"/>
      <c r="G55" s="113" t="s">
        <v>684</v>
      </c>
      <c r="H55" s="51" t="e">
        <f>VLOOKUP(G55,'CH assign'!A:B,2,0)</f>
        <v>#N/A</v>
      </c>
      <c r="I55" s="7" t="e">
        <f>VLOOKUP(H55,Etch_Length_From_Layout!A:B,2,0)</f>
        <v>#N/A</v>
      </c>
      <c r="J55" s="11" t="e">
        <f t="shared" si="2"/>
        <v>#N/A</v>
      </c>
    </row>
    <row r="56" spans="2:10" ht="16.5" thickBot="1">
      <c r="B56" s="127"/>
      <c r="C56" s="65">
        <v>150</v>
      </c>
      <c r="D56" s="62" t="s">
        <v>83</v>
      </c>
      <c r="E56" s="97"/>
      <c r="F56" s="47"/>
      <c r="G56" s="113" t="s">
        <v>685</v>
      </c>
      <c r="H56" s="51" t="e">
        <f>VLOOKUP(G56,'CH assign'!A:B,2,0)</f>
        <v>#N/A</v>
      </c>
      <c r="I56" s="7" t="e">
        <f>VLOOKUP(H56,Etch_Length_From_Layout!A:B,2,0)</f>
        <v>#N/A</v>
      </c>
      <c r="J56" s="11" t="e">
        <f t="shared" si="2"/>
        <v>#N/A</v>
      </c>
    </row>
    <row r="57" spans="2:10" ht="16.5" thickBot="1">
      <c r="B57" s="127"/>
      <c r="C57" s="65">
        <v>151</v>
      </c>
      <c r="D57" s="62" t="s">
        <v>84</v>
      </c>
      <c r="E57" s="97"/>
      <c r="F57" s="47"/>
      <c r="G57" s="113" t="s">
        <v>686</v>
      </c>
      <c r="H57" s="51" t="e">
        <f>VLOOKUP(G57,'CH assign'!A:B,2,0)</f>
        <v>#N/A</v>
      </c>
      <c r="I57" s="7" t="e">
        <f>VLOOKUP(H57,Etch_Length_From_Layout!A:B,2,0)</f>
        <v>#N/A</v>
      </c>
      <c r="J57" s="11" t="e">
        <f t="shared" si="2"/>
        <v>#N/A</v>
      </c>
    </row>
    <row r="58" spans="2:10" ht="16.5" thickBot="1">
      <c r="B58" s="127"/>
      <c r="C58" s="65">
        <v>152</v>
      </c>
      <c r="D58" s="62" t="s">
        <v>85</v>
      </c>
      <c r="E58" s="97"/>
      <c r="F58" s="47"/>
      <c r="G58" s="113" t="s">
        <v>687</v>
      </c>
      <c r="H58" s="51" t="e">
        <f>VLOOKUP(G58,'CH assign'!A:B,2,0)</f>
        <v>#N/A</v>
      </c>
      <c r="I58" s="7" t="e">
        <f>VLOOKUP(H58,Etch_Length_From_Layout!A:B,2,0)</f>
        <v>#N/A</v>
      </c>
      <c r="J58" s="11" t="e">
        <f t="shared" si="2"/>
        <v>#N/A</v>
      </c>
    </row>
    <row r="59" spans="2:10" ht="16.5" thickBot="1">
      <c r="B59" s="127"/>
      <c r="C59" s="65">
        <v>43</v>
      </c>
      <c r="D59" s="62" t="s">
        <v>87</v>
      </c>
      <c r="E59" s="97" t="s">
        <v>615</v>
      </c>
      <c r="F59" s="47">
        <f>VLOOKUP(E59,Etch_Length_From_Layout!A:B,2,0)</f>
        <v>1018.74</v>
      </c>
      <c r="G59" s="113" t="s">
        <v>688</v>
      </c>
      <c r="H59" s="51" t="e">
        <f>VLOOKUP(G59,'CH assign'!A:B,2,0)</f>
        <v>#N/A</v>
      </c>
      <c r="I59" s="7" t="e">
        <f>VLOOKUP(H59,Etch_Length_From_Layout!A:B,2,0)</f>
        <v>#N/A</v>
      </c>
      <c r="J59" s="11" t="e">
        <f t="shared" si="2"/>
        <v>#N/A</v>
      </c>
    </row>
    <row r="60" spans="2:10" ht="16.5" thickBot="1">
      <c r="B60" s="127"/>
      <c r="C60" s="65">
        <v>42</v>
      </c>
      <c r="D60" s="62" t="s">
        <v>89</v>
      </c>
      <c r="E60" s="97" t="s">
        <v>618</v>
      </c>
      <c r="F60" s="47">
        <f>VLOOKUP(E60,Etch_Length_From_Layout!A:B,2,0)</f>
        <v>996.97</v>
      </c>
      <c r="G60" s="113" t="s">
        <v>689</v>
      </c>
      <c r="H60" s="51" t="e">
        <f>VLOOKUP(G60,'CH assign'!A:B,2,0)</f>
        <v>#N/A</v>
      </c>
      <c r="I60" s="7" t="e">
        <f>VLOOKUP(H60,Etch_Length_From_Layout!A:B,2,0)</f>
        <v>#N/A</v>
      </c>
      <c r="J60" s="11" t="e">
        <f t="shared" si="2"/>
        <v>#N/A</v>
      </c>
    </row>
    <row r="61" spans="2:10" ht="16.5" thickBot="1">
      <c r="B61" s="127"/>
      <c r="C61" s="65">
        <v>44</v>
      </c>
      <c r="D61" s="62" t="s">
        <v>91</v>
      </c>
      <c r="E61" s="97" t="s">
        <v>621</v>
      </c>
      <c r="F61" s="47">
        <f>VLOOKUP(E61,Etch_Length_From_Layout!A:B,2,0)</f>
        <v>1344.39</v>
      </c>
      <c r="G61" s="113" t="s">
        <v>690</v>
      </c>
      <c r="H61" s="51" t="e">
        <f>VLOOKUP(G61,'CH assign'!A:B,2,0)</f>
        <v>#N/A</v>
      </c>
      <c r="I61" s="7" t="e">
        <f>VLOOKUP(H61,Etch_Length_From_Layout!A:B,2,0)</f>
        <v>#N/A</v>
      </c>
      <c r="J61" s="11" t="e">
        <f t="shared" si="2"/>
        <v>#N/A</v>
      </c>
    </row>
    <row r="62" spans="2:10" ht="16.5" thickBot="1">
      <c r="B62" s="128"/>
      <c r="C62" s="66">
        <v>41</v>
      </c>
      <c r="D62" s="63" t="s">
        <v>93</v>
      </c>
      <c r="E62" s="103" t="s">
        <v>625</v>
      </c>
      <c r="F62" s="48">
        <f>VLOOKUP(E62,Etch_Length_From_Layout!A:B,2,0)</f>
        <v>1455.19</v>
      </c>
      <c r="G62" s="113" t="s">
        <v>691</v>
      </c>
      <c r="H62" s="50" t="e">
        <f>VLOOKUP(G62,'CH assign'!A:B,2,0)</f>
        <v>#N/A</v>
      </c>
      <c r="I62" s="29" t="e">
        <f>VLOOKUP(H62,Etch_Length_From_Layout!A:B,2,0)</f>
        <v>#N/A</v>
      </c>
      <c r="J62" s="13" t="e">
        <f t="shared" si="2"/>
        <v>#N/A</v>
      </c>
    </row>
    <row r="63" spans="2:10" ht="16.5" thickBot="1">
      <c r="B63" s="126" t="s">
        <v>303</v>
      </c>
      <c r="C63" s="64">
        <v>48</v>
      </c>
      <c r="D63" s="61" t="s">
        <v>61</v>
      </c>
      <c r="E63" s="102"/>
      <c r="F63" s="46"/>
      <c r="G63" s="113" t="s">
        <v>692</v>
      </c>
      <c r="H63" s="49" t="e">
        <f>VLOOKUP(G63,'CH assign'!A:B,2,0)</f>
        <v>#N/A</v>
      </c>
      <c r="I63" s="25" t="e">
        <f>VLOOKUP(H63,Etch_Length_From_Layout!A:B,2,0)</f>
        <v>#N/A</v>
      </c>
      <c r="J63" s="27" t="e">
        <f>F63+I63</f>
        <v>#N/A</v>
      </c>
    </row>
    <row r="64" spans="2:10" ht="16.5" thickBot="1">
      <c r="B64" s="127"/>
      <c r="C64" s="65">
        <v>52</v>
      </c>
      <c r="D64" s="62" t="s">
        <v>62</v>
      </c>
      <c r="E64" s="97"/>
      <c r="F64" s="47"/>
      <c r="G64" s="113" t="s">
        <v>693</v>
      </c>
      <c r="H64" s="51" t="e">
        <f>VLOOKUP(G64,'CH assign'!A:B,2,0)</f>
        <v>#N/A</v>
      </c>
      <c r="I64" s="7" t="e">
        <f>VLOOKUP(H64,Etch_Length_From_Layout!A:B,2,0)</f>
        <v>#N/A</v>
      </c>
      <c r="J64" s="11" t="e">
        <f t="shared" ref="J64:J82" si="3">F64+I64</f>
        <v>#N/A</v>
      </c>
    </row>
    <row r="65" spans="2:10" ht="16.5" thickBot="1">
      <c r="B65" s="127"/>
      <c r="C65" s="65">
        <v>53</v>
      </c>
      <c r="D65" s="62" t="s">
        <v>64</v>
      </c>
      <c r="E65" s="97"/>
      <c r="F65" s="47"/>
      <c r="G65" s="113" t="s">
        <v>694</v>
      </c>
      <c r="H65" s="51" t="e">
        <f>VLOOKUP(G65,'CH assign'!A:B,2,0)</f>
        <v>#N/A</v>
      </c>
      <c r="I65" s="7" t="e">
        <f>VLOOKUP(H65,Etch_Length_From_Layout!A:B,2,0)</f>
        <v>#N/A</v>
      </c>
      <c r="J65" s="11" t="e">
        <f t="shared" si="3"/>
        <v>#N/A</v>
      </c>
    </row>
    <row r="66" spans="2:10" ht="16.5" thickBot="1">
      <c r="B66" s="127"/>
      <c r="C66" s="65">
        <v>56</v>
      </c>
      <c r="D66" s="62" t="s">
        <v>65</v>
      </c>
      <c r="E66" s="97"/>
      <c r="F66" s="47"/>
      <c r="G66" s="113" t="s">
        <v>695</v>
      </c>
      <c r="H66" s="51" t="e">
        <f>VLOOKUP(G66,'CH assign'!A:B,2,0)</f>
        <v>#N/A</v>
      </c>
      <c r="I66" s="7" t="e">
        <f>VLOOKUP(H66,Etch_Length_From_Layout!A:B,2,0)</f>
        <v>#N/A</v>
      </c>
      <c r="J66" s="11" t="e">
        <f t="shared" si="3"/>
        <v>#N/A</v>
      </c>
    </row>
    <row r="67" spans="2:10" ht="16.5" thickBot="1">
      <c r="B67" s="127"/>
      <c r="C67" s="65">
        <v>57</v>
      </c>
      <c r="D67" s="62" t="s">
        <v>67</v>
      </c>
      <c r="E67" s="97"/>
      <c r="F67" s="47"/>
      <c r="G67" s="113" t="s">
        <v>696</v>
      </c>
      <c r="H67" s="51" t="e">
        <f>VLOOKUP(G67,'CH assign'!A:B,2,0)</f>
        <v>#N/A</v>
      </c>
      <c r="I67" s="7" t="e">
        <f>VLOOKUP(H67,Etch_Length_From_Layout!A:B,2,0)</f>
        <v>#N/A</v>
      </c>
      <c r="J67" s="11" t="e">
        <f t="shared" si="3"/>
        <v>#N/A</v>
      </c>
    </row>
    <row r="68" spans="2:10" ht="16.5" thickBot="1">
      <c r="B68" s="127"/>
      <c r="C68" s="65">
        <v>58</v>
      </c>
      <c r="D68" s="62" t="s">
        <v>69</v>
      </c>
      <c r="E68" s="97"/>
      <c r="F68" s="47"/>
      <c r="G68" s="113" t="s">
        <v>697</v>
      </c>
      <c r="H68" s="51" t="e">
        <f>VLOOKUP(G68,'CH assign'!A:B,2,0)</f>
        <v>#N/A</v>
      </c>
      <c r="I68" s="7" t="e">
        <f>VLOOKUP(H68,Etch_Length_From_Layout!A:B,2,0)</f>
        <v>#N/A</v>
      </c>
      <c r="J68" s="11" t="e">
        <f t="shared" si="3"/>
        <v>#N/A</v>
      </c>
    </row>
    <row r="69" spans="2:10" ht="16.5" thickBot="1">
      <c r="B69" s="127"/>
      <c r="C69" s="65">
        <v>59</v>
      </c>
      <c r="D69" s="62" t="s">
        <v>70</v>
      </c>
      <c r="E69" s="97"/>
      <c r="F69" s="47"/>
      <c r="G69" s="113" t="s">
        <v>698</v>
      </c>
      <c r="H69" s="51" t="e">
        <f>VLOOKUP(G69,'CH assign'!A:B,2,0)</f>
        <v>#N/A</v>
      </c>
      <c r="I69" s="7" t="e">
        <f>VLOOKUP(H69,Etch_Length_From_Layout!A:B,2,0)</f>
        <v>#N/A</v>
      </c>
      <c r="J69" s="11" t="e">
        <f t="shared" si="3"/>
        <v>#N/A</v>
      </c>
    </row>
    <row r="70" spans="2:10" ht="16.5" thickBot="1">
      <c r="B70" s="127"/>
      <c r="C70" s="65">
        <v>60</v>
      </c>
      <c r="D70" s="62" t="s">
        <v>71</v>
      </c>
      <c r="E70" s="97"/>
      <c r="F70" s="47"/>
      <c r="G70" s="113" t="s">
        <v>699</v>
      </c>
      <c r="H70" s="51" t="e">
        <f>VLOOKUP(G70,'CH assign'!A:B,2,0)</f>
        <v>#N/A</v>
      </c>
      <c r="I70" s="7" t="e">
        <f>VLOOKUP(H70,Etch_Length_From_Layout!A:B,2,0)</f>
        <v>#N/A</v>
      </c>
      <c r="J70" s="11" t="e">
        <f t="shared" si="3"/>
        <v>#N/A</v>
      </c>
    </row>
    <row r="71" spans="2:10" ht="16.5" thickBot="1">
      <c r="B71" s="127"/>
      <c r="C71" s="65">
        <v>61</v>
      </c>
      <c r="D71" s="62" t="s">
        <v>73</v>
      </c>
      <c r="E71" s="97"/>
      <c r="F71" s="47"/>
      <c r="G71" s="113" t="s">
        <v>700</v>
      </c>
      <c r="H71" s="51" t="e">
        <f>VLOOKUP(G71,'CH assign'!A:B,2,0)</f>
        <v>#N/A</v>
      </c>
      <c r="I71" s="7" t="e">
        <f>VLOOKUP(H71,Etch_Length_From_Layout!A:B,2,0)</f>
        <v>#N/A</v>
      </c>
      <c r="J71" s="11" t="e">
        <f t="shared" si="3"/>
        <v>#N/A</v>
      </c>
    </row>
    <row r="72" spans="2:10" ht="16.5" thickBot="1">
      <c r="B72" s="127"/>
      <c r="C72" s="65">
        <v>67</v>
      </c>
      <c r="D72" s="62" t="s">
        <v>75</v>
      </c>
      <c r="E72" s="97"/>
      <c r="F72" s="47"/>
      <c r="G72" s="113" t="s">
        <v>701</v>
      </c>
      <c r="H72" s="51" t="e">
        <f>VLOOKUP(G72,'CH assign'!A:B,2,0)</f>
        <v>#N/A</v>
      </c>
      <c r="I72" s="7" t="e">
        <f>VLOOKUP(H72,Etch_Length_From_Layout!A:B,2,0)</f>
        <v>#N/A</v>
      </c>
      <c r="J72" s="11" t="e">
        <f t="shared" si="3"/>
        <v>#N/A</v>
      </c>
    </row>
    <row r="73" spans="2:10" ht="16.5" thickBot="1">
      <c r="B73" s="127"/>
      <c r="C73" s="65">
        <v>68</v>
      </c>
      <c r="D73" s="62" t="s">
        <v>77</v>
      </c>
      <c r="E73" s="97"/>
      <c r="F73" s="47"/>
      <c r="G73" s="113" t="s">
        <v>702</v>
      </c>
      <c r="H73" s="51" t="e">
        <f>VLOOKUP(G73,'CH assign'!A:B,2,0)</f>
        <v>#N/A</v>
      </c>
      <c r="I73" s="7" t="e">
        <f>VLOOKUP(H73,Etch_Length_From_Layout!A:B,2,0)</f>
        <v>#N/A</v>
      </c>
      <c r="J73" s="11" t="e">
        <f t="shared" si="3"/>
        <v>#N/A</v>
      </c>
    </row>
    <row r="74" spans="2:10" ht="16.5" thickBot="1">
      <c r="B74" s="127"/>
      <c r="C74" s="65">
        <v>69</v>
      </c>
      <c r="D74" s="62" t="s">
        <v>79</v>
      </c>
      <c r="E74" s="97"/>
      <c r="F74" s="47"/>
      <c r="G74" s="113" t="s">
        <v>703</v>
      </c>
      <c r="H74" s="51" t="e">
        <f>VLOOKUP(G74,'CH assign'!A:B,2,0)</f>
        <v>#N/A</v>
      </c>
      <c r="I74" s="7" t="e">
        <f>VLOOKUP(H74,Etch_Length_From_Layout!A:B,2,0)</f>
        <v>#N/A</v>
      </c>
      <c r="J74" s="11" t="e">
        <f t="shared" si="3"/>
        <v>#N/A</v>
      </c>
    </row>
    <row r="75" spans="2:10" ht="16.5" thickBot="1">
      <c r="B75" s="127"/>
      <c r="C75" s="65">
        <v>149</v>
      </c>
      <c r="D75" s="62" t="s">
        <v>81</v>
      </c>
      <c r="E75" s="97"/>
      <c r="F75" s="47"/>
      <c r="G75" s="113" t="s">
        <v>704</v>
      </c>
      <c r="H75" s="51" t="e">
        <f>VLOOKUP(G75,'CH assign'!A:B,2,0)</f>
        <v>#N/A</v>
      </c>
      <c r="I75" s="7" t="e">
        <f>VLOOKUP(H75,Etch_Length_From_Layout!A:B,2,0)</f>
        <v>#N/A</v>
      </c>
      <c r="J75" s="11" t="e">
        <f t="shared" si="3"/>
        <v>#N/A</v>
      </c>
    </row>
    <row r="76" spans="2:10" ht="16.5" thickBot="1">
      <c r="B76" s="127"/>
      <c r="C76" s="65">
        <v>150</v>
      </c>
      <c r="D76" s="62" t="s">
        <v>83</v>
      </c>
      <c r="E76" s="97"/>
      <c r="F76" s="47"/>
      <c r="G76" s="113" t="s">
        <v>705</v>
      </c>
      <c r="H76" s="51" t="e">
        <f>VLOOKUP(G76,'CH assign'!A:B,2,0)</f>
        <v>#N/A</v>
      </c>
      <c r="I76" s="7" t="e">
        <f>VLOOKUP(H76,Etch_Length_From_Layout!A:B,2,0)</f>
        <v>#N/A</v>
      </c>
      <c r="J76" s="11" t="e">
        <f t="shared" si="3"/>
        <v>#N/A</v>
      </c>
    </row>
    <row r="77" spans="2:10" ht="16.5" thickBot="1">
      <c r="B77" s="127"/>
      <c r="C77" s="65">
        <v>151</v>
      </c>
      <c r="D77" s="62" t="s">
        <v>84</v>
      </c>
      <c r="E77" s="97"/>
      <c r="F77" s="47"/>
      <c r="G77" s="113" t="s">
        <v>706</v>
      </c>
      <c r="H77" s="51" t="e">
        <f>VLOOKUP(G77,'CH assign'!A:B,2,0)</f>
        <v>#N/A</v>
      </c>
      <c r="I77" s="7" t="e">
        <f>VLOOKUP(H77,Etch_Length_From_Layout!A:B,2,0)</f>
        <v>#N/A</v>
      </c>
      <c r="J77" s="11" t="e">
        <f t="shared" si="3"/>
        <v>#N/A</v>
      </c>
    </row>
    <row r="78" spans="2:10" ht="16.5" thickBot="1">
      <c r="B78" s="127"/>
      <c r="C78" s="65">
        <v>152</v>
      </c>
      <c r="D78" s="62" t="s">
        <v>85</v>
      </c>
      <c r="E78" s="97"/>
      <c r="F78" s="47"/>
      <c r="G78" s="113" t="s">
        <v>707</v>
      </c>
      <c r="H78" s="51" t="e">
        <f>VLOOKUP(G78,'CH assign'!A:B,2,0)</f>
        <v>#N/A</v>
      </c>
      <c r="I78" s="7" t="e">
        <f>VLOOKUP(H78,Etch_Length_From_Layout!A:B,2,0)</f>
        <v>#N/A</v>
      </c>
      <c r="J78" s="11" t="e">
        <f t="shared" si="3"/>
        <v>#N/A</v>
      </c>
    </row>
    <row r="79" spans="2:10" ht="16.5" thickBot="1">
      <c r="B79" s="127"/>
      <c r="C79" s="65">
        <v>43</v>
      </c>
      <c r="D79" s="62" t="s">
        <v>87</v>
      </c>
      <c r="E79" s="97" t="s">
        <v>629</v>
      </c>
      <c r="F79" s="47">
        <f>VLOOKUP(E79,Etch_Length_From_Layout!A:B,2,0)</f>
        <v>1018.74</v>
      </c>
      <c r="G79" s="113" t="s">
        <v>708</v>
      </c>
      <c r="H79" s="51" t="e">
        <f>VLOOKUP(G79,'CH assign'!A:B,2,0)</f>
        <v>#N/A</v>
      </c>
      <c r="I79" s="7" t="e">
        <f>VLOOKUP(H79,Etch_Length_From_Layout!A:B,2,0)</f>
        <v>#N/A</v>
      </c>
      <c r="J79" s="11" t="e">
        <f t="shared" si="3"/>
        <v>#N/A</v>
      </c>
    </row>
    <row r="80" spans="2:10" ht="16.5" thickBot="1">
      <c r="B80" s="127"/>
      <c r="C80" s="65">
        <v>42</v>
      </c>
      <c r="D80" s="62" t="s">
        <v>89</v>
      </c>
      <c r="E80" s="97" t="s">
        <v>632</v>
      </c>
      <c r="F80" s="47">
        <f>VLOOKUP(E80,Etch_Length_From_Layout!A:B,2,0)</f>
        <v>996.97</v>
      </c>
      <c r="G80" s="113" t="s">
        <v>709</v>
      </c>
      <c r="H80" s="51" t="e">
        <f>VLOOKUP(G80,'CH assign'!A:B,2,0)</f>
        <v>#N/A</v>
      </c>
      <c r="I80" s="7" t="e">
        <f>VLOOKUP(H80,Etch_Length_From_Layout!A:B,2,0)</f>
        <v>#N/A</v>
      </c>
      <c r="J80" s="11" t="e">
        <f t="shared" si="3"/>
        <v>#N/A</v>
      </c>
    </row>
    <row r="81" spans="2:10" ht="16.5" thickBot="1">
      <c r="B81" s="127"/>
      <c r="C81" s="65">
        <v>44</v>
      </c>
      <c r="D81" s="62" t="s">
        <v>91</v>
      </c>
      <c r="E81" s="97" t="s">
        <v>635</v>
      </c>
      <c r="F81" s="47">
        <f>VLOOKUP(E81,Etch_Length_From_Layout!A:B,2,0)</f>
        <v>147.47999999999999</v>
      </c>
      <c r="G81" s="113" t="s">
        <v>710</v>
      </c>
      <c r="H81" s="51" t="e">
        <f>VLOOKUP(G81,'CH assign'!A:B,2,0)</f>
        <v>#N/A</v>
      </c>
      <c r="I81" s="7" t="e">
        <f>VLOOKUP(H81,Etch_Length_From_Layout!A:B,2,0)</f>
        <v>#N/A</v>
      </c>
      <c r="J81" s="11" t="e">
        <f t="shared" si="3"/>
        <v>#N/A</v>
      </c>
    </row>
    <row r="82" spans="2:10" ht="16.5" thickBot="1">
      <c r="B82" s="128"/>
      <c r="C82" s="66">
        <v>41</v>
      </c>
      <c r="D82" s="63" t="s">
        <v>93</v>
      </c>
      <c r="E82" s="103" t="s">
        <v>639</v>
      </c>
      <c r="F82" s="48">
        <f>VLOOKUP(E82,Etch_Length_From_Layout!A:B,2,0)</f>
        <v>1455.19</v>
      </c>
      <c r="G82" s="113" t="s">
        <v>711</v>
      </c>
      <c r="H82" s="50" t="e">
        <f>VLOOKUP(G82,'CH assign'!A:B,2,0)</f>
        <v>#N/A</v>
      </c>
      <c r="I82" s="29" t="e">
        <f>VLOOKUP(H82,Etch_Length_From_Layout!A:B,2,0)</f>
        <v>#N/A</v>
      </c>
      <c r="J82" s="13" t="e">
        <f t="shared" si="3"/>
        <v>#N/A</v>
      </c>
    </row>
    <row r="83" spans="2:10">
      <c r="B83" s="30"/>
      <c r="C83" s="31"/>
      <c r="D83" s="31"/>
      <c r="E83" s="32"/>
      <c r="F83" s="34"/>
      <c r="G83" s="32"/>
      <c r="H83" s="32"/>
      <c r="I83" s="34" t="s">
        <v>0</v>
      </c>
      <c r="J83" s="55" t="e">
        <f>MAX(J3:J82)</f>
        <v>#N/A</v>
      </c>
    </row>
    <row r="84" spans="2:10">
      <c r="B84" s="22"/>
      <c r="C84" s="16"/>
      <c r="D84" s="16"/>
      <c r="E84" s="20"/>
      <c r="F84" s="18"/>
      <c r="G84" s="20"/>
      <c r="H84" s="20"/>
      <c r="I84" s="18" t="s">
        <v>1</v>
      </c>
      <c r="J84" s="52" t="e">
        <f>MIN(J3:J82)</f>
        <v>#N/A</v>
      </c>
    </row>
    <row r="85" spans="2:10">
      <c r="B85" s="22"/>
      <c r="C85" s="16"/>
      <c r="D85" s="16"/>
      <c r="E85" s="20"/>
      <c r="F85" s="18"/>
      <c r="G85" s="20"/>
      <c r="H85" s="20"/>
      <c r="I85" s="18" t="s">
        <v>2</v>
      </c>
      <c r="J85" s="52" t="e">
        <f>J83-J84</f>
        <v>#N/A</v>
      </c>
    </row>
    <row r="86" spans="2:10" ht="16.5" thickBot="1">
      <c r="B86" s="23"/>
      <c r="C86" s="17"/>
      <c r="D86" s="17"/>
      <c r="E86" s="21"/>
      <c r="F86" s="19"/>
      <c r="G86" s="21"/>
      <c r="H86" s="21"/>
      <c r="I86" s="19" t="s">
        <v>3</v>
      </c>
      <c r="J86" s="53" t="e">
        <f>IF(J85&lt;=1,"PASS", "FAIL")</f>
        <v>#N/A</v>
      </c>
    </row>
  </sheetData>
  <mergeCells count="6">
    <mergeCell ref="B63:B82"/>
    <mergeCell ref="B23:B42"/>
    <mergeCell ref="A2:A4"/>
    <mergeCell ref="B3:B22"/>
    <mergeCell ref="B1:J1"/>
    <mergeCell ref="B43:B62"/>
  </mergeCells>
  <phoneticPr fontId="1" type="noConversion"/>
  <conditionalFormatting sqref="C19:C22">
    <cfRule type="containsText" dxfId="13" priority="15" operator="containsText" text="FAIL">
      <formula>NOT(ISERROR(SEARCH("FAIL",C19)))</formula>
    </cfRule>
    <cfRule type="containsText" dxfId="12" priority="16" operator="containsText" text="PASS">
      <formula>NOT(ISERROR(SEARCH("PASS",C19)))</formula>
    </cfRule>
  </conditionalFormatting>
  <conditionalFormatting sqref="C39:C42">
    <cfRule type="containsText" dxfId="11" priority="11" operator="containsText" text="FAIL">
      <formula>NOT(ISERROR(SEARCH("FAIL",C39)))</formula>
    </cfRule>
    <cfRule type="containsText" dxfId="10" priority="12" operator="containsText" text="PASS">
      <formula>NOT(ISERROR(SEARCH("PASS",C39)))</formula>
    </cfRule>
  </conditionalFormatting>
  <conditionalFormatting sqref="C59:C62">
    <cfRule type="containsText" dxfId="9" priority="7" operator="containsText" text="FAIL">
      <formula>NOT(ISERROR(SEARCH("FAIL",C59)))</formula>
    </cfRule>
    <cfRule type="containsText" dxfId="8" priority="8" operator="containsText" text="PASS">
      <formula>NOT(ISERROR(SEARCH("PASS",C59)))</formula>
    </cfRule>
  </conditionalFormatting>
  <conditionalFormatting sqref="C79:C82">
    <cfRule type="containsText" dxfId="7" priority="3" operator="containsText" text="FAIL">
      <formula>NOT(ISERROR(SEARCH("FAIL",C79)))</formula>
    </cfRule>
    <cfRule type="containsText" dxfId="6" priority="4" operator="containsText" text="PASS">
      <formula>NOT(ISERROR(SEARCH("PASS",C79)))</formula>
    </cfRule>
  </conditionalFormatting>
  <conditionalFormatting sqref="I1:J1048576">
    <cfRule type="containsText" dxfId="5" priority="5" operator="containsText" text="FAIL">
      <formula>NOT(ISERROR(SEARCH("FAIL",I1)))</formula>
    </cfRule>
    <cfRule type="containsText" dxfId="4" priority="6" operator="containsText" text="PASS">
      <formula>NOT(ISERROR(SEARCH("PASS",I1)))</formula>
    </cfRule>
  </conditionalFormatting>
  <conditionalFormatting sqref="J86">
    <cfRule type="containsText" dxfId="3" priority="1" operator="containsText" text="pass">
      <formula>NOT(ISERROR(SEARCH("pass",J86)))</formula>
    </cfRule>
    <cfRule type="containsText" dxfId="2" priority="2" operator="containsText" text="fail">
      <formula>NOT(ISERROR(SEARCH("fail",J86)))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44"/>
  <sheetViews>
    <sheetView topLeftCell="A109" workbookViewId="0">
      <selection activeCell="C132" sqref="C132"/>
    </sheetView>
  </sheetViews>
  <sheetFormatPr defaultRowHeight="15.75"/>
  <cols>
    <col min="1" max="1" width="19.375" bestFit="1" customWidth="1"/>
    <col min="2" max="2" width="7.125" bestFit="1" customWidth="1"/>
    <col min="12" max="12" width="21.25" bestFit="1" customWidth="1"/>
  </cols>
  <sheetData>
    <row r="1" spans="1:2">
      <c r="A1" t="s">
        <v>713</v>
      </c>
      <c r="B1" t="s">
        <v>714</v>
      </c>
    </row>
    <row r="2" spans="1:2">
      <c r="A2" t="s">
        <v>715</v>
      </c>
      <c r="B2" t="s">
        <v>716</v>
      </c>
    </row>
    <row r="3" spans="1:2">
      <c r="A3" t="s">
        <v>717</v>
      </c>
      <c r="B3" t="s">
        <v>718</v>
      </c>
    </row>
    <row r="4" spans="1:2">
      <c r="A4" t="s">
        <v>719</v>
      </c>
      <c r="B4" t="s">
        <v>720</v>
      </c>
    </row>
    <row r="5" spans="1:2">
      <c r="A5" t="s">
        <v>721</v>
      </c>
      <c r="B5" t="s">
        <v>722</v>
      </c>
    </row>
    <row r="6" spans="1:2">
      <c r="A6" t="s">
        <v>723</v>
      </c>
      <c r="B6" t="s">
        <v>724</v>
      </c>
    </row>
    <row r="7" spans="1:2">
      <c r="A7" t="s">
        <v>725</v>
      </c>
      <c r="B7" t="s">
        <v>726</v>
      </c>
    </row>
    <row r="8" spans="1:2">
      <c r="A8" t="s">
        <v>727</v>
      </c>
      <c r="B8" t="s">
        <v>728</v>
      </c>
    </row>
    <row r="9" spans="1:2">
      <c r="A9" t="s">
        <v>729</v>
      </c>
      <c r="B9" t="s">
        <v>730</v>
      </c>
    </row>
    <row r="10" spans="1:2">
      <c r="A10" t="s">
        <v>731</v>
      </c>
      <c r="B10" t="s">
        <v>732</v>
      </c>
    </row>
    <row r="11" spans="1:2">
      <c r="A11" t="s">
        <v>733</v>
      </c>
      <c r="B11" t="s">
        <v>734</v>
      </c>
    </row>
    <row r="12" spans="1:2">
      <c r="A12" t="s">
        <v>735</v>
      </c>
      <c r="B12" t="s">
        <v>736</v>
      </c>
    </row>
    <row r="13" spans="1:2">
      <c r="A13" t="s">
        <v>737</v>
      </c>
      <c r="B13" t="s">
        <v>738</v>
      </c>
    </row>
    <row r="14" spans="1:2">
      <c r="A14" t="s">
        <v>739</v>
      </c>
      <c r="B14" t="s">
        <v>740</v>
      </c>
    </row>
    <row r="15" spans="1:2">
      <c r="A15" t="s">
        <v>741</v>
      </c>
      <c r="B15" t="s">
        <v>742</v>
      </c>
    </row>
    <row r="16" spans="1:2">
      <c r="A16" t="s">
        <v>743</v>
      </c>
      <c r="B16" t="s">
        <v>744</v>
      </c>
    </row>
    <row r="17" spans="1:2">
      <c r="A17" t="s">
        <v>745</v>
      </c>
      <c r="B17" t="s">
        <v>746</v>
      </c>
    </row>
    <row r="18" spans="1:2">
      <c r="A18" t="s">
        <v>747</v>
      </c>
      <c r="B18" t="s">
        <v>748</v>
      </c>
    </row>
    <row r="19" spans="1:2">
      <c r="A19" t="s">
        <v>749</v>
      </c>
      <c r="B19" t="s">
        <v>750</v>
      </c>
    </row>
    <row r="20" spans="1:2">
      <c r="A20" t="s">
        <v>751</v>
      </c>
      <c r="B20" t="s">
        <v>752</v>
      </c>
    </row>
    <row r="21" spans="1:2">
      <c r="A21" t="s">
        <v>753</v>
      </c>
      <c r="B21" t="s">
        <v>754</v>
      </c>
    </row>
    <row r="22" spans="1:2">
      <c r="A22" t="s">
        <v>755</v>
      </c>
      <c r="B22" t="s">
        <v>756</v>
      </c>
    </row>
    <row r="23" spans="1:2">
      <c r="A23" t="s">
        <v>757</v>
      </c>
      <c r="B23" t="s">
        <v>758</v>
      </c>
    </row>
    <row r="24" spans="1:2">
      <c r="A24" t="s">
        <v>759</v>
      </c>
      <c r="B24" t="s">
        <v>760</v>
      </c>
    </row>
    <row r="25" spans="1:2">
      <c r="A25" t="s">
        <v>761</v>
      </c>
      <c r="B25" t="s">
        <v>762</v>
      </c>
    </row>
    <row r="26" spans="1:2">
      <c r="A26" t="s">
        <v>763</v>
      </c>
      <c r="B26" t="s">
        <v>764</v>
      </c>
    </row>
    <row r="27" spans="1:2">
      <c r="A27" t="s">
        <v>765</v>
      </c>
      <c r="B27" t="s">
        <v>766</v>
      </c>
    </row>
    <row r="28" spans="1:2">
      <c r="A28" t="s">
        <v>767</v>
      </c>
      <c r="B28" t="s">
        <v>768</v>
      </c>
    </row>
    <row r="29" spans="1:2">
      <c r="A29" t="s">
        <v>769</v>
      </c>
      <c r="B29" t="s">
        <v>770</v>
      </c>
    </row>
    <row r="30" spans="1:2">
      <c r="A30" t="s">
        <v>771</v>
      </c>
      <c r="B30" t="s">
        <v>772</v>
      </c>
    </row>
    <row r="31" spans="1:2">
      <c r="A31" t="s">
        <v>773</v>
      </c>
      <c r="B31" t="s">
        <v>774</v>
      </c>
    </row>
    <row r="32" spans="1:2">
      <c r="A32" t="s">
        <v>775</v>
      </c>
      <c r="B32" t="s">
        <v>776</v>
      </c>
    </row>
    <row r="33" spans="1:2">
      <c r="A33" t="s">
        <v>777</v>
      </c>
      <c r="B33" t="s">
        <v>778</v>
      </c>
    </row>
    <row r="34" spans="1:2">
      <c r="A34" t="s">
        <v>779</v>
      </c>
      <c r="B34" t="s">
        <v>780</v>
      </c>
    </row>
    <row r="35" spans="1:2">
      <c r="A35" t="s">
        <v>781</v>
      </c>
      <c r="B35" t="s">
        <v>782</v>
      </c>
    </row>
    <row r="36" spans="1:2">
      <c r="A36" t="s">
        <v>783</v>
      </c>
      <c r="B36" t="s">
        <v>784</v>
      </c>
    </row>
    <row r="37" spans="1:2">
      <c r="A37" t="s">
        <v>785</v>
      </c>
      <c r="B37" t="s">
        <v>786</v>
      </c>
    </row>
    <row r="38" spans="1:2">
      <c r="A38" t="s">
        <v>787</v>
      </c>
      <c r="B38" t="s">
        <v>788</v>
      </c>
    </row>
    <row r="39" spans="1:2">
      <c r="A39" t="s">
        <v>789</v>
      </c>
      <c r="B39" t="s">
        <v>790</v>
      </c>
    </row>
    <row r="40" spans="1:2">
      <c r="A40" t="s">
        <v>791</v>
      </c>
      <c r="B40" t="s">
        <v>792</v>
      </c>
    </row>
    <row r="41" spans="1:2">
      <c r="A41" t="s">
        <v>793</v>
      </c>
      <c r="B41" t="s">
        <v>794</v>
      </c>
    </row>
    <row r="42" spans="1:2">
      <c r="A42" t="s">
        <v>795</v>
      </c>
      <c r="B42" t="s">
        <v>796</v>
      </c>
    </row>
    <row r="43" spans="1:2">
      <c r="A43" t="s">
        <v>797</v>
      </c>
      <c r="B43" t="s">
        <v>798</v>
      </c>
    </row>
    <row r="44" spans="1:2">
      <c r="A44" t="s">
        <v>799</v>
      </c>
      <c r="B44" t="s">
        <v>800</v>
      </c>
    </row>
    <row r="45" spans="1:2">
      <c r="A45" t="s">
        <v>801</v>
      </c>
      <c r="B45" t="s">
        <v>802</v>
      </c>
    </row>
    <row r="46" spans="1:2">
      <c r="A46" t="s">
        <v>803</v>
      </c>
      <c r="B46" t="s">
        <v>804</v>
      </c>
    </row>
    <row r="47" spans="1:2">
      <c r="A47" t="s">
        <v>805</v>
      </c>
      <c r="B47" t="s">
        <v>806</v>
      </c>
    </row>
    <row r="48" spans="1:2">
      <c r="A48" t="s">
        <v>807</v>
      </c>
      <c r="B48" t="s">
        <v>808</v>
      </c>
    </row>
    <row r="49" spans="1:2">
      <c r="A49" t="s">
        <v>809</v>
      </c>
      <c r="B49" t="s">
        <v>810</v>
      </c>
    </row>
    <row r="50" spans="1:2">
      <c r="A50" t="s">
        <v>811</v>
      </c>
      <c r="B50" t="s">
        <v>812</v>
      </c>
    </row>
    <row r="51" spans="1:2">
      <c r="A51" t="s">
        <v>813</v>
      </c>
      <c r="B51" t="s">
        <v>814</v>
      </c>
    </row>
    <row r="52" spans="1:2">
      <c r="A52" t="s">
        <v>815</v>
      </c>
      <c r="B52" t="s">
        <v>816</v>
      </c>
    </row>
    <row r="53" spans="1:2">
      <c r="A53" t="s">
        <v>817</v>
      </c>
      <c r="B53" t="s">
        <v>818</v>
      </c>
    </row>
    <row r="54" spans="1:2">
      <c r="A54" t="s">
        <v>819</v>
      </c>
      <c r="B54" t="s">
        <v>820</v>
      </c>
    </row>
    <row r="55" spans="1:2">
      <c r="A55" t="s">
        <v>821</v>
      </c>
      <c r="B55" t="s">
        <v>822</v>
      </c>
    </row>
    <row r="56" spans="1:2">
      <c r="A56" t="s">
        <v>823</v>
      </c>
      <c r="B56" t="s">
        <v>824</v>
      </c>
    </row>
    <row r="57" spans="1:2">
      <c r="A57" t="s">
        <v>825</v>
      </c>
      <c r="B57" t="s">
        <v>826</v>
      </c>
    </row>
    <row r="58" spans="1:2">
      <c r="A58" t="s">
        <v>827</v>
      </c>
      <c r="B58" t="s">
        <v>828</v>
      </c>
    </row>
    <row r="59" spans="1:2">
      <c r="A59" t="s">
        <v>829</v>
      </c>
      <c r="B59" t="s">
        <v>830</v>
      </c>
    </row>
    <row r="60" spans="1:2">
      <c r="A60" t="s">
        <v>831</v>
      </c>
      <c r="B60" t="s">
        <v>832</v>
      </c>
    </row>
    <row r="61" spans="1:2">
      <c r="A61" t="s">
        <v>833</v>
      </c>
      <c r="B61" t="s">
        <v>834</v>
      </c>
    </row>
    <row r="62" spans="1:2">
      <c r="A62" t="s">
        <v>835</v>
      </c>
      <c r="B62" t="s">
        <v>836</v>
      </c>
    </row>
    <row r="63" spans="1:2">
      <c r="A63" t="s">
        <v>837</v>
      </c>
      <c r="B63" t="s">
        <v>838</v>
      </c>
    </row>
    <row r="64" spans="1:2">
      <c r="A64" t="s">
        <v>839</v>
      </c>
      <c r="B64" t="s">
        <v>840</v>
      </c>
    </row>
    <row r="65" spans="1:2">
      <c r="A65" t="s">
        <v>841</v>
      </c>
      <c r="B65" t="s">
        <v>842</v>
      </c>
    </row>
    <row r="66" spans="1:2">
      <c r="A66" t="s">
        <v>843</v>
      </c>
      <c r="B66" t="s">
        <v>844</v>
      </c>
    </row>
    <row r="67" spans="1:2">
      <c r="A67" t="s">
        <v>845</v>
      </c>
      <c r="B67" t="s">
        <v>846</v>
      </c>
    </row>
    <row r="68" spans="1:2">
      <c r="A68" t="s">
        <v>847</v>
      </c>
      <c r="B68" t="s">
        <v>848</v>
      </c>
    </row>
    <row r="69" spans="1:2">
      <c r="A69" t="s">
        <v>849</v>
      </c>
      <c r="B69" t="s">
        <v>850</v>
      </c>
    </row>
    <row r="70" spans="1:2">
      <c r="A70" t="s">
        <v>851</v>
      </c>
      <c r="B70" t="s">
        <v>852</v>
      </c>
    </row>
    <row r="71" spans="1:2">
      <c r="A71" t="s">
        <v>853</v>
      </c>
      <c r="B71" t="s">
        <v>854</v>
      </c>
    </row>
    <row r="72" spans="1:2">
      <c r="A72" t="s">
        <v>855</v>
      </c>
      <c r="B72" t="s">
        <v>856</v>
      </c>
    </row>
    <row r="73" spans="1:2">
      <c r="A73" t="s">
        <v>857</v>
      </c>
      <c r="B73" t="s">
        <v>858</v>
      </c>
    </row>
    <row r="74" spans="1:2">
      <c r="A74" t="s">
        <v>859</v>
      </c>
      <c r="B74" t="s">
        <v>860</v>
      </c>
    </row>
    <row r="75" spans="1:2">
      <c r="A75" t="s">
        <v>861</v>
      </c>
      <c r="B75" t="s">
        <v>862</v>
      </c>
    </row>
    <row r="76" spans="1:2">
      <c r="A76" t="s">
        <v>863</v>
      </c>
      <c r="B76" t="s">
        <v>864</v>
      </c>
    </row>
    <row r="77" spans="1:2">
      <c r="A77" t="s">
        <v>865</v>
      </c>
      <c r="B77" t="s">
        <v>866</v>
      </c>
    </row>
    <row r="78" spans="1:2">
      <c r="A78" t="s">
        <v>867</v>
      </c>
      <c r="B78" t="s">
        <v>868</v>
      </c>
    </row>
    <row r="79" spans="1:2">
      <c r="A79" t="s">
        <v>869</v>
      </c>
      <c r="B79" t="s">
        <v>870</v>
      </c>
    </row>
    <row r="80" spans="1:2">
      <c r="A80" t="s">
        <v>871</v>
      </c>
      <c r="B80" t="s">
        <v>872</v>
      </c>
    </row>
    <row r="81" spans="1:2">
      <c r="A81" t="s">
        <v>873</v>
      </c>
      <c r="B81" t="s">
        <v>874</v>
      </c>
    </row>
    <row r="82" spans="1:2">
      <c r="A82" t="s">
        <v>875</v>
      </c>
      <c r="B82" t="s">
        <v>876</v>
      </c>
    </row>
    <row r="83" spans="1:2">
      <c r="A83" t="s">
        <v>877</v>
      </c>
      <c r="B83" t="s">
        <v>878</v>
      </c>
    </row>
    <row r="84" spans="1:2">
      <c r="A84" t="s">
        <v>879</v>
      </c>
      <c r="B84" t="s">
        <v>880</v>
      </c>
    </row>
    <row r="85" spans="1:2">
      <c r="A85" t="s">
        <v>881</v>
      </c>
      <c r="B85" t="s">
        <v>882</v>
      </c>
    </row>
    <row r="86" spans="1:2">
      <c r="A86" t="s">
        <v>883</v>
      </c>
      <c r="B86" t="s">
        <v>884</v>
      </c>
    </row>
    <row r="87" spans="1:2">
      <c r="A87" t="s">
        <v>885</v>
      </c>
      <c r="B87" t="s">
        <v>886</v>
      </c>
    </row>
    <row r="88" spans="1:2">
      <c r="A88" t="s">
        <v>887</v>
      </c>
      <c r="B88" t="s">
        <v>888</v>
      </c>
    </row>
    <row r="89" spans="1:2">
      <c r="A89" t="s">
        <v>889</v>
      </c>
      <c r="B89" t="s">
        <v>890</v>
      </c>
    </row>
    <row r="90" spans="1:2">
      <c r="A90" t="s">
        <v>891</v>
      </c>
      <c r="B90" t="s">
        <v>892</v>
      </c>
    </row>
    <row r="91" spans="1:2">
      <c r="A91" t="s">
        <v>893</v>
      </c>
      <c r="B91" t="s">
        <v>894</v>
      </c>
    </row>
    <row r="92" spans="1:2">
      <c r="A92" t="s">
        <v>895</v>
      </c>
      <c r="B92" t="s">
        <v>896</v>
      </c>
    </row>
    <row r="93" spans="1:2">
      <c r="A93" t="s">
        <v>897</v>
      </c>
      <c r="B93" t="s">
        <v>898</v>
      </c>
    </row>
    <row r="94" spans="1:2">
      <c r="A94" t="s">
        <v>899</v>
      </c>
      <c r="B94" t="s">
        <v>900</v>
      </c>
    </row>
    <row r="95" spans="1:2">
      <c r="A95" t="s">
        <v>901</v>
      </c>
      <c r="B95" t="s">
        <v>902</v>
      </c>
    </row>
    <row r="96" spans="1:2">
      <c r="A96" t="s">
        <v>903</v>
      </c>
      <c r="B96" t="s">
        <v>904</v>
      </c>
    </row>
    <row r="97" spans="1:2">
      <c r="A97" t="s">
        <v>905</v>
      </c>
      <c r="B97" t="s">
        <v>906</v>
      </c>
    </row>
    <row r="98" spans="1:2">
      <c r="A98" t="s">
        <v>907</v>
      </c>
      <c r="B98" t="s">
        <v>908</v>
      </c>
    </row>
    <row r="99" spans="1:2">
      <c r="A99" t="s">
        <v>909</v>
      </c>
      <c r="B99" t="s">
        <v>910</v>
      </c>
    </row>
    <row r="100" spans="1:2">
      <c r="A100" t="s">
        <v>911</v>
      </c>
      <c r="B100" t="s">
        <v>912</v>
      </c>
    </row>
    <row r="101" spans="1:2">
      <c r="A101" t="s">
        <v>913</v>
      </c>
      <c r="B101" t="s">
        <v>914</v>
      </c>
    </row>
    <row r="102" spans="1:2">
      <c r="A102" t="s">
        <v>915</v>
      </c>
      <c r="B102" t="s">
        <v>916</v>
      </c>
    </row>
    <row r="103" spans="1:2">
      <c r="A103" t="s">
        <v>917</v>
      </c>
      <c r="B103" t="s">
        <v>918</v>
      </c>
    </row>
    <row r="104" spans="1:2">
      <c r="A104" t="s">
        <v>919</v>
      </c>
      <c r="B104" t="s">
        <v>920</v>
      </c>
    </row>
    <row r="105" spans="1:2">
      <c r="A105" t="s">
        <v>921</v>
      </c>
      <c r="B105" t="s">
        <v>922</v>
      </c>
    </row>
    <row r="106" spans="1:2">
      <c r="A106" t="s">
        <v>923</v>
      </c>
      <c r="B106" t="s">
        <v>924</v>
      </c>
    </row>
    <row r="107" spans="1:2">
      <c r="A107" t="s">
        <v>925</v>
      </c>
      <c r="B107" t="s">
        <v>926</v>
      </c>
    </row>
    <row r="108" spans="1:2">
      <c r="A108" t="s">
        <v>927</v>
      </c>
      <c r="B108" t="s">
        <v>928</v>
      </c>
    </row>
    <row r="109" spans="1:2">
      <c r="A109" t="s">
        <v>929</v>
      </c>
      <c r="B109" t="s">
        <v>930</v>
      </c>
    </row>
    <row r="110" spans="1:2">
      <c r="A110" t="s">
        <v>931</v>
      </c>
      <c r="B110" t="s">
        <v>932</v>
      </c>
    </row>
    <row r="111" spans="1:2">
      <c r="A111" t="s">
        <v>933</v>
      </c>
      <c r="B111" t="s">
        <v>934</v>
      </c>
    </row>
    <row r="112" spans="1:2">
      <c r="A112" t="s">
        <v>935</v>
      </c>
      <c r="B112" t="s">
        <v>936</v>
      </c>
    </row>
    <row r="113" spans="1:2">
      <c r="A113" t="s">
        <v>937</v>
      </c>
      <c r="B113" t="s">
        <v>938</v>
      </c>
    </row>
    <row r="114" spans="1:2">
      <c r="A114" t="s">
        <v>939</v>
      </c>
      <c r="B114" t="s">
        <v>940</v>
      </c>
    </row>
    <row r="115" spans="1:2">
      <c r="A115" t="s">
        <v>941</v>
      </c>
      <c r="B115" t="s">
        <v>942</v>
      </c>
    </row>
    <row r="116" spans="1:2">
      <c r="A116" t="s">
        <v>943</v>
      </c>
      <c r="B116" t="s">
        <v>944</v>
      </c>
    </row>
    <row r="117" spans="1:2">
      <c r="A117" t="s">
        <v>945</v>
      </c>
      <c r="B117" t="s">
        <v>946</v>
      </c>
    </row>
    <row r="118" spans="1:2">
      <c r="A118" t="s">
        <v>947</v>
      </c>
      <c r="B118" t="s">
        <v>948</v>
      </c>
    </row>
    <row r="119" spans="1:2">
      <c r="A119" t="s">
        <v>949</v>
      </c>
      <c r="B119" t="s">
        <v>950</v>
      </c>
    </row>
    <row r="120" spans="1:2">
      <c r="A120" t="s">
        <v>951</v>
      </c>
      <c r="B120" t="s">
        <v>952</v>
      </c>
    </row>
    <row r="121" spans="1:2">
      <c r="A121" t="s">
        <v>953</v>
      </c>
      <c r="B121" t="s">
        <v>954</v>
      </c>
    </row>
    <row r="122" spans="1:2">
      <c r="A122" t="s">
        <v>955</v>
      </c>
      <c r="B122" t="s">
        <v>956</v>
      </c>
    </row>
    <row r="123" spans="1:2">
      <c r="A123" t="s">
        <v>957</v>
      </c>
      <c r="B123" t="s">
        <v>958</v>
      </c>
    </row>
    <row r="124" spans="1:2">
      <c r="A124" t="s">
        <v>959</v>
      </c>
      <c r="B124" t="s">
        <v>960</v>
      </c>
    </row>
    <row r="125" spans="1:2">
      <c r="A125" t="s">
        <v>961</v>
      </c>
      <c r="B125" t="s">
        <v>962</v>
      </c>
    </row>
    <row r="126" spans="1:2">
      <c r="A126" t="s">
        <v>963</v>
      </c>
      <c r="B126" t="s">
        <v>964</v>
      </c>
    </row>
    <row r="127" spans="1:2">
      <c r="A127" t="s">
        <v>965</v>
      </c>
      <c r="B127" t="s">
        <v>966</v>
      </c>
    </row>
    <row r="128" spans="1:2">
      <c r="A128" t="s">
        <v>967</v>
      </c>
      <c r="B128" t="s">
        <v>968</v>
      </c>
    </row>
    <row r="129" spans="1:2">
      <c r="A129" t="s">
        <v>1669</v>
      </c>
      <c r="B129" t="s">
        <v>1559</v>
      </c>
    </row>
    <row r="130" spans="1:2">
      <c r="A130" t="s">
        <v>1670</v>
      </c>
      <c r="B130" t="s">
        <v>1560</v>
      </c>
    </row>
    <row r="131" spans="1:2">
      <c r="A131" t="s">
        <v>1671</v>
      </c>
      <c r="B131" t="s">
        <v>1561</v>
      </c>
    </row>
    <row r="132" spans="1:2">
      <c r="A132" t="s">
        <v>1672</v>
      </c>
      <c r="B132" t="s">
        <v>1562</v>
      </c>
    </row>
    <row r="133" spans="1:2">
      <c r="A133" t="s">
        <v>1673</v>
      </c>
      <c r="B133" t="s">
        <v>1563</v>
      </c>
    </row>
    <row r="134" spans="1:2">
      <c r="A134" t="s">
        <v>1674</v>
      </c>
      <c r="B134" t="s">
        <v>1564</v>
      </c>
    </row>
    <row r="135" spans="1:2">
      <c r="A135" t="s">
        <v>1675</v>
      </c>
      <c r="B135" t="s">
        <v>1565</v>
      </c>
    </row>
    <row r="136" spans="1:2">
      <c r="A136" t="s">
        <v>1676</v>
      </c>
      <c r="B136" t="s">
        <v>1566</v>
      </c>
    </row>
    <row r="137" spans="1:2">
      <c r="A137" t="s">
        <v>1677</v>
      </c>
      <c r="B137" t="s">
        <v>1567</v>
      </c>
    </row>
    <row r="138" spans="1:2">
      <c r="A138" t="s">
        <v>1678</v>
      </c>
      <c r="B138" t="s">
        <v>1568</v>
      </c>
    </row>
    <row r="139" spans="1:2">
      <c r="A139" t="s">
        <v>1679</v>
      </c>
      <c r="B139" t="s">
        <v>1569</v>
      </c>
    </row>
    <row r="140" spans="1:2">
      <c r="A140" t="s">
        <v>1680</v>
      </c>
      <c r="B140" t="s">
        <v>1570</v>
      </c>
    </row>
    <row r="141" spans="1:2">
      <c r="A141" t="s">
        <v>1681</v>
      </c>
      <c r="B141" t="s">
        <v>1571</v>
      </c>
    </row>
    <row r="142" spans="1:2">
      <c r="A142" t="s">
        <v>1682</v>
      </c>
      <c r="B142" t="s">
        <v>1572</v>
      </c>
    </row>
    <row r="143" spans="1:2">
      <c r="A143" t="s">
        <v>1683</v>
      </c>
      <c r="B143" t="s">
        <v>1573</v>
      </c>
    </row>
    <row r="144" spans="1:2">
      <c r="A144" t="s">
        <v>1684</v>
      </c>
      <c r="B144" t="s">
        <v>1574</v>
      </c>
    </row>
    <row r="145" spans="1:2">
      <c r="A145" t="s">
        <v>1685</v>
      </c>
      <c r="B145" t="s">
        <v>1575</v>
      </c>
    </row>
    <row r="146" spans="1:2">
      <c r="A146" t="s">
        <v>1686</v>
      </c>
      <c r="B146" t="s">
        <v>1576</v>
      </c>
    </row>
    <row r="147" spans="1:2">
      <c r="A147" t="s">
        <v>1687</v>
      </c>
      <c r="B147" t="s">
        <v>1577</v>
      </c>
    </row>
    <row r="148" spans="1:2">
      <c r="A148" t="s">
        <v>1688</v>
      </c>
      <c r="B148" t="s">
        <v>1578</v>
      </c>
    </row>
    <row r="149" spans="1:2">
      <c r="A149" t="s">
        <v>1689</v>
      </c>
      <c r="B149" t="s">
        <v>1579</v>
      </c>
    </row>
    <row r="150" spans="1:2">
      <c r="A150" t="s">
        <v>1690</v>
      </c>
      <c r="B150" t="s">
        <v>1580</v>
      </c>
    </row>
    <row r="151" spans="1:2">
      <c r="A151" t="s">
        <v>1691</v>
      </c>
      <c r="B151" t="s">
        <v>1581</v>
      </c>
    </row>
    <row r="152" spans="1:2">
      <c r="A152" t="s">
        <v>1692</v>
      </c>
      <c r="B152" t="s">
        <v>1582</v>
      </c>
    </row>
    <row r="153" spans="1:2">
      <c r="A153" t="s">
        <v>1693</v>
      </c>
      <c r="B153" t="s">
        <v>1583</v>
      </c>
    </row>
    <row r="154" spans="1:2">
      <c r="A154" t="s">
        <v>1694</v>
      </c>
      <c r="B154" t="s">
        <v>1584</v>
      </c>
    </row>
    <row r="155" spans="1:2">
      <c r="A155" t="s">
        <v>1695</v>
      </c>
      <c r="B155" t="s">
        <v>1585</v>
      </c>
    </row>
    <row r="156" spans="1:2">
      <c r="A156" t="s">
        <v>1696</v>
      </c>
      <c r="B156" t="s">
        <v>1586</v>
      </c>
    </row>
    <row r="157" spans="1:2">
      <c r="A157" t="s">
        <v>1697</v>
      </c>
      <c r="B157" t="s">
        <v>1587</v>
      </c>
    </row>
    <row r="158" spans="1:2">
      <c r="A158" t="s">
        <v>1698</v>
      </c>
      <c r="B158" t="s">
        <v>1588</v>
      </c>
    </row>
    <row r="159" spans="1:2">
      <c r="A159" t="s">
        <v>1699</v>
      </c>
      <c r="B159" t="s">
        <v>1589</v>
      </c>
    </row>
    <row r="160" spans="1:2">
      <c r="A160" t="s">
        <v>1700</v>
      </c>
      <c r="B160" t="s">
        <v>1590</v>
      </c>
    </row>
    <row r="161" spans="1:2">
      <c r="A161" t="s">
        <v>1701</v>
      </c>
      <c r="B161" t="s">
        <v>1591</v>
      </c>
    </row>
    <row r="162" spans="1:2">
      <c r="A162" t="s">
        <v>1702</v>
      </c>
      <c r="B162" t="s">
        <v>1592</v>
      </c>
    </row>
    <row r="163" spans="1:2">
      <c r="A163" t="s">
        <v>1703</v>
      </c>
      <c r="B163" t="s">
        <v>1593</v>
      </c>
    </row>
    <row r="164" spans="1:2">
      <c r="A164" t="s">
        <v>1704</v>
      </c>
      <c r="B164" t="s">
        <v>1594</v>
      </c>
    </row>
    <row r="165" spans="1:2">
      <c r="A165" t="s">
        <v>1705</v>
      </c>
      <c r="B165" t="s">
        <v>1595</v>
      </c>
    </row>
    <row r="166" spans="1:2">
      <c r="A166" t="s">
        <v>1706</v>
      </c>
      <c r="B166" t="s">
        <v>1596</v>
      </c>
    </row>
    <row r="167" spans="1:2">
      <c r="A167" t="s">
        <v>1707</v>
      </c>
      <c r="B167" t="s">
        <v>1597</v>
      </c>
    </row>
    <row r="168" spans="1:2">
      <c r="A168" t="s">
        <v>1708</v>
      </c>
      <c r="B168" t="s">
        <v>1598</v>
      </c>
    </row>
    <row r="169" spans="1:2">
      <c r="A169" t="s">
        <v>1709</v>
      </c>
      <c r="B169" t="s">
        <v>1599</v>
      </c>
    </row>
    <row r="170" spans="1:2">
      <c r="A170" t="s">
        <v>1710</v>
      </c>
      <c r="B170" t="s">
        <v>1600</v>
      </c>
    </row>
    <row r="171" spans="1:2">
      <c r="A171" t="s">
        <v>1711</v>
      </c>
      <c r="B171" t="s">
        <v>1601</v>
      </c>
    </row>
    <row r="172" spans="1:2">
      <c r="A172" t="s">
        <v>1712</v>
      </c>
      <c r="B172" t="s">
        <v>1602</v>
      </c>
    </row>
    <row r="173" spans="1:2">
      <c r="A173" t="s">
        <v>1713</v>
      </c>
      <c r="B173" t="s">
        <v>1603</v>
      </c>
    </row>
    <row r="174" spans="1:2">
      <c r="A174" t="s">
        <v>1714</v>
      </c>
      <c r="B174" t="s">
        <v>1604</v>
      </c>
    </row>
    <row r="175" spans="1:2">
      <c r="A175" t="s">
        <v>1715</v>
      </c>
      <c r="B175" t="s">
        <v>1605</v>
      </c>
    </row>
    <row r="176" spans="1:2">
      <c r="A176" t="s">
        <v>1716</v>
      </c>
      <c r="B176" t="s">
        <v>1606</v>
      </c>
    </row>
    <row r="177" spans="1:2">
      <c r="A177" t="s">
        <v>1717</v>
      </c>
      <c r="B177" t="s">
        <v>1607</v>
      </c>
    </row>
    <row r="178" spans="1:2">
      <c r="A178" t="s">
        <v>1718</v>
      </c>
      <c r="B178" t="s">
        <v>1608</v>
      </c>
    </row>
    <row r="179" spans="1:2">
      <c r="A179" t="s">
        <v>1719</v>
      </c>
      <c r="B179" t="s">
        <v>1609</v>
      </c>
    </row>
    <row r="180" spans="1:2">
      <c r="A180" t="s">
        <v>1720</v>
      </c>
      <c r="B180" t="s">
        <v>1610</v>
      </c>
    </row>
    <row r="181" spans="1:2">
      <c r="A181" t="s">
        <v>1721</v>
      </c>
      <c r="B181" t="s">
        <v>1611</v>
      </c>
    </row>
    <row r="182" spans="1:2">
      <c r="A182" t="s">
        <v>1722</v>
      </c>
      <c r="B182" t="s">
        <v>1612</v>
      </c>
    </row>
    <row r="183" spans="1:2">
      <c r="A183" t="s">
        <v>1723</v>
      </c>
      <c r="B183" t="s">
        <v>1613</v>
      </c>
    </row>
    <row r="184" spans="1:2">
      <c r="A184" t="s">
        <v>1724</v>
      </c>
      <c r="B184" t="s">
        <v>1614</v>
      </c>
    </row>
    <row r="185" spans="1:2">
      <c r="A185" t="s">
        <v>1725</v>
      </c>
      <c r="B185" t="s">
        <v>1615</v>
      </c>
    </row>
    <row r="186" spans="1:2">
      <c r="A186" t="s">
        <v>1726</v>
      </c>
      <c r="B186" t="s">
        <v>1616</v>
      </c>
    </row>
    <row r="187" spans="1:2">
      <c r="A187" t="s">
        <v>1727</v>
      </c>
      <c r="B187" t="s">
        <v>1617</v>
      </c>
    </row>
    <row r="188" spans="1:2">
      <c r="A188" t="s">
        <v>1728</v>
      </c>
      <c r="B188" t="s">
        <v>1618</v>
      </c>
    </row>
    <row r="189" spans="1:2">
      <c r="A189" t="s">
        <v>1729</v>
      </c>
      <c r="B189" t="s">
        <v>1619</v>
      </c>
    </row>
    <row r="190" spans="1:2">
      <c r="A190" t="s">
        <v>1730</v>
      </c>
      <c r="B190" t="s">
        <v>1620</v>
      </c>
    </row>
    <row r="191" spans="1:2">
      <c r="A191" t="s">
        <v>1731</v>
      </c>
      <c r="B191" t="s">
        <v>1621</v>
      </c>
    </row>
    <row r="192" spans="1:2">
      <c r="A192" t="s">
        <v>1732</v>
      </c>
      <c r="B192" t="s">
        <v>1622</v>
      </c>
    </row>
    <row r="193" spans="1:2">
      <c r="A193" t="s">
        <v>1733</v>
      </c>
      <c r="B193" t="s">
        <v>1623</v>
      </c>
    </row>
    <row r="194" spans="1:2">
      <c r="A194" t="s">
        <v>1734</v>
      </c>
      <c r="B194" t="s">
        <v>1624</v>
      </c>
    </row>
    <row r="195" spans="1:2">
      <c r="A195" t="s">
        <v>1735</v>
      </c>
      <c r="B195" t="s">
        <v>1625</v>
      </c>
    </row>
    <row r="196" spans="1:2">
      <c r="A196" t="s">
        <v>1736</v>
      </c>
      <c r="B196" t="s">
        <v>1626</v>
      </c>
    </row>
    <row r="197" spans="1:2">
      <c r="A197" t="s">
        <v>1737</v>
      </c>
      <c r="B197" t="s">
        <v>1627</v>
      </c>
    </row>
    <row r="198" spans="1:2">
      <c r="A198" t="s">
        <v>1738</v>
      </c>
      <c r="B198" t="s">
        <v>1628</v>
      </c>
    </row>
    <row r="199" spans="1:2">
      <c r="A199" t="s">
        <v>1739</v>
      </c>
      <c r="B199" t="s">
        <v>1629</v>
      </c>
    </row>
    <row r="200" spans="1:2">
      <c r="A200" t="s">
        <v>1740</v>
      </c>
      <c r="B200" t="s">
        <v>1630</v>
      </c>
    </row>
    <row r="201" spans="1:2">
      <c r="A201" t="s">
        <v>1741</v>
      </c>
      <c r="B201" t="s">
        <v>1631</v>
      </c>
    </row>
    <row r="202" spans="1:2">
      <c r="A202" t="s">
        <v>1742</v>
      </c>
      <c r="B202" t="s">
        <v>1632</v>
      </c>
    </row>
    <row r="203" spans="1:2">
      <c r="A203" t="s">
        <v>1743</v>
      </c>
      <c r="B203" t="s">
        <v>1633</v>
      </c>
    </row>
    <row r="204" spans="1:2">
      <c r="A204" t="s">
        <v>1744</v>
      </c>
      <c r="B204" t="s">
        <v>1634</v>
      </c>
    </row>
    <row r="205" spans="1:2">
      <c r="A205" t="s">
        <v>1745</v>
      </c>
      <c r="B205" t="s">
        <v>1635</v>
      </c>
    </row>
    <row r="206" spans="1:2">
      <c r="A206" t="s">
        <v>1746</v>
      </c>
      <c r="B206" t="s">
        <v>1636</v>
      </c>
    </row>
    <row r="207" spans="1:2">
      <c r="A207" t="s">
        <v>1747</v>
      </c>
      <c r="B207" t="s">
        <v>1637</v>
      </c>
    </row>
    <row r="208" spans="1:2">
      <c r="A208" t="s">
        <v>1748</v>
      </c>
      <c r="B208" t="s">
        <v>1638</v>
      </c>
    </row>
    <row r="209" spans="1:2">
      <c r="A209" t="s">
        <v>1749</v>
      </c>
      <c r="B209" t="s">
        <v>1639</v>
      </c>
    </row>
    <row r="210" spans="1:2">
      <c r="A210" t="s">
        <v>1750</v>
      </c>
      <c r="B210" t="s">
        <v>1640</v>
      </c>
    </row>
    <row r="211" spans="1:2">
      <c r="A211" t="s">
        <v>1751</v>
      </c>
      <c r="B211" t="s">
        <v>1641</v>
      </c>
    </row>
    <row r="212" spans="1:2">
      <c r="A212" t="s">
        <v>1752</v>
      </c>
      <c r="B212" t="s">
        <v>1642</v>
      </c>
    </row>
    <row r="213" spans="1:2">
      <c r="A213" t="s">
        <v>1753</v>
      </c>
      <c r="B213" t="s">
        <v>1643</v>
      </c>
    </row>
    <row r="214" spans="1:2">
      <c r="A214" t="s">
        <v>1754</v>
      </c>
      <c r="B214" t="s">
        <v>1644</v>
      </c>
    </row>
    <row r="215" spans="1:2">
      <c r="A215" t="s">
        <v>1755</v>
      </c>
      <c r="B215" t="s">
        <v>1645</v>
      </c>
    </row>
    <row r="216" spans="1:2">
      <c r="A216" t="s">
        <v>1756</v>
      </c>
      <c r="B216" t="s">
        <v>1646</v>
      </c>
    </row>
    <row r="217" spans="1:2">
      <c r="A217" t="s">
        <v>1757</v>
      </c>
      <c r="B217" t="s">
        <v>1647</v>
      </c>
    </row>
    <row r="218" spans="1:2">
      <c r="A218" t="s">
        <v>1758</v>
      </c>
      <c r="B218" t="s">
        <v>1648</v>
      </c>
    </row>
    <row r="219" spans="1:2">
      <c r="A219" t="s">
        <v>1759</v>
      </c>
      <c r="B219" t="s">
        <v>1649</v>
      </c>
    </row>
    <row r="220" spans="1:2">
      <c r="A220" t="s">
        <v>1760</v>
      </c>
      <c r="B220" t="s">
        <v>1650</v>
      </c>
    </row>
    <row r="221" spans="1:2">
      <c r="A221" t="s">
        <v>1761</v>
      </c>
      <c r="B221" t="s">
        <v>1651</v>
      </c>
    </row>
    <row r="222" spans="1:2">
      <c r="A222" t="s">
        <v>1762</v>
      </c>
      <c r="B222" t="s">
        <v>1652</v>
      </c>
    </row>
    <row r="223" spans="1:2">
      <c r="A223" t="s">
        <v>1763</v>
      </c>
      <c r="B223" t="s">
        <v>1653</v>
      </c>
    </row>
    <row r="224" spans="1:2">
      <c r="A224" t="s">
        <v>1764</v>
      </c>
      <c r="B224" t="s">
        <v>1654</v>
      </c>
    </row>
    <row r="225" spans="1:2">
      <c r="A225" t="s">
        <v>1765</v>
      </c>
      <c r="B225" t="s">
        <v>1655</v>
      </c>
    </row>
    <row r="226" spans="1:2">
      <c r="A226" t="s">
        <v>1766</v>
      </c>
      <c r="B226" t="s">
        <v>1656</v>
      </c>
    </row>
    <row r="227" spans="1:2">
      <c r="A227" t="s">
        <v>1767</v>
      </c>
      <c r="B227" t="s">
        <v>1657</v>
      </c>
    </row>
    <row r="228" spans="1:2">
      <c r="A228" t="s">
        <v>1768</v>
      </c>
      <c r="B228" t="s">
        <v>1658</v>
      </c>
    </row>
    <row r="229" spans="1:2">
      <c r="A229" t="s">
        <v>1769</v>
      </c>
      <c r="B229" t="s">
        <v>1659</v>
      </c>
    </row>
    <row r="230" spans="1:2">
      <c r="A230" t="s">
        <v>1770</v>
      </c>
      <c r="B230" t="s">
        <v>1660</v>
      </c>
    </row>
    <row r="231" spans="1:2">
      <c r="A231" t="s">
        <v>1771</v>
      </c>
      <c r="B231" t="s">
        <v>1661</v>
      </c>
    </row>
    <row r="232" spans="1:2">
      <c r="A232" t="s">
        <v>1772</v>
      </c>
      <c r="B232" t="s">
        <v>1662</v>
      </c>
    </row>
    <row r="233" spans="1:2">
      <c r="A233" t="s">
        <v>1773</v>
      </c>
      <c r="B233" t="s">
        <v>1663</v>
      </c>
    </row>
    <row r="234" spans="1:2">
      <c r="A234" t="s">
        <v>1774</v>
      </c>
      <c r="B234" t="s">
        <v>1664</v>
      </c>
    </row>
    <row r="235" spans="1:2">
      <c r="A235" t="s">
        <v>1775</v>
      </c>
      <c r="B235" t="s">
        <v>1665</v>
      </c>
    </row>
    <row r="236" spans="1:2">
      <c r="A236" t="s">
        <v>1776</v>
      </c>
      <c r="B236" t="s">
        <v>1666</v>
      </c>
    </row>
    <row r="237" spans="1:2">
      <c r="A237" t="s">
        <v>1777</v>
      </c>
      <c r="B237" t="s">
        <v>1667</v>
      </c>
    </row>
    <row r="238" spans="1:2">
      <c r="A238" t="s">
        <v>1778</v>
      </c>
      <c r="B238" t="s">
        <v>1668</v>
      </c>
    </row>
    <row r="239" spans="1:2">
      <c r="A239" t="s">
        <v>1779</v>
      </c>
      <c r="B239" t="s">
        <v>1885</v>
      </c>
    </row>
    <row r="240" spans="1:2">
      <c r="A240" t="s">
        <v>1780</v>
      </c>
      <c r="B240" t="s">
        <v>1886</v>
      </c>
    </row>
    <row r="241" spans="1:2">
      <c r="A241" t="s">
        <v>1781</v>
      </c>
      <c r="B241" t="s">
        <v>1887</v>
      </c>
    </row>
    <row r="242" spans="1:2">
      <c r="A242" t="s">
        <v>1782</v>
      </c>
      <c r="B242" t="s">
        <v>1888</v>
      </c>
    </row>
    <row r="243" spans="1:2">
      <c r="A243" t="s">
        <v>1783</v>
      </c>
      <c r="B243" t="s">
        <v>1889</v>
      </c>
    </row>
    <row r="244" spans="1:2">
      <c r="A244" t="s">
        <v>1784</v>
      </c>
      <c r="B244" t="s">
        <v>1890</v>
      </c>
    </row>
    <row r="245" spans="1:2">
      <c r="A245" t="s">
        <v>1785</v>
      </c>
      <c r="B245" t="s">
        <v>1891</v>
      </c>
    </row>
    <row r="246" spans="1:2">
      <c r="A246" t="s">
        <v>1786</v>
      </c>
      <c r="B246" t="s">
        <v>1892</v>
      </c>
    </row>
    <row r="247" spans="1:2">
      <c r="A247" t="s">
        <v>1787</v>
      </c>
      <c r="B247" t="s">
        <v>1893</v>
      </c>
    </row>
    <row r="248" spans="1:2">
      <c r="A248" t="s">
        <v>1788</v>
      </c>
      <c r="B248" t="s">
        <v>1894</v>
      </c>
    </row>
    <row r="249" spans="1:2">
      <c r="A249" t="s">
        <v>1789</v>
      </c>
      <c r="B249" t="s">
        <v>1895</v>
      </c>
    </row>
    <row r="250" spans="1:2">
      <c r="A250" t="s">
        <v>1790</v>
      </c>
      <c r="B250" t="s">
        <v>1896</v>
      </c>
    </row>
    <row r="251" spans="1:2">
      <c r="A251" t="s">
        <v>1791</v>
      </c>
      <c r="B251" t="s">
        <v>1897</v>
      </c>
    </row>
    <row r="252" spans="1:2">
      <c r="A252" t="s">
        <v>1792</v>
      </c>
      <c r="B252" t="s">
        <v>1898</v>
      </c>
    </row>
    <row r="253" spans="1:2">
      <c r="A253" t="s">
        <v>1793</v>
      </c>
      <c r="B253" t="s">
        <v>1899</v>
      </c>
    </row>
    <row r="254" spans="1:2">
      <c r="A254" t="s">
        <v>1794</v>
      </c>
      <c r="B254" t="s">
        <v>1900</v>
      </c>
    </row>
    <row r="255" spans="1:2">
      <c r="A255" t="s">
        <v>1795</v>
      </c>
      <c r="B255" t="s">
        <v>1901</v>
      </c>
    </row>
    <row r="256" spans="1:2">
      <c r="A256" t="s">
        <v>1796</v>
      </c>
      <c r="B256" t="s">
        <v>1902</v>
      </c>
    </row>
    <row r="257" spans="1:2">
      <c r="A257" t="s">
        <v>1797</v>
      </c>
      <c r="B257" t="s">
        <v>1903</v>
      </c>
    </row>
    <row r="258" spans="1:2">
      <c r="A258" t="s">
        <v>1798</v>
      </c>
      <c r="B258" t="s">
        <v>1904</v>
      </c>
    </row>
    <row r="259" spans="1:2">
      <c r="A259" t="s">
        <v>1799</v>
      </c>
      <c r="B259" t="s">
        <v>1905</v>
      </c>
    </row>
    <row r="260" spans="1:2">
      <c r="A260" t="s">
        <v>1800</v>
      </c>
      <c r="B260" t="s">
        <v>1906</v>
      </c>
    </row>
    <row r="261" spans="1:2">
      <c r="A261" t="s">
        <v>1801</v>
      </c>
      <c r="B261" t="s">
        <v>1907</v>
      </c>
    </row>
    <row r="262" spans="1:2">
      <c r="A262" t="s">
        <v>1802</v>
      </c>
      <c r="B262" t="s">
        <v>1908</v>
      </c>
    </row>
    <row r="263" spans="1:2">
      <c r="A263" t="s">
        <v>1803</v>
      </c>
      <c r="B263" t="s">
        <v>1909</v>
      </c>
    </row>
    <row r="264" spans="1:2">
      <c r="A264" t="s">
        <v>1804</v>
      </c>
      <c r="B264" t="s">
        <v>1910</v>
      </c>
    </row>
    <row r="265" spans="1:2">
      <c r="A265" t="s">
        <v>1805</v>
      </c>
      <c r="B265" t="s">
        <v>1911</v>
      </c>
    </row>
    <row r="266" spans="1:2">
      <c r="A266" t="s">
        <v>1806</v>
      </c>
      <c r="B266" t="s">
        <v>1912</v>
      </c>
    </row>
    <row r="267" spans="1:2">
      <c r="A267" t="s">
        <v>1807</v>
      </c>
      <c r="B267" t="s">
        <v>1913</v>
      </c>
    </row>
    <row r="268" spans="1:2">
      <c r="A268" t="s">
        <v>1808</v>
      </c>
      <c r="B268" t="s">
        <v>1914</v>
      </c>
    </row>
    <row r="269" spans="1:2">
      <c r="A269" t="s">
        <v>1809</v>
      </c>
      <c r="B269" t="s">
        <v>1915</v>
      </c>
    </row>
    <row r="270" spans="1:2">
      <c r="A270" t="s">
        <v>1810</v>
      </c>
      <c r="B270" t="s">
        <v>1916</v>
      </c>
    </row>
    <row r="271" spans="1:2">
      <c r="A271" t="s">
        <v>1811</v>
      </c>
      <c r="B271" t="s">
        <v>1917</v>
      </c>
    </row>
    <row r="272" spans="1:2">
      <c r="A272" t="s">
        <v>1812</v>
      </c>
      <c r="B272" t="s">
        <v>1918</v>
      </c>
    </row>
    <row r="273" spans="1:2">
      <c r="A273" t="s">
        <v>1813</v>
      </c>
      <c r="B273" t="s">
        <v>1919</v>
      </c>
    </row>
    <row r="274" spans="1:2">
      <c r="A274" t="s">
        <v>1814</v>
      </c>
      <c r="B274" t="s">
        <v>1920</v>
      </c>
    </row>
    <row r="275" spans="1:2">
      <c r="A275" t="s">
        <v>1815</v>
      </c>
      <c r="B275" t="s">
        <v>1921</v>
      </c>
    </row>
    <row r="276" spans="1:2">
      <c r="A276" t="s">
        <v>1816</v>
      </c>
      <c r="B276" t="s">
        <v>1922</v>
      </c>
    </row>
    <row r="277" spans="1:2">
      <c r="A277" t="s">
        <v>1817</v>
      </c>
      <c r="B277" t="s">
        <v>1923</v>
      </c>
    </row>
    <row r="278" spans="1:2">
      <c r="A278" t="s">
        <v>1818</v>
      </c>
      <c r="B278" t="s">
        <v>1924</v>
      </c>
    </row>
    <row r="279" spans="1:2">
      <c r="A279" t="s">
        <v>1819</v>
      </c>
      <c r="B279" t="s">
        <v>1925</v>
      </c>
    </row>
    <row r="280" spans="1:2">
      <c r="A280" t="s">
        <v>1820</v>
      </c>
      <c r="B280" t="s">
        <v>1926</v>
      </c>
    </row>
    <row r="281" spans="1:2">
      <c r="A281" t="s">
        <v>1821</v>
      </c>
      <c r="B281" t="s">
        <v>1927</v>
      </c>
    </row>
    <row r="282" spans="1:2">
      <c r="A282" t="s">
        <v>1822</v>
      </c>
      <c r="B282" t="s">
        <v>1928</v>
      </c>
    </row>
    <row r="283" spans="1:2">
      <c r="A283" t="s">
        <v>1823</v>
      </c>
      <c r="B283" t="s">
        <v>1929</v>
      </c>
    </row>
    <row r="284" spans="1:2">
      <c r="A284" t="s">
        <v>1824</v>
      </c>
      <c r="B284" t="s">
        <v>1930</v>
      </c>
    </row>
    <row r="285" spans="1:2">
      <c r="A285" t="s">
        <v>1825</v>
      </c>
      <c r="B285" t="s">
        <v>1931</v>
      </c>
    </row>
    <row r="286" spans="1:2">
      <c r="A286" t="s">
        <v>1826</v>
      </c>
      <c r="B286" t="s">
        <v>1932</v>
      </c>
    </row>
    <row r="287" spans="1:2">
      <c r="A287" t="s">
        <v>1827</v>
      </c>
      <c r="B287" t="s">
        <v>1933</v>
      </c>
    </row>
    <row r="288" spans="1:2">
      <c r="A288" t="s">
        <v>1828</v>
      </c>
      <c r="B288" t="s">
        <v>1934</v>
      </c>
    </row>
    <row r="289" spans="1:2">
      <c r="A289" t="s">
        <v>1829</v>
      </c>
      <c r="B289" t="s">
        <v>1935</v>
      </c>
    </row>
    <row r="290" spans="1:2">
      <c r="A290" t="s">
        <v>1830</v>
      </c>
      <c r="B290" t="s">
        <v>1936</v>
      </c>
    </row>
    <row r="291" spans="1:2">
      <c r="A291" t="s">
        <v>1831</v>
      </c>
      <c r="B291" t="s">
        <v>1937</v>
      </c>
    </row>
    <row r="292" spans="1:2">
      <c r="A292" t="s">
        <v>1832</v>
      </c>
      <c r="B292" t="s">
        <v>1938</v>
      </c>
    </row>
    <row r="293" spans="1:2">
      <c r="A293" t="s">
        <v>1833</v>
      </c>
      <c r="B293" t="s">
        <v>1939</v>
      </c>
    </row>
    <row r="294" spans="1:2">
      <c r="A294" t="s">
        <v>1834</v>
      </c>
      <c r="B294" t="s">
        <v>1940</v>
      </c>
    </row>
    <row r="295" spans="1:2">
      <c r="A295" t="s">
        <v>1835</v>
      </c>
      <c r="B295" t="s">
        <v>1941</v>
      </c>
    </row>
    <row r="296" spans="1:2">
      <c r="A296" t="s">
        <v>1836</v>
      </c>
      <c r="B296" t="s">
        <v>1942</v>
      </c>
    </row>
    <row r="297" spans="1:2">
      <c r="A297" t="s">
        <v>1837</v>
      </c>
      <c r="B297" t="s">
        <v>1943</v>
      </c>
    </row>
    <row r="298" spans="1:2">
      <c r="A298" t="s">
        <v>1838</v>
      </c>
      <c r="B298" t="s">
        <v>1944</v>
      </c>
    </row>
    <row r="299" spans="1:2">
      <c r="A299" t="s">
        <v>1839</v>
      </c>
      <c r="B299" t="s">
        <v>1945</v>
      </c>
    </row>
    <row r="300" spans="1:2">
      <c r="A300" t="s">
        <v>1840</v>
      </c>
      <c r="B300" t="s">
        <v>1946</v>
      </c>
    </row>
    <row r="301" spans="1:2">
      <c r="A301" t="s">
        <v>1841</v>
      </c>
      <c r="B301" t="s">
        <v>1947</v>
      </c>
    </row>
    <row r="302" spans="1:2">
      <c r="A302" t="s">
        <v>1842</v>
      </c>
      <c r="B302" t="s">
        <v>1948</v>
      </c>
    </row>
    <row r="303" spans="1:2">
      <c r="A303" t="s">
        <v>1843</v>
      </c>
      <c r="B303" t="s">
        <v>1949</v>
      </c>
    </row>
    <row r="304" spans="1:2">
      <c r="A304" t="s">
        <v>1844</v>
      </c>
      <c r="B304" t="s">
        <v>1950</v>
      </c>
    </row>
    <row r="305" spans="1:2">
      <c r="A305" t="s">
        <v>1845</v>
      </c>
      <c r="B305" t="s">
        <v>1951</v>
      </c>
    </row>
    <row r="306" spans="1:2">
      <c r="A306" t="s">
        <v>1846</v>
      </c>
      <c r="B306" t="s">
        <v>1952</v>
      </c>
    </row>
    <row r="307" spans="1:2">
      <c r="A307" t="s">
        <v>1847</v>
      </c>
      <c r="B307" t="s">
        <v>1953</v>
      </c>
    </row>
    <row r="308" spans="1:2">
      <c r="A308" t="s">
        <v>1848</v>
      </c>
      <c r="B308" t="s">
        <v>1954</v>
      </c>
    </row>
    <row r="309" spans="1:2">
      <c r="A309" t="s">
        <v>1849</v>
      </c>
      <c r="B309" t="s">
        <v>1955</v>
      </c>
    </row>
    <row r="310" spans="1:2">
      <c r="A310" t="s">
        <v>1850</v>
      </c>
      <c r="B310" t="s">
        <v>1956</v>
      </c>
    </row>
    <row r="311" spans="1:2">
      <c r="A311" t="s">
        <v>1851</v>
      </c>
      <c r="B311" t="s">
        <v>1957</v>
      </c>
    </row>
    <row r="312" spans="1:2">
      <c r="A312" t="s">
        <v>1852</v>
      </c>
      <c r="B312" t="s">
        <v>1958</v>
      </c>
    </row>
    <row r="313" spans="1:2">
      <c r="A313" t="s">
        <v>1853</v>
      </c>
      <c r="B313" t="s">
        <v>1959</v>
      </c>
    </row>
    <row r="314" spans="1:2">
      <c r="A314" t="s">
        <v>1854</v>
      </c>
      <c r="B314" t="s">
        <v>1960</v>
      </c>
    </row>
    <row r="315" spans="1:2">
      <c r="A315" t="s">
        <v>1855</v>
      </c>
      <c r="B315" t="s">
        <v>1961</v>
      </c>
    </row>
    <row r="316" spans="1:2">
      <c r="A316" t="s">
        <v>1856</v>
      </c>
      <c r="B316" t="s">
        <v>1962</v>
      </c>
    </row>
    <row r="317" spans="1:2">
      <c r="A317" t="s">
        <v>1857</v>
      </c>
      <c r="B317" t="s">
        <v>1963</v>
      </c>
    </row>
    <row r="318" spans="1:2">
      <c r="A318" t="s">
        <v>1858</v>
      </c>
      <c r="B318" t="s">
        <v>1964</v>
      </c>
    </row>
    <row r="319" spans="1:2">
      <c r="A319" t="s">
        <v>1859</v>
      </c>
      <c r="B319" t="s">
        <v>1965</v>
      </c>
    </row>
    <row r="320" spans="1:2">
      <c r="A320" t="s">
        <v>1860</v>
      </c>
      <c r="B320" t="s">
        <v>1966</v>
      </c>
    </row>
    <row r="321" spans="1:2">
      <c r="A321" t="s">
        <v>1861</v>
      </c>
      <c r="B321" t="s">
        <v>1967</v>
      </c>
    </row>
    <row r="322" spans="1:2">
      <c r="A322" t="s">
        <v>1862</v>
      </c>
      <c r="B322" t="s">
        <v>1968</v>
      </c>
    </row>
    <row r="323" spans="1:2">
      <c r="A323" t="s">
        <v>1863</v>
      </c>
      <c r="B323" t="s">
        <v>1969</v>
      </c>
    </row>
    <row r="324" spans="1:2">
      <c r="A324" t="s">
        <v>1864</v>
      </c>
      <c r="B324" t="s">
        <v>1970</v>
      </c>
    </row>
    <row r="325" spans="1:2">
      <c r="A325" t="s">
        <v>1865</v>
      </c>
      <c r="B325" t="s">
        <v>1971</v>
      </c>
    </row>
    <row r="326" spans="1:2">
      <c r="A326" t="s">
        <v>1866</v>
      </c>
      <c r="B326" t="s">
        <v>1972</v>
      </c>
    </row>
    <row r="327" spans="1:2">
      <c r="A327" t="s">
        <v>1867</v>
      </c>
      <c r="B327" t="s">
        <v>1973</v>
      </c>
    </row>
    <row r="328" spans="1:2">
      <c r="A328" t="s">
        <v>1868</v>
      </c>
      <c r="B328" t="s">
        <v>1974</v>
      </c>
    </row>
    <row r="329" spans="1:2">
      <c r="A329" t="s">
        <v>1869</v>
      </c>
      <c r="B329" t="s">
        <v>1975</v>
      </c>
    </row>
    <row r="330" spans="1:2">
      <c r="A330" t="s">
        <v>1870</v>
      </c>
      <c r="B330" t="s">
        <v>1976</v>
      </c>
    </row>
    <row r="331" spans="1:2">
      <c r="A331" t="s">
        <v>1871</v>
      </c>
      <c r="B331" t="s">
        <v>1977</v>
      </c>
    </row>
    <row r="332" spans="1:2">
      <c r="A332" t="s">
        <v>1872</v>
      </c>
      <c r="B332" t="s">
        <v>1978</v>
      </c>
    </row>
    <row r="333" spans="1:2">
      <c r="A333" t="s">
        <v>1873</v>
      </c>
      <c r="B333" t="s">
        <v>1979</v>
      </c>
    </row>
    <row r="334" spans="1:2">
      <c r="A334" t="s">
        <v>1874</v>
      </c>
      <c r="B334" t="s">
        <v>1980</v>
      </c>
    </row>
    <row r="335" spans="1:2">
      <c r="A335" t="s">
        <v>1875</v>
      </c>
      <c r="B335" t="s">
        <v>1981</v>
      </c>
    </row>
    <row r="336" spans="1:2">
      <c r="A336" t="s">
        <v>1876</v>
      </c>
      <c r="B336" t="s">
        <v>1982</v>
      </c>
    </row>
    <row r="337" spans="1:2">
      <c r="A337" t="s">
        <v>1877</v>
      </c>
      <c r="B337" t="s">
        <v>1983</v>
      </c>
    </row>
    <row r="338" spans="1:2">
      <c r="A338" t="s">
        <v>1878</v>
      </c>
      <c r="B338" t="s">
        <v>1984</v>
      </c>
    </row>
    <row r="339" spans="1:2">
      <c r="A339" t="s">
        <v>1879</v>
      </c>
      <c r="B339" t="s">
        <v>1985</v>
      </c>
    </row>
    <row r="340" spans="1:2">
      <c r="A340" t="s">
        <v>1880</v>
      </c>
      <c r="B340" t="s">
        <v>1986</v>
      </c>
    </row>
    <row r="341" spans="1:2">
      <c r="A341" t="s">
        <v>1881</v>
      </c>
      <c r="B341" t="s">
        <v>1987</v>
      </c>
    </row>
    <row r="342" spans="1:2">
      <c r="A342" t="s">
        <v>1882</v>
      </c>
      <c r="B342" t="s">
        <v>1988</v>
      </c>
    </row>
    <row r="343" spans="1:2">
      <c r="A343" t="s">
        <v>1883</v>
      </c>
      <c r="B343" t="s">
        <v>1989</v>
      </c>
    </row>
    <row r="344" spans="1:2">
      <c r="A344" t="s">
        <v>1884</v>
      </c>
      <c r="B344" t="s">
        <v>1990</v>
      </c>
    </row>
  </sheetData>
  <protectedRanges>
    <protectedRange sqref="A80:B193" name="範圍1_1_1"/>
    <protectedRange sqref="A1:B16" name="範圍1_2"/>
    <protectedRange sqref="A17:B79" name="範圍1"/>
  </protectedRange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82"/>
  <sheetViews>
    <sheetView workbookViewId="0">
      <selection sqref="A1:D1049"/>
    </sheetView>
  </sheetViews>
  <sheetFormatPr defaultRowHeight="15.75"/>
  <cols>
    <col min="1" max="1" width="24.375" customWidth="1"/>
    <col min="2" max="2" width="8.5" bestFit="1" customWidth="1"/>
    <col min="257" max="257" width="27.875" customWidth="1"/>
    <col min="513" max="513" width="27.875" customWidth="1"/>
    <col min="769" max="769" width="27.875" customWidth="1"/>
    <col min="1025" max="1025" width="27.875" customWidth="1"/>
    <col min="1281" max="1281" width="27.875" customWidth="1"/>
    <col min="1537" max="1537" width="27.875" customWidth="1"/>
    <col min="1793" max="1793" width="27.875" customWidth="1"/>
    <col min="2049" max="2049" width="27.875" customWidth="1"/>
    <col min="2305" max="2305" width="27.875" customWidth="1"/>
    <col min="2561" max="2561" width="27.875" customWidth="1"/>
    <col min="2817" max="2817" width="27.875" customWidth="1"/>
    <col min="3073" max="3073" width="27.875" customWidth="1"/>
    <col min="3329" max="3329" width="27.875" customWidth="1"/>
    <col min="3585" max="3585" width="27.875" customWidth="1"/>
    <col min="3841" max="3841" width="27.875" customWidth="1"/>
    <col min="4097" max="4097" width="27.875" customWidth="1"/>
    <col min="4353" max="4353" width="27.875" customWidth="1"/>
    <col min="4609" max="4609" width="27.875" customWidth="1"/>
    <col min="4865" max="4865" width="27.875" customWidth="1"/>
    <col min="5121" max="5121" width="27.875" customWidth="1"/>
    <col min="5377" max="5377" width="27.875" customWidth="1"/>
    <col min="5633" max="5633" width="27.875" customWidth="1"/>
    <col min="5889" max="5889" width="27.875" customWidth="1"/>
    <col min="6145" max="6145" width="27.875" customWidth="1"/>
    <col min="6401" max="6401" width="27.875" customWidth="1"/>
    <col min="6657" max="6657" width="27.875" customWidth="1"/>
    <col min="6913" max="6913" width="27.875" customWidth="1"/>
    <col min="7169" max="7169" width="27.875" customWidth="1"/>
    <col min="7425" max="7425" width="27.875" customWidth="1"/>
    <col min="7681" max="7681" width="27.875" customWidth="1"/>
    <col min="7937" max="7937" width="27.875" customWidth="1"/>
    <col min="8193" max="8193" width="27.875" customWidth="1"/>
    <col min="8449" max="8449" width="27.875" customWidth="1"/>
    <col min="8705" max="8705" width="27.875" customWidth="1"/>
    <col min="8961" max="8961" width="27.875" customWidth="1"/>
    <col min="9217" max="9217" width="27.875" customWidth="1"/>
    <col min="9473" max="9473" width="27.875" customWidth="1"/>
    <col min="9729" max="9729" width="27.875" customWidth="1"/>
    <col min="9985" max="9985" width="27.875" customWidth="1"/>
    <col min="10241" max="10241" width="27.875" customWidth="1"/>
    <col min="10497" max="10497" width="27.875" customWidth="1"/>
    <col min="10753" max="10753" width="27.875" customWidth="1"/>
    <col min="11009" max="11009" width="27.875" customWidth="1"/>
    <col min="11265" max="11265" width="27.875" customWidth="1"/>
    <col min="11521" max="11521" width="27.875" customWidth="1"/>
    <col min="11777" max="11777" width="27.875" customWidth="1"/>
    <col min="12033" max="12033" width="27.875" customWidth="1"/>
    <col min="12289" max="12289" width="27.875" customWidth="1"/>
    <col min="12545" max="12545" width="27.875" customWidth="1"/>
    <col min="12801" max="12801" width="27.875" customWidth="1"/>
    <col min="13057" max="13057" width="27.875" customWidth="1"/>
    <col min="13313" max="13313" width="27.875" customWidth="1"/>
    <col min="13569" max="13569" width="27.875" customWidth="1"/>
    <col min="13825" max="13825" width="27.875" customWidth="1"/>
    <col min="14081" max="14081" width="27.875" customWidth="1"/>
    <col min="14337" max="14337" width="27.875" customWidth="1"/>
    <col min="14593" max="14593" width="27.875" customWidth="1"/>
    <col min="14849" max="14849" width="27.875" customWidth="1"/>
    <col min="15105" max="15105" width="27.875" customWidth="1"/>
    <col min="15361" max="15361" width="27.875" customWidth="1"/>
    <col min="15617" max="15617" width="27.875" customWidth="1"/>
    <col min="15873" max="15873" width="27.875" customWidth="1"/>
    <col min="16129" max="16129" width="27.875" customWidth="1"/>
  </cols>
  <sheetData>
    <row r="1" spans="1:9">
      <c r="A1" s="118" t="s">
        <v>1991</v>
      </c>
    </row>
    <row r="2" spans="1:9">
      <c r="A2" s="118" t="s">
        <v>1992</v>
      </c>
    </row>
    <row r="3" spans="1:9" ht="63">
      <c r="A3" s="119" t="s">
        <v>969</v>
      </c>
      <c r="B3" s="119" t="s">
        <v>970</v>
      </c>
      <c r="C3" s="119" t="s">
        <v>971</v>
      </c>
      <c r="D3" s="119" t="s">
        <v>972</v>
      </c>
      <c r="E3" s="1"/>
      <c r="F3" s="1"/>
      <c r="G3" s="1"/>
      <c r="H3" s="1"/>
      <c r="I3" s="1"/>
    </row>
    <row r="4" spans="1:9">
      <c r="A4" s="3" t="s">
        <v>1560</v>
      </c>
      <c r="B4" s="2">
        <v>32822.29</v>
      </c>
      <c r="C4" s="2">
        <v>4737.79</v>
      </c>
      <c r="D4" s="2">
        <v>692.78</v>
      </c>
      <c r="E4" s="2"/>
      <c r="F4" s="2"/>
      <c r="G4" s="2"/>
      <c r="H4" s="2"/>
      <c r="I4" s="3"/>
    </row>
    <row r="5" spans="1:9">
      <c r="A5" s="3" t="s">
        <v>1559</v>
      </c>
      <c r="B5" s="2">
        <v>32822.019999999997</v>
      </c>
      <c r="C5" s="2">
        <v>4780.5</v>
      </c>
      <c r="D5" s="2">
        <v>686.58</v>
      </c>
      <c r="E5" s="2"/>
      <c r="F5" s="2"/>
      <c r="G5" s="2"/>
      <c r="H5" s="2"/>
      <c r="I5" s="3"/>
    </row>
    <row r="6" spans="1:9">
      <c r="A6" s="3" t="s">
        <v>1562</v>
      </c>
      <c r="B6" s="2">
        <v>32822.120000000003</v>
      </c>
      <c r="C6" s="2">
        <v>5117.7700000000004</v>
      </c>
      <c r="D6" s="2">
        <v>641.34</v>
      </c>
      <c r="E6" s="2"/>
      <c r="F6" s="2"/>
      <c r="G6" s="2"/>
      <c r="H6" s="2"/>
      <c r="I6" s="3"/>
    </row>
    <row r="7" spans="1:9">
      <c r="A7" s="3" t="s">
        <v>1561</v>
      </c>
      <c r="B7" s="2">
        <v>32822.300000000003</v>
      </c>
      <c r="C7" s="2">
        <v>5212</v>
      </c>
      <c r="D7" s="2">
        <v>629.74</v>
      </c>
      <c r="E7" s="2"/>
      <c r="F7" s="2"/>
      <c r="G7" s="2"/>
      <c r="H7" s="2"/>
      <c r="I7" s="3"/>
    </row>
    <row r="8" spans="1:9">
      <c r="A8" s="3" t="s">
        <v>1602</v>
      </c>
      <c r="B8" s="2">
        <v>32822.43</v>
      </c>
      <c r="C8" s="2">
        <v>5406.28</v>
      </c>
      <c r="D8" s="2">
        <v>607.12</v>
      </c>
      <c r="E8" s="2"/>
      <c r="F8" s="2"/>
      <c r="G8" s="2"/>
      <c r="H8" s="2"/>
      <c r="I8" s="3"/>
    </row>
    <row r="9" spans="1:9">
      <c r="A9" s="3" t="s">
        <v>1601</v>
      </c>
      <c r="B9" s="2">
        <v>32822.25</v>
      </c>
      <c r="C9" s="2">
        <v>5532.01</v>
      </c>
      <c r="D9" s="2">
        <v>593.32000000000005</v>
      </c>
      <c r="E9" s="2"/>
      <c r="F9" s="2"/>
      <c r="G9" s="2"/>
      <c r="H9" s="2"/>
      <c r="I9" s="3"/>
    </row>
    <row r="10" spans="1:9">
      <c r="A10" s="3" t="s">
        <v>1582</v>
      </c>
      <c r="B10" s="2">
        <v>32822.49</v>
      </c>
      <c r="C10" s="2">
        <v>7355.22</v>
      </c>
      <c r="D10" s="2">
        <v>446.25</v>
      </c>
      <c r="E10" s="2"/>
      <c r="F10" s="2"/>
      <c r="G10" s="2"/>
      <c r="H10" s="2"/>
      <c r="I10" s="3"/>
    </row>
    <row r="11" spans="1:9">
      <c r="A11" s="3" t="s">
        <v>1604</v>
      </c>
      <c r="B11" s="2">
        <v>32822.06</v>
      </c>
      <c r="C11" s="2">
        <v>5774.78</v>
      </c>
      <c r="D11" s="2">
        <v>568.37</v>
      </c>
      <c r="E11" s="2"/>
      <c r="F11" s="2"/>
      <c r="G11" s="2"/>
      <c r="H11" s="2"/>
      <c r="I11" s="3"/>
    </row>
    <row r="12" spans="1:9">
      <c r="A12" s="3" t="s">
        <v>1581</v>
      </c>
      <c r="B12" s="2">
        <v>32822.04</v>
      </c>
      <c r="C12" s="2">
        <v>7631.73</v>
      </c>
      <c r="D12" s="2">
        <v>430.07</v>
      </c>
      <c r="E12" s="2"/>
      <c r="F12" s="2"/>
      <c r="G12" s="2"/>
      <c r="H12" s="2"/>
      <c r="I12" s="3"/>
    </row>
    <row r="13" spans="1:9">
      <c r="A13" s="3" t="s">
        <v>1603</v>
      </c>
      <c r="B13" s="2">
        <v>32822.400000000001</v>
      </c>
      <c r="C13" s="2">
        <v>5900.51</v>
      </c>
      <c r="D13" s="2">
        <v>556.26</v>
      </c>
      <c r="E13" s="2"/>
      <c r="F13" s="2"/>
      <c r="G13" s="2"/>
      <c r="H13" s="2"/>
      <c r="I13" s="3"/>
    </row>
    <row r="14" spans="1:9">
      <c r="A14" s="3" t="s">
        <v>1592</v>
      </c>
      <c r="B14" s="2">
        <v>32822.07</v>
      </c>
      <c r="C14" s="2">
        <v>10461.6</v>
      </c>
      <c r="D14" s="2">
        <v>313.74</v>
      </c>
      <c r="E14" s="2"/>
      <c r="F14" s="2"/>
      <c r="G14" s="2"/>
      <c r="H14" s="2"/>
      <c r="I14" s="3"/>
    </row>
    <row r="15" spans="1:9">
      <c r="A15" s="3" t="s">
        <v>1591</v>
      </c>
      <c r="B15" s="2">
        <v>32822.43</v>
      </c>
      <c r="C15" s="2">
        <v>10306.61</v>
      </c>
      <c r="D15" s="2">
        <v>318.45999999999998</v>
      </c>
      <c r="E15" s="2"/>
      <c r="F15" s="2"/>
      <c r="G15" s="2"/>
      <c r="H15" s="2"/>
      <c r="I15" s="3"/>
    </row>
    <row r="16" spans="1:9">
      <c r="A16" s="3" t="s">
        <v>1590</v>
      </c>
      <c r="B16" s="2">
        <v>32822.44</v>
      </c>
      <c r="C16" s="2">
        <v>10596.56</v>
      </c>
      <c r="D16" s="2">
        <v>309.75</v>
      </c>
      <c r="E16" s="2"/>
      <c r="F16" s="2"/>
      <c r="G16" s="2"/>
      <c r="H16" s="2"/>
      <c r="I16" s="3"/>
    </row>
    <row r="17" spans="1:9">
      <c r="A17" s="3" t="s">
        <v>1589</v>
      </c>
      <c r="B17" s="2">
        <v>32822.21</v>
      </c>
      <c r="C17" s="2">
        <v>10441.57</v>
      </c>
      <c r="D17" s="2">
        <v>314.33999999999997</v>
      </c>
      <c r="E17" s="2"/>
      <c r="F17" s="2"/>
      <c r="G17" s="2"/>
      <c r="H17" s="2"/>
      <c r="I17" s="3"/>
    </row>
    <row r="18" spans="1:9">
      <c r="A18" s="3" t="s">
        <v>1568</v>
      </c>
      <c r="B18" s="2">
        <v>32822.07</v>
      </c>
      <c r="C18" s="2">
        <v>10666.96</v>
      </c>
      <c r="D18" s="2">
        <v>307.7</v>
      </c>
      <c r="E18" s="2"/>
      <c r="F18" s="2"/>
      <c r="G18" s="2"/>
      <c r="H18" s="2"/>
      <c r="I18" s="3"/>
    </row>
    <row r="19" spans="1:9">
      <c r="A19" s="3" t="s">
        <v>1580</v>
      </c>
      <c r="B19" s="2">
        <v>32822.1</v>
      </c>
      <c r="C19" s="2">
        <v>8416.18</v>
      </c>
      <c r="D19" s="2">
        <v>389.99</v>
      </c>
      <c r="E19" s="2"/>
      <c r="F19" s="2"/>
      <c r="G19" s="2"/>
      <c r="H19" s="2"/>
      <c r="I19" s="3"/>
    </row>
    <row r="20" spans="1:9">
      <c r="A20" s="3" t="s">
        <v>1567</v>
      </c>
      <c r="B20" s="2">
        <v>32822.47</v>
      </c>
      <c r="C20" s="2">
        <v>10541.23</v>
      </c>
      <c r="D20" s="2">
        <v>311.37</v>
      </c>
      <c r="E20" s="2"/>
      <c r="F20" s="2"/>
      <c r="G20" s="2"/>
      <c r="H20" s="2"/>
      <c r="I20" s="3"/>
    </row>
    <row r="21" spans="1:9">
      <c r="A21" s="3" t="s">
        <v>1579</v>
      </c>
      <c r="B21" s="2">
        <v>32822.35</v>
      </c>
      <c r="C21" s="2">
        <v>8692.67</v>
      </c>
      <c r="D21" s="2">
        <v>377.59</v>
      </c>
      <c r="E21" s="2"/>
      <c r="F21" s="2"/>
      <c r="G21" s="2"/>
      <c r="H21" s="2"/>
      <c r="I21" s="3"/>
    </row>
    <row r="22" spans="1:9">
      <c r="A22" s="3" t="s">
        <v>1570</v>
      </c>
      <c r="B22" s="2">
        <v>32822.47</v>
      </c>
      <c r="C22" s="2">
        <v>10251.209999999999</v>
      </c>
      <c r="D22" s="2">
        <v>320.18</v>
      </c>
      <c r="E22" s="2"/>
      <c r="F22" s="2"/>
      <c r="G22" s="2"/>
      <c r="H22" s="2"/>
      <c r="I22" s="3"/>
    </row>
    <row r="23" spans="1:9">
      <c r="A23" s="3" t="s">
        <v>1578</v>
      </c>
      <c r="B23" s="2">
        <v>32822.14</v>
      </c>
      <c r="C23" s="2">
        <v>9514.2000000000007</v>
      </c>
      <c r="D23" s="2">
        <v>344.98</v>
      </c>
      <c r="E23" s="2"/>
      <c r="F23" s="2"/>
      <c r="G23" s="2"/>
      <c r="H23" s="2"/>
      <c r="I23" s="3"/>
    </row>
    <row r="24" spans="1:9">
      <c r="A24" s="3" t="s">
        <v>1569</v>
      </c>
      <c r="B24" s="2">
        <v>32822.089999999997</v>
      </c>
      <c r="C24" s="2">
        <v>10156.98</v>
      </c>
      <c r="D24" s="2">
        <v>323.14999999999998</v>
      </c>
      <c r="E24" s="2"/>
      <c r="F24" s="2"/>
      <c r="G24" s="2"/>
      <c r="H24" s="2"/>
      <c r="I24" s="3"/>
    </row>
    <row r="25" spans="1:9">
      <c r="A25" s="3" t="s">
        <v>1577</v>
      </c>
      <c r="B25" s="2">
        <v>32822.42</v>
      </c>
      <c r="C25" s="2">
        <v>9790.7099999999991</v>
      </c>
      <c r="D25" s="2">
        <v>335.24</v>
      </c>
      <c r="E25" s="2"/>
      <c r="F25" s="2"/>
      <c r="G25" s="2"/>
      <c r="H25" s="2"/>
      <c r="I25" s="3"/>
    </row>
    <row r="26" spans="1:9">
      <c r="A26" s="3" t="s">
        <v>968</v>
      </c>
      <c r="B26" s="2">
        <v>16278.97</v>
      </c>
      <c r="C26" s="2">
        <v>8535.83</v>
      </c>
      <c r="D26" s="2">
        <v>190.71</v>
      </c>
      <c r="E26" s="2"/>
      <c r="F26" s="2"/>
      <c r="G26" s="2"/>
      <c r="H26" s="2"/>
      <c r="I26" s="3"/>
    </row>
    <row r="27" spans="1:9">
      <c r="A27" s="3" t="s">
        <v>966</v>
      </c>
      <c r="B27" s="2">
        <v>17991.11</v>
      </c>
      <c r="C27" s="2">
        <v>6501.73</v>
      </c>
      <c r="D27" s="2">
        <v>276.70999999999998</v>
      </c>
      <c r="E27" s="2"/>
      <c r="F27" s="2"/>
      <c r="G27" s="2"/>
      <c r="H27" s="2"/>
      <c r="I27" s="3"/>
    </row>
    <row r="28" spans="1:9">
      <c r="A28" s="3" t="s">
        <v>964</v>
      </c>
      <c r="B28" s="2">
        <v>16278.18</v>
      </c>
      <c r="C28" s="2">
        <v>8722.32</v>
      </c>
      <c r="D28" s="2">
        <v>186.63</v>
      </c>
      <c r="E28" s="2"/>
      <c r="F28" s="2"/>
      <c r="G28" s="2"/>
      <c r="H28" s="2"/>
      <c r="I28" s="3"/>
    </row>
    <row r="29" spans="1:9">
      <c r="A29" s="3" t="s">
        <v>962</v>
      </c>
      <c r="B29" s="2">
        <v>17991.669999999998</v>
      </c>
      <c r="C29" s="2">
        <v>6317.48</v>
      </c>
      <c r="D29" s="2">
        <v>284.79000000000002</v>
      </c>
      <c r="E29" s="2"/>
      <c r="F29" s="2"/>
      <c r="G29" s="2"/>
      <c r="H29" s="2"/>
      <c r="I29" s="3"/>
    </row>
    <row r="30" spans="1:9">
      <c r="A30" s="3" t="s">
        <v>960</v>
      </c>
      <c r="B30" s="2">
        <v>17991.79</v>
      </c>
      <c r="C30" s="2">
        <v>8678.85</v>
      </c>
      <c r="D30" s="2">
        <v>207.31</v>
      </c>
      <c r="E30" s="2"/>
      <c r="F30" s="2"/>
      <c r="G30" s="2"/>
      <c r="H30" s="2"/>
      <c r="I30" s="3"/>
    </row>
    <row r="31" spans="1:9">
      <c r="A31" s="3" t="s">
        <v>958</v>
      </c>
      <c r="B31" s="2">
        <v>17991.55</v>
      </c>
      <c r="C31" s="2">
        <v>7203.15</v>
      </c>
      <c r="D31" s="2">
        <v>249.77</v>
      </c>
      <c r="E31" s="2"/>
      <c r="F31" s="2"/>
      <c r="G31" s="2"/>
      <c r="H31" s="2"/>
      <c r="I31" s="3"/>
    </row>
    <row r="32" spans="1:9">
      <c r="A32" s="3" t="s">
        <v>956</v>
      </c>
      <c r="B32" s="2">
        <v>17991.169999999998</v>
      </c>
      <c r="C32" s="2">
        <v>8955.34</v>
      </c>
      <c r="D32" s="2">
        <v>200.9</v>
      </c>
      <c r="E32" s="2"/>
      <c r="F32" s="2"/>
      <c r="G32" s="2"/>
      <c r="H32" s="2"/>
      <c r="I32" s="3"/>
    </row>
    <row r="33" spans="1:9">
      <c r="A33" s="3" t="s">
        <v>954</v>
      </c>
      <c r="B33" s="2">
        <v>17991.240000000002</v>
      </c>
      <c r="C33" s="2">
        <v>7018.9</v>
      </c>
      <c r="D33" s="2">
        <v>256.33</v>
      </c>
      <c r="E33" s="2"/>
      <c r="F33" s="2"/>
      <c r="G33" s="2"/>
      <c r="H33" s="2"/>
      <c r="I33" s="3"/>
    </row>
    <row r="34" spans="1:9">
      <c r="A34" s="3" t="s">
        <v>1606</v>
      </c>
      <c r="B34" s="2">
        <v>32822.019999999997</v>
      </c>
      <c r="C34" s="2">
        <v>8151.21</v>
      </c>
      <c r="D34" s="2">
        <v>402.66</v>
      </c>
      <c r="E34" s="2"/>
      <c r="F34" s="2"/>
      <c r="G34" s="2"/>
      <c r="H34" s="2"/>
      <c r="I34" s="3"/>
    </row>
    <row r="35" spans="1:9">
      <c r="A35" s="3" t="s">
        <v>1564</v>
      </c>
      <c r="B35" s="2">
        <v>32822.089999999997</v>
      </c>
      <c r="C35" s="2">
        <v>8883.9699999999993</v>
      </c>
      <c r="D35" s="2">
        <v>369.45</v>
      </c>
      <c r="E35" s="2"/>
      <c r="F35" s="2"/>
      <c r="G35" s="2"/>
      <c r="H35" s="2"/>
      <c r="I35" s="3"/>
    </row>
    <row r="36" spans="1:9">
      <c r="A36" s="3" t="s">
        <v>1605</v>
      </c>
      <c r="B36" s="2">
        <v>32822.44</v>
      </c>
      <c r="C36" s="2">
        <v>8056.97</v>
      </c>
      <c r="D36" s="2">
        <v>407.38</v>
      </c>
      <c r="E36" s="2"/>
      <c r="F36" s="2"/>
      <c r="G36" s="2"/>
      <c r="H36" s="2"/>
      <c r="I36" s="3"/>
    </row>
    <row r="37" spans="1:9">
      <c r="A37" s="3" t="s">
        <v>1563</v>
      </c>
      <c r="B37" s="2">
        <v>32822.42</v>
      </c>
      <c r="C37" s="2">
        <v>8758.24</v>
      </c>
      <c r="D37" s="2">
        <v>374.76</v>
      </c>
      <c r="E37" s="2"/>
      <c r="F37" s="2"/>
      <c r="G37" s="2"/>
      <c r="H37" s="2"/>
      <c r="I37" s="3"/>
    </row>
    <row r="38" spans="1:9">
      <c r="A38" s="3" t="s">
        <v>1584</v>
      </c>
      <c r="B38" s="2">
        <v>32822.35</v>
      </c>
      <c r="C38" s="2">
        <v>8123.5</v>
      </c>
      <c r="D38" s="2">
        <v>404.04</v>
      </c>
      <c r="E38" s="2"/>
      <c r="F38" s="2"/>
      <c r="G38" s="2"/>
      <c r="H38" s="2"/>
      <c r="I38" s="3"/>
    </row>
    <row r="39" spans="1:9">
      <c r="A39" s="3" t="s">
        <v>1566</v>
      </c>
      <c r="B39" s="2">
        <v>32822.410000000003</v>
      </c>
      <c r="C39" s="2">
        <v>8515.4699999999993</v>
      </c>
      <c r="D39" s="2">
        <v>385.44</v>
      </c>
      <c r="E39" s="2"/>
      <c r="F39" s="2"/>
      <c r="G39" s="2"/>
      <c r="H39" s="2"/>
      <c r="I39" s="3"/>
    </row>
    <row r="40" spans="1:9">
      <c r="A40" s="3" t="s">
        <v>1583</v>
      </c>
      <c r="B40" s="2">
        <v>32822.089999999997</v>
      </c>
      <c r="C40" s="2">
        <v>8029.27</v>
      </c>
      <c r="D40" s="2">
        <v>408.78</v>
      </c>
      <c r="E40" s="2"/>
      <c r="F40" s="2"/>
      <c r="G40" s="2"/>
      <c r="H40" s="2"/>
      <c r="I40" s="3"/>
    </row>
    <row r="41" spans="1:9">
      <c r="A41" s="3" t="s">
        <v>1565</v>
      </c>
      <c r="B41" s="2">
        <v>32822.04</v>
      </c>
      <c r="C41" s="2">
        <v>8389.74</v>
      </c>
      <c r="D41" s="2">
        <v>391.22</v>
      </c>
      <c r="E41" s="2"/>
      <c r="F41" s="2"/>
      <c r="G41" s="2"/>
      <c r="H41" s="2"/>
      <c r="I41" s="3"/>
    </row>
    <row r="42" spans="1:9">
      <c r="A42" s="3" t="s">
        <v>1574</v>
      </c>
      <c r="B42" s="2">
        <v>32822.03</v>
      </c>
      <c r="C42" s="2">
        <v>8952.4699999999993</v>
      </c>
      <c r="D42" s="2">
        <v>366.63</v>
      </c>
      <c r="E42" s="2"/>
      <c r="F42" s="2"/>
      <c r="G42" s="2"/>
      <c r="H42" s="2"/>
      <c r="I42" s="3"/>
    </row>
    <row r="43" spans="1:9">
      <c r="A43" s="3" t="s">
        <v>1572</v>
      </c>
      <c r="B43" s="2">
        <v>32822.449999999997</v>
      </c>
      <c r="C43" s="2">
        <v>8799.7199999999993</v>
      </c>
      <c r="D43" s="2">
        <v>372.99</v>
      </c>
      <c r="E43" s="2"/>
      <c r="F43" s="2"/>
      <c r="G43" s="2"/>
      <c r="H43" s="2"/>
      <c r="I43" s="3"/>
    </row>
    <row r="44" spans="1:9">
      <c r="A44" s="3" t="s">
        <v>1573</v>
      </c>
      <c r="B44" s="2">
        <v>32822.44</v>
      </c>
      <c r="C44" s="2">
        <v>8858.24</v>
      </c>
      <c r="D44" s="2">
        <v>370.53</v>
      </c>
      <c r="E44" s="2"/>
      <c r="F44" s="2"/>
      <c r="G44" s="2"/>
      <c r="H44" s="2"/>
      <c r="I44" s="3"/>
    </row>
    <row r="45" spans="1:9">
      <c r="A45" s="3" t="s">
        <v>1571</v>
      </c>
      <c r="B45" s="2">
        <v>32822.230000000003</v>
      </c>
      <c r="C45" s="2">
        <v>8705.49</v>
      </c>
      <c r="D45" s="2">
        <v>377.03</v>
      </c>
      <c r="E45" s="2"/>
      <c r="F45" s="2"/>
      <c r="G45" s="2"/>
      <c r="H45" s="2"/>
      <c r="I45" s="3"/>
    </row>
    <row r="46" spans="1:9">
      <c r="A46" s="3" t="s">
        <v>1600</v>
      </c>
      <c r="B46" s="2">
        <v>32822.080000000002</v>
      </c>
      <c r="C46" s="2">
        <v>9485.67</v>
      </c>
      <c r="D46" s="2">
        <v>346.02</v>
      </c>
      <c r="E46" s="2"/>
      <c r="F46" s="2"/>
      <c r="G46" s="2"/>
      <c r="H46" s="2"/>
      <c r="I46" s="3"/>
    </row>
    <row r="47" spans="1:9">
      <c r="A47" s="3" t="s">
        <v>1594</v>
      </c>
      <c r="B47" s="2">
        <v>32822.480000000003</v>
      </c>
      <c r="C47" s="2">
        <v>8212.7900000000009</v>
      </c>
      <c r="D47" s="2">
        <v>399.65</v>
      </c>
      <c r="E47" s="2"/>
      <c r="F47" s="2"/>
      <c r="G47" s="2"/>
      <c r="H47" s="2"/>
      <c r="I47" s="3"/>
    </row>
    <row r="48" spans="1:9">
      <c r="A48" s="3" t="s">
        <v>1599</v>
      </c>
      <c r="B48" s="2">
        <v>32822.46</v>
      </c>
      <c r="C48" s="2">
        <v>9669.92</v>
      </c>
      <c r="D48" s="2">
        <v>339.43</v>
      </c>
      <c r="E48" s="2"/>
      <c r="F48" s="2"/>
      <c r="G48" s="2"/>
      <c r="H48" s="2"/>
      <c r="I48" s="3"/>
    </row>
    <row r="49" spans="1:9">
      <c r="A49" s="3" t="s">
        <v>1593</v>
      </c>
      <c r="B49" s="2">
        <v>32822.019999999997</v>
      </c>
      <c r="C49" s="2">
        <v>8118.56</v>
      </c>
      <c r="D49" s="2">
        <v>404.28</v>
      </c>
      <c r="E49" s="2"/>
      <c r="F49" s="2"/>
      <c r="G49" s="2"/>
      <c r="H49" s="2"/>
      <c r="I49" s="3"/>
    </row>
    <row r="50" spans="1:9">
      <c r="A50" s="3" t="s">
        <v>1598</v>
      </c>
      <c r="B50" s="2">
        <v>32822.230000000003</v>
      </c>
      <c r="C50" s="2">
        <v>10231.52</v>
      </c>
      <c r="D50" s="2">
        <v>320.8</v>
      </c>
      <c r="E50" s="2"/>
      <c r="F50" s="2"/>
      <c r="G50" s="2"/>
      <c r="H50" s="2"/>
      <c r="I50" s="3"/>
    </row>
    <row r="51" spans="1:9">
      <c r="A51" s="3" t="s">
        <v>1576</v>
      </c>
      <c r="B51" s="2">
        <v>32822.49</v>
      </c>
      <c r="C51" s="2">
        <v>8560.98</v>
      </c>
      <c r="D51" s="2">
        <v>383.4</v>
      </c>
      <c r="E51" s="2"/>
      <c r="F51" s="2"/>
      <c r="G51" s="2"/>
      <c r="H51" s="2"/>
      <c r="I51" s="3"/>
    </row>
    <row r="52" spans="1:9">
      <c r="A52" s="3" t="s">
        <v>1597</v>
      </c>
      <c r="B52" s="2">
        <v>32822.43</v>
      </c>
      <c r="C52" s="2">
        <v>10137.290000000001</v>
      </c>
      <c r="D52" s="2">
        <v>323.77999999999997</v>
      </c>
      <c r="E52" s="2"/>
      <c r="F52" s="2"/>
      <c r="G52" s="2"/>
      <c r="H52" s="2"/>
      <c r="I52" s="3"/>
    </row>
    <row r="53" spans="1:9">
      <c r="A53" s="3" t="s">
        <v>1575</v>
      </c>
      <c r="B53" s="2">
        <v>32822.019999999997</v>
      </c>
      <c r="C53" s="2">
        <v>8466.75</v>
      </c>
      <c r="D53" s="2">
        <v>387.66</v>
      </c>
      <c r="E53" s="2"/>
      <c r="F53" s="2"/>
      <c r="G53" s="2"/>
      <c r="H53" s="2"/>
      <c r="I53" s="3"/>
    </row>
    <row r="54" spans="1:9">
      <c r="A54" s="3" t="s">
        <v>1588</v>
      </c>
      <c r="B54" s="2">
        <v>32822.04</v>
      </c>
      <c r="C54" s="2">
        <v>10506.47</v>
      </c>
      <c r="D54" s="2">
        <v>312.39999999999998</v>
      </c>
      <c r="E54" s="2"/>
      <c r="F54" s="2"/>
      <c r="G54" s="2"/>
      <c r="H54" s="2"/>
      <c r="I54" s="3"/>
    </row>
    <row r="55" spans="1:9">
      <c r="A55" s="3" t="s">
        <v>1608</v>
      </c>
      <c r="B55" s="2">
        <v>32822.449999999997</v>
      </c>
      <c r="C55" s="2">
        <v>8319.7099999999991</v>
      </c>
      <c r="D55" s="2">
        <v>394.51</v>
      </c>
      <c r="E55" s="2"/>
      <c r="F55" s="2"/>
      <c r="G55" s="2"/>
      <c r="H55" s="2"/>
      <c r="I55" s="3"/>
    </row>
    <row r="56" spans="1:9">
      <c r="A56" s="3" t="s">
        <v>1587</v>
      </c>
      <c r="B56" s="2">
        <v>32822.46</v>
      </c>
      <c r="C56" s="2">
        <v>10322.209999999999</v>
      </c>
      <c r="D56" s="2">
        <v>317.98</v>
      </c>
      <c r="E56" s="2"/>
      <c r="F56" s="2"/>
      <c r="G56" s="2"/>
      <c r="H56" s="2"/>
      <c r="I56" s="3"/>
    </row>
    <row r="57" spans="1:9">
      <c r="A57" s="3" t="s">
        <v>1607</v>
      </c>
      <c r="B57" s="2">
        <v>32822.1</v>
      </c>
      <c r="C57" s="2">
        <v>8225.48</v>
      </c>
      <c r="D57" s="2">
        <v>399.03</v>
      </c>
      <c r="E57" s="2"/>
      <c r="F57" s="2"/>
      <c r="G57" s="2"/>
      <c r="H57" s="2"/>
      <c r="I57" s="3"/>
    </row>
    <row r="58" spans="1:9">
      <c r="A58" s="3" t="s">
        <v>1586</v>
      </c>
      <c r="B58" s="2">
        <v>32822.49</v>
      </c>
      <c r="C58" s="2">
        <v>9068.0400000000009</v>
      </c>
      <c r="D58" s="2">
        <v>361.96</v>
      </c>
      <c r="E58" s="2"/>
      <c r="F58" s="2"/>
      <c r="G58" s="2"/>
      <c r="H58" s="2"/>
      <c r="I58" s="3"/>
    </row>
    <row r="59" spans="1:9">
      <c r="A59" s="3" t="s">
        <v>1610</v>
      </c>
      <c r="B59" s="2">
        <v>32822.33</v>
      </c>
      <c r="C59" s="2">
        <v>8876.7199999999993</v>
      </c>
      <c r="D59" s="2">
        <v>369.76</v>
      </c>
      <c r="E59" s="2"/>
      <c r="F59" s="2"/>
      <c r="G59" s="2"/>
      <c r="H59" s="2"/>
      <c r="I59" s="3"/>
    </row>
    <row r="60" spans="1:9">
      <c r="A60" s="3" t="s">
        <v>1585</v>
      </c>
      <c r="B60" s="2">
        <v>32822.01</v>
      </c>
      <c r="C60" s="2">
        <v>8883.7900000000009</v>
      </c>
      <c r="D60" s="2">
        <v>369.46</v>
      </c>
      <c r="E60" s="2"/>
      <c r="F60" s="2"/>
      <c r="G60" s="2"/>
      <c r="H60" s="2"/>
      <c r="I60" s="3"/>
    </row>
    <row r="61" spans="1:9">
      <c r="A61" s="3" t="s">
        <v>1609</v>
      </c>
      <c r="B61" s="2">
        <v>32822.019999999997</v>
      </c>
      <c r="C61" s="2">
        <v>8782.49</v>
      </c>
      <c r="D61" s="2">
        <v>373.72</v>
      </c>
      <c r="E61" s="2"/>
      <c r="F61" s="2"/>
      <c r="G61" s="2"/>
      <c r="H61" s="2"/>
      <c r="I61" s="3"/>
    </row>
    <row r="62" spans="1:9">
      <c r="A62" s="3" t="s">
        <v>1596</v>
      </c>
      <c r="B62" s="2">
        <v>32822.06</v>
      </c>
      <c r="C62" s="2">
        <v>9181.2900000000009</v>
      </c>
      <c r="D62" s="2">
        <v>357.49</v>
      </c>
      <c r="E62" s="2"/>
      <c r="F62" s="2"/>
      <c r="G62" s="2"/>
      <c r="H62" s="2"/>
      <c r="I62" s="3"/>
    </row>
    <row r="63" spans="1:9">
      <c r="A63" s="3" t="s">
        <v>1612</v>
      </c>
      <c r="B63" s="2">
        <v>23420.66</v>
      </c>
      <c r="C63" s="2">
        <v>10899</v>
      </c>
      <c r="D63" s="2">
        <v>214.89</v>
      </c>
      <c r="E63" s="2"/>
      <c r="F63" s="2"/>
      <c r="G63" s="2"/>
      <c r="H63" s="2"/>
      <c r="I63" s="3"/>
    </row>
    <row r="64" spans="1:9">
      <c r="A64" s="3" t="s">
        <v>1595</v>
      </c>
      <c r="B64" s="2">
        <v>32822.400000000001</v>
      </c>
      <c r="C64" s="2">
        <v>9087.06</v>
      </c>
      <c r="D64" s="2">
        <v>361.2</v>
      </c>
      <c r="E64" s="2"/>
      <c r="F64" s="2"/>
      <c r="G64" s="2"/>
      <c r="H64" s="2"/>
      <c r="I64" s="3"/>
    </row>
    <row r="65" spans="1:9">
      <c r="A65" s="3" t="s">
        <v>1611</v>
      </c>
      <c r="B65" s="2">
        <v>23421.23</v>
      </c>
      <c r="C65" s="2">
        <v>10474.06</v>
      </c>
      <c r="D65" s="2">
        <v>223.61</v>
      </c>
      <c r="E65" s="2"/>
      <c r="F65" s="2"/>
      <c r="G65" s="2"/>
      <c r="H65" s="2"/>
      <c r="I65" s="3"/>
    </row>
    <row r="66" spans="1:9">
      <c r="A66" s="3" t="s">
        <v>952</v>
      </c>
      <c r="B66" s="2">
        <v>17991.93</v>
      </c>
      <c r="C66" s="2">
        <v>9938.09</v>
      </c>
      <c r="D66" s="2">
        <v>181.04</v>
      </c>
      <c r="E66" s="2"/>
      <c r="F66" s="2"/>
      <c r="G66" s="2"/>
      <c r="H66" s="2"/>
      <c r="I66" s="3"/>
    </row>
    <row r="67" spans="1:9">
      <c r="A67" s="3" t="s">
        <v>950</v>
      </c>
      <c r="B67" s="2">
        <v>17991.509999999998</v>
      </c>
      <c r="C67" s="2">
        <v>9704.92</v>
      </c>
      <c r="D67" s="2">
        <v>185.39</v>
      </c>
      <c r="E67" s="2"/>
      <c r="F67" s="2"/>
      <c r="G67" s="2"/>
      <c r="H67" s="2"/>
      <c r="I67" s="3"/>
    </row>
    <row r="68" spans="1:9">
      <c r="A68" s="3" t="s">
        <v>948</v>
      </c>
      <c r="B68" s="2">
        <v>17991.02</v>
      </c>
      <c r="C68" s="2">
        <v>9632.32</v>
      </c>
      <c r="D68" s="2">
        <v>186.78</v>
      </c>
      <c r="E68" s="2"/>
      <c r="F68" s="2"/>
      <c r="G68" s="2"/>
      <c r="H68" s="2"/>
      <c r="I68" s="3"/>
    </row>
    <row r="69" spans="1:9">
      <c r="A69" s="3" t="s">
        <v>946</v>
      </c>
      <c r="B69" s="2">
        <v>17991.439999999999</v>
      </c>
      <c r="C69" s="2">
        <v>9610.69</v>
      </c>
      <c r="D69" s="2">
        <v>187.2</v>
      </c>
      <c r="E69" s="2"/>
      <c r="F69" s="2"/>
      <c r="G69" s="2"/>
      <c r="H69" s="2"/>
      <c r="I69" s="3"/>
    </row>
    <row r="70" spans="1:9">
      <c r="A70" s="3" t="s">
        <v>944</v>
      </c>
      <c r="B70" s="2">
        <v>16278.86</v>
      </c>
      <c r="C70" s="2">
        <v>8374.0300000000007</v>
      </c>
      <c r="D70" s="2">
        <v>194.4</v>
      </c>
      <c r="E70" s="2"/>
      <c r="F70" s="2"/>
      <c r="G70" s="2"/>
      <c r="H70" s="2"/>
      <c r="I70" s="3"/>
    </row>
    <row r="71" spans="1:9">
      <c r="A71" s="3" t="s">
        <v>942</v>
      </c>
      <c r="B71" s="2">
        <v>16278.51</v>
      </c>
      <c r="C71" s="2">
        <v>8594.31</v>
      </c>
      <c r="D71" s="2">
        <v>189.41</v>
      </c>
      <c r="E71" s="2"/>
      <c r="F71" s="2"/>
      <c r="G71" s="2"/>
      <c r="H71" s="2"/>
      <c r="I71" s="3"/>
    </row>
    <row r="72" spans="1:9">
      <c r="A72" s="3" t="s">
        <v>940</v>
      </c>
      <c r="B72" s="2">
        <v>16278.02</v>
      </c>
      <c r="C72" s="2">
        <v>8558.2800000000007</v>
      </c>
      <c r="D72" s="2">
        <v>190.2</v>
      </c>
      <c r="E72" s="2"/>
      <c r="F72" s="2"/>
      <c r="G72" s="2"/>
      <c r="H72" s="2"/>
      <c r="I72" s="3"/>
    </row>
    <row r="73" spans="1:9">
      <c r="A73" s="3" t="s">
        <v>938</v>
      </c>
      <c r="B73" s="2">
        <v>16278.25</v>
      </c>
      <c r="C73" s="2">
        <v>8668.51</v>
      </c>
      <c r="D73" s="2">
        <v>187.79</v>
      </c>
      <c r="E73" s="2"/>
      <c r="F73" s="2"/>
      <c r="G73" s="2"/>
      <c r="H73" s="2"/>
      <c r="I73" s="3"/>
    </row>
    <row r="74" spans="1:9">
      <c r="A74" s="3" t="s">
        <v>936</v>
      </c>
      <c r="B74" s="2">
        <v>16278.84</v>
      </c>
      <c r="C74" s="2">
        <v>10518.39</v>
      </c>
      <c r="D74" s="2">
        <v>154.77000000000001</v>
      </c>
      <c r="E74" s="2"/>
      <c r="F74" s="2"/>
      <c r="G74" s="2"/>
      <c r="H74" s="2"/>
      <c r="I74" s="3"/>
    </row>
    <row r="75" spans="1:9">
      <c r="A75" s="3" t="s">
        <v>934</v>
      </c>
      <c r="B75" s="2">
        <v>16278.66</v>
      </c>
      <c r="C75" s="2">
        <v>9806.6200000000008</v>
      </c>
      <c r="D75" s="2">
        <v>166</v>
      </c>
      <c r="E75" s="2"/>
      <c r="F75" s="2"/>
      <c r="G75" s="2"/>
      <c r="H75" s="2"/>
      <c r="I75" s="3"/>
    </row>
    <row r="76" spans="1:9">
      <c r="A76" s="3" t="s">
        <v>932</v>
      </c>
      <c r="B76" s="2">
        <v>16278.94</v>
      </c>
      <c r="C76" s="2">
        <v>10244.120000000001</v>
      </c>
      <c r="D76" s="2">
        <v>158.91</v>
      </c>
      <c r="E76" s="2"/>
      <c r="F76" s="2"/>
      <c r="G76" s="2"/>
      <c r="H76" s="2"/>
      <c r="I76" s="3"/>
    </row>
    <row r="77" spans="1:9">
      <c r="A77" s="3" t="s">
        <v>930</v>
      </c>
      <c r="B77" s="2">
        <v>16278.02</v>
      </c>
      <c r="C77" s="2">
        <v>9990.8700000000008</v>
      </c>
      <c r="D77" s="2">
        <v>162.93</v>
      </c>
      <c r="E77" s="2"/>
      <c r="F77" s="2"/>
      <c r="G77" s="2"/>
      <c r="H77" s="2"/>
      <c r="I77" s="3"/>
    </row>
    <row r="78" spans="1:9">
      <c r="A78" s="3" t="s">
        <v>928</v>
      </c>
      <c r="B78" s="2">
        <v>16278.93</v>
      </c>
      <c r="C78" s="2">
        <v>9231.19</v>
      </c>
      <c r="D78" s="2">
        <v>176.35</v>
      </c>
      <c r="E78" s="2"/>
      <c r="F78" s="2"/>
      <c r="G78" s="2"/>
      <c r="H78" s="2"/>
      <c r="I78" s="3"/>
    </row>
    <row r="79" spans="1:9">
      <c r="A79" s="3" t="s">
        <v>926</v>
      </c>
      <c r="B79" s="2">
        <v>17991.310000000001</v>
      </c>
      <c r="C79" s="2">
        <v>10471.379999999999</v>
      </c>
      <c r="D79" s="2">
        <v>171.81</v>
      </c>
      <c r="E79" s="2"/>
      <c r="F79" s="2"/>
      <c r="G79" s="2"/>
      <c r="H79" s="2"/>
      <c r="I79" s="3"/>
    </row>
    <row r="80" spans="1:9">
      <c r="A80" s="3" t="s">
        <v>924</v>
      </c>
      <c r="B80" s="2">
        <v>16278.1</v>
      </c>
      <c r="C80" s="2">
        <v>9415.44</v>
      </c>
      <c r="D80" s="2">
        <v>172.89</v>
      </c>
      <c r="E80" s="2"/>
      <c r="F80" s="2"/>
      <c r="G80" s="2"/>
      <c r="H80" s="2"/>
      <c r="I80" s="3"/>
    </row>
    <row r="81" spans="1:9">
      <c r="A81" s="3" t="s">
        <v>922</v>
      </c>
      <c r="B81" s="2">
        <v>17991.14</v>
      </c>
      <c r="C81" s="2">
        <v>10777.15</v>
      </c>
      <c r="D81" s="2">
        <v>166.94</v>
      </c>
      <c r="E81" s="2"/>
      <c r="F81" s="2"/>
      <c r="G81" s="2"/>
      <c r="H81" s="2"/>
      <c r="I81" s="3"/>
    </row>
    <row r="82" spans="1:9">
      <c r="A82" s="3" t="s">
        <v>920</v>
      </c>
      <c r="B82" s="2">
        <v>16278.95</v>
      </c>
      <c r="C82" s="2">
        <v>10175.44</v>
      </c>
      <c r="D82" s="2">
        <v>159.97999999999999</v>
      </c>
      <c r="E82" s="2"/>
      <c r="F82" s="2"/>
      <c r="G82" s="2"/>
      <c r="H82" s="2"/>
      <c r="I82" s="3"/>
    </row>
    <row r="83" spans="1:9">
      <c r="A83" s="3" t="s">
        <v>918</v>
      </c>
      <c r="B83" s="2">
        <v>16278.27</v>
      </c>
      <c r="C83" s="2">
        <v>7771.5</v>
      </c>
      <c r="D83" s="2">
        <v>209.46</v>
      </c>
      <c r="E83" s="2"/>
      <c r="F83" s="2"/>
      <c r="G83" s="2"/>
      <c r="H83" s="2"/>
      <c r="I83" s="3"/>
    </row>
    <row r="84" spans="1:9">
      <c r="A84" s="3" t="s">
        <v>916</v>
      </c>
      <c r="B84" s="2">
        <v>16278.89</v>
      </c>
      <c r="C84" s="2">
        <v>9991.19</v>
      </c>
      <c r="D84" s="2">
        <v>162.93</v>
      </c>
      <c r="E84" s="2"/>
      <c r="F84" s="2"/>
      <c r="G84" s="2"/>
      <c r="H84" s="2"/>
      <c r="I84" s="3"/>
    </row>
    <row r="85" spans="1:9">
      <c r="A85" s="3" t="s">
        <v>914</v>
      </c>
      <c r="B85" s="2">
        <v>16278.98</v>
      </c>
      <c r="C85" s="2">
        <v>7587.25</v>
      </c>
      <c r="D85" s="2">
        <v>214.56</v>
      </c>
      <c r="E85" s="2"/>
      <c r="F85" s="2"/>
      <c r="G85" s="2"/>
      <c r="H85" s="2"/>
      <c r="I85" s="3"/>
    </row>
    <row r="86" spans="1:9">
      <c r="A86" s="3" t="s">
        <v>912</v>
      </c>
      <c r="B86" s="2">
        <v>16278.25</v>
      </c>
      <c r="C86" s="2">
        <v>9786.93</v>
      </c>
      <c r="D86" s="2">
        <v>166.33</v>
      </c>
      <c r="E86" s="2"/>
      <c r="F86" s="2"/>
      <c r="G86" s="2"/>
      <c r="H86" s="2"/>
      <c r="I86" s="3"/>
    </row>
    <row r="87" spans="1:9">
      <c r="A87" s="3" t="s">
        <v>910</v>
      </c>
      <c r="B87" s="2">
        <v>16278.33</v>
      </c>
      <c r="C87" s="2">
        <v>8409.93</v>
      </c>
      <c r="D87" s="2">
        <v>193.56</v>
      </c>
      <c r="E87" s="2"/>
      <c r="F87" s="2"/>
      <c r="G87" s="2"/>
      <c r="H87" s="2"/>
      <c r="I87" s="3"/>
    </row>
    <row r="88" spans="1:9">
      <c r="A88" s="3" t="s">
        <v>908</v>
      </c>
      <c r="B88" s="2">
        <v>16278.03</v>
      </c>
      <c r="C88" s="2">
        <v>9602.68</v>
      </c>
      <c r="D88" s="2">
        <v>169.52</v>
      </c>
      <c r="E88" s="2"/>
      <c r="F88" s="2"/>
      <c r="G88" s="2"/>
      <c r="H88" s="2"/>
      <c r="I88" s="3"/>
    </row>
    <row r="89" spans="1:9">
      <c r="A89" s="3" t="s">
        <v>906</v>
      </c>
      <c r="B89" s="2">
        <v>16278.53</v>
      </c>
      <c r="C89" s="2">
        <v>8225.67</v>
      </c>
      <c r="D89" s="2">
        <v>197.9</v>
      </c>
      <c r="E89" s="2"/>
      <c r="F89" s="2"/>
      <c r="G89" s="2"/>
      <c r="H89" s="2"/>
      <c r="I89" s="3"/>
    </row>
    <row r="90" spans="1:9">
      <c r="A90" s="3" t="s">
        <v>904</v>
      </c>
      <c r="B90" s="2">
        <v>17991.54</v>
      </c>
      <c r="C90" s="2">
        <v>6830.72</v>
      </c>
      <c r="D90" s="2">
        <v>263.39</v>
      </c>
      <c r="E90" s="2"/>
      <c r="F90" s="2"/>
      <c r="G90" s="2"/>
      <c r="H90" s="2"/>
      <c r="I90" s="3"/>
    </row>
    <row r="91" spans="1:9">
      <c r="A91" s="3" t="s">
        <v>902</v>
      </c>
      <c r="B91" s="2">
        <v>16278.6</v>
      </c>
      <c r="C91" s="2">
        <v>7841.41</v>
      </c>
      <c r="D91" s="2">
        <v>207.6</v>
      </c>
      <c r="E91" s="2"/>
      <c r="F91" s="2"/>
      <c r="G91" s="2"/>
      <c r="H91" s="2"/>
      <c r="I91" s="3"/>
    </row>
    <row r="92" spans="1:9">
      <c r="A92" s="3" t="s">
        <v>900</v>
      </c>
      <c r="B92" s="2">
        <v>17991.25</v>
      </c>
      <c r="C92" s="2">
        <v>6646.47</v>
      </c>
      <c r="D92" s="2">
        <v>270.69</v>
      </c>
      <c r="E92" s="2"/>
      <c r="F92" s="2"/>
      <c r="G92" s="2"/>
      <c r="H92" s="2"/>
      <c r="I92" s="3"/>
    </row>
    <row r="93" spans="1:9">
      <c r="A93" s="3" t="s">
        <v>898</v>
      </c>
      <c r="B93" s="2">
        <v>16278.35</v>
      </c>
      <c r="C93" s="2">
        <v>7808.68</v>
      </c>
      <c r="D93" s="2">
        <v>208.46</v>
      </c>
      <c r="E93" s="2"/>
      <c r="F93" s="2"/>
      <c r="G93" s="2"/>
      <c r="H93" s="2"/>
      <c r="I93" s="3"/>
    </row>
    <row r="94" spans="1:9">
      <c r="A94" s="3" t="s">
        <v>896</v>
      </c>
      <c r="B94" s="2">
        <v>17991.78</v>
      </c>
      <c r="C94" s="2">
        <v>6493.71</v>
      </c>
      <c r="D94" s="2">
        <v>277.06</v>
      </c>
      <c r="E94" s="2"/>
      <c r="F94" s="2"/>
      <c r="G94" s="2"/>
      <c r="H94" s="2"/>
      <c r="I94" s="3"/>
    </row>
    <row r="95" spans="1:9">
      <c r="A95" s="3" t="s">
        <v>894</v>
      </c>
      <c r="B95" s="2">
        <v>17991.8</v>
      </c>
      <c r="C95" s="2">
        <v>6383.75</v>
      </c>
      <c r="D95" s="2">
        <v>281.83999999999997</v>
      </c>
      <c r="E95" s="2"/>
      <c r="F95" s="2"/>
      <c r="G95" s="2"/>
      <c r="H95" s="2"/>
      <c r="I95" s="3"/>
    </row>
    <row r="96" spans="1:9">
      <c r="A96" s="3" t="s">
        <v>892</v>
      </c>
      <c r="B96" s="2">
        <v>17991.57</v>
      </c>
      <c r="C96" s="2">
        <v>6540.98</v>
      </c>
      <c r="D96" s="2">
        <v>275.06</v>
      </c>
      <c r="E96" s="2"/>
      <c r="F96" s="2"/>
      <c r="G96" s="2"/>
      <c r="H96" s="2"/>
      <c r="I96" s="3"/>
    </row>
    <row r="97" spans="1:9">
      <c r="A97" s="3" t="s">
        <v>890</v>
      </c>
      <c r="B97" s="2">
        <v>17991.27</v>
      </c>
      <c r="C97" s="2">
        <v>6509.48</v>
      </c>
      <c r="D97" s="2">
        <v>276.39</v>
      </c>
      <c r="E97" s="2"/>
      <c r="F97" s="2"/>
      <c r="G97" s="2"/>
      <c r="H97" s="2"/>
      <c r="I97" s="3"/>
    </row>
    <row r="98" spans="1:9">
      <c r="A98" s="3" t="s">
        <v>1656</v>
      </c>
      <c r="B98" s="2">
        <v>32822.17</v>
      </c>
      <c r="C98" s="2">
        <v>8179.84</v>
      </c>
      <c r="D98" s="2">
        <v>401.26</v>
      </c>
      <c r="E98" s="2"/>
      <c r="F98" s="2"/>
      <c r="G98" s="2"/>
      <c r="H98" s="2"/>
      <c r="I98" s="3"/>
    </row>
    <row r="99" spans="1:9">
      <c r="A99" s="3" t="s">
        <v>1648</v>
      </c>
      <c r="B99" s="2">
        <v>32822.370000000003</v>
      </c>
      <c r="C99" s="2">
        <v>7038.43</v>
      </c>
      <c r="D99" s="2">
        <v>466.33</v>
      </c>
      <c r="E99" s="2"/>
      <c r="F99" s="2"/>
      <c r="G99" s="2"/>
      <c r="H99" s="2"/>
      <c r="I99" s="3"/>
    </row>
    <row r="100" spans="1:9">
      <c r="A100" s="3" t="s">
        <v>1655</v>
      </c>
      <c r="B100" s="2">
        <v>32822.49</v>
      </c>
      <c r="C100" s="2">
        <v>7995.59</v>
      </c>
      <c r="D100" s="2">
        <v>410.51</v>
      </c>
      <c r="E100" s="2"/>
      <c r="F100" s="2"/>
      <c r="G100" s="2"/>
      <c r="H100" s="2"/>
      <c r="I100" s="3"/>
    </row>
    <row r="101" spans="1:9">
      <c r="A101" s="3" t="s">
        <v>1647</v>
      </c>
      <c r="B101" s="2">
        <v>32822.400000000001</v>
      </c>
      <c r="C101" s="2">
        <v>6854.18</v>
      </c>
      <c r="D101" s="2">
        <v>478.87</v>
      </c>
      <c r="E101" s="2"/>
      <c r="F101" s="2"/>
      <c r="G101" s="2"/>
      <c r="H101" s="2"/>
      <c r="I101" s="3"/>
    </row>
    <row r="102" spans="1:9">
      <c r="A102" s="3" t="s">
        <v>1658</v>
      </c>
      <c r="B102" s="2">
        <v>32822.050000000003</v>
      </c>
      <c r="C102" s="2">
        <v>6731.5</v>
      </c>
      <c r="D102" s="2">
        <v>487.59</v>
      </c>
      <c r="E102" s="2"/>
      <c r="F102" s="2"/>
      <c r="G102" s="2"/>
      <c r="H102" s="2"/>
      <c r="I102" s="3"/>
    </row>
    <row r="103" spans="1:9">
      <c r="A103" s="3" t="s">
        <v>1650</v>
      </c>
      <c r="B103" s="2">
        <v>32822.449999999997</v>
      </c>
      <c r="C103" s="2">
        <v>6484.25</v>
      </c>
      <c r="D103" s="2">
        <v>506.19</v>
      </c>
      <c r="E103" s="2"/>
      <c r="F103" s="2"/>
      <c r="G103" s="2"/>
      <c r="H103" s="2"/>
      <c r="I103" s="3"/>
    </row>
    <row r="104" spans="1:9">
      <c r="A104" s="3" t="s">
        <v>1657</v>
      </c>
      <c r="B104" s="2">
        <v>32822.199999999997</v>
      </c>
      <c r="C104" s="2">
        <v>6515.75</v>
      </c>
      <c r="D104" s="2">
        <v>503.74</v>
      </c>
      <c r="E104" s="2"/>
      <c r="F104" s="2"/>
      <c r="G104" s="2"/>
      <c r="H104" s="2"/>
      <c r="I104" s="3"/>
    </row>
    <row r="105" spans="1:9">
      <c r="A105" s="3" t="s">
        <v>1649</v>
      </c>
      <c r="B105" s="2">
        <v>32822.07</v>
      </c>
      <c r="C105" s="2">
        <v>6300</v>
      </c>
      <c r="D105" s="2">
        <v>520.99</v>
      </c>
      <c r="E105" s="2"/>
      <c r="F105" s="2"/>
      <c r="G105" s="2"/>
      <c r="H105" s="2"/>
      <c r="I105" s="3"/>
    </row>
    <row r="106" spans="1:9">
      <c r="A106" s="3" t="s">
        <v>1644</v>
      </c>
      <c r="B106" s="2">
        <v>32822.31</v>
      </c>
      <c r="C106" s="2">
        <v>6486.01</v>
      </c>
      <c r="D106" s="2">
        <v>506.05</v>
      </c>
      <c r="E106" s="2"/>
      <c r="F106" s="2"/>
      <c r="G106" s="2"/>
      <c r="H106" s="2"/>
      <c r="I106" s="3"/>
    </row>
    <row r="107" spans="1:9">
      <c r="A107" s="3" t="s">
        <v>1646</v>
      </c>
      <c r="B107" s="2">
        <v>32822.42</v>
      </c>
      <c r="C107" s="2">
        <v>6438.77</v>
      </c>
      <c r="D107" s="2">
        <v>509.76</v>
      </c>
      <c r="E107" s="2"/>
      <c r="F107" s="2"/>
      <c r="G107" s="2"/>
      <c r="H107" s="2"/>
      <c r="I107" s="3"/>
    </row>
    <row r="108" spans="1:9">
      <c r="A108" s="3" t="s">
        <v>1643</v>
      </c>
      <c r="B108" s="2">
        <v>32822.17</v>
      </c>
      <c r="C108" s="2">
        <v>6791.78</v>
      </c>
      <c r="D108" s="2">
        <v>483.26</v>
      </c>
      <c r="E108" s="2"/>
      <c r="F108" s="2"/>
      <c r="G108" s="2"/>
      <c r="H108" s="2"/>
      <c r="I108" s="3"/>
    </row>
    <row r="109" spans="1:9">
      <c r="A109" s="3" t="s">
        <v>1645</v>
      </c>
      <c r="B109" s="2">
        <v>32822.06</v>
      </c>
      <c r="C109" s="2">
        <v>6744.53</v>
      </c>
      <c r="D109" s="2">
        <v>486.65</v>
      </c>
      <c r="E109" s="2"/>
      <c r="F109" s="2"/>
      <c r="G109" s="2"/>
      <c r="H109" s="2"/>
      <c r="I109" s="3"/>
    </row>
    <row r="110" spans="1:9">
      <c r="A110" s="3" t="s">
        <v>1622</v>
      </c>
      <c r="B110" s="2">
        <v>32822.160000000003</v>
      </c>
      <c r="C110" s="2">
        <v>7649.8</v>
      </c>
      <c r="D110" s="2">
        <v>429.06</v>
      </c>
      <c r="E110" s="2"/>
      <c r="F110" s="2"/>
      <c r="G110" s="2"/>
      <c r="H110" s="2"/>
      <c r="I110" s="3"/>
    </row>
    <row r="111" spans="1:9">
      <c r="A111" s="3" t="s">
        <v>1624</v>
      </c>
      <c r="B111" s="2">
        <v>32822.36</v>
      </c>
      <c r="C111" s="2">
        <v>7405.69</v>
      </c>
      <c r="D111" s="2">
        <v>443.2</v>
      </c>
      <c r="E111" s="2"/>
      <c r="F111" s="2"/>
      <c r="G111" s="2"/>
      <c r="H111" s="2"/>
      <c r="I111" s="3"/>
    </row>
    <row r="112" spans="1:9">
      <c r="A112" s="3" t="s">
        <v>1621</v>
      </c>
      <c r="B112" s="2">
        <v>32822.26</v>
      </c>
      <c r="C112" s="2">
        <v>7955.57</v>
      </c>
      <c r="D112" s="2">
        <v>412.57</v>
      </c>
      <c r="E112" s="2"/>
      <c r="F112" s="2"/>
      <c r="G112" s="2"/>
      <c r="H112" s="2"/>
      <c r="I112" s="3"/>
    </row>
    <row r="113" spans="1:9">
      <c r="A113" s="3" t="s">
        <v>1623</v>
      </c>
      <c r="B113" s="2">
        <v>32822.15</v>
      </c>
      <c r="C113" s="2">
        <v>7711.46</v>
      </c>
      <c r="D113" s="2">
        <v>425.63</v>
      </c>
      <c r="E113" s="2"/>
      <c r="F113" s="2"/>
      <c r="G113" s="2"/>
      <c r="H113" s="2"/>
      <c r="I113" s="3"/>
    </row>
    <row r="114" spans="1:9">
      <c r="A114" s="3" t="s">
        <v>1664</v>
      </c>
      <c r="B114" s="2">
        <v>32822.15</v>
      </c>
      <c r="C114" s="2">
        <v>8057.48</v>
      </c>
      <c r="D114" s="2">
        <v>407.35</v>
      </c>
      <c r="E114" s="2"/>
      <c r="F114" s="2"/>
      <c r="G114" s="2"/>
      <c r="H114" s="2"/>
      <c r="I114" s="3"/>
    </row>
    <row r="115" spans="1:9">
      <c r="A115" s="3" t="s">
        <v>1666</v>
      </c>
      <c r="B115" s="2">
        <v>26716.47</v>
      </c>
      <c r="C115" s="2">
        <v>5682.52</v>
      </c>
      <c r="D115" s="2">
        <v>470.15</v>
      </c>
      <c r="E115" s="2"/>
      <c r="F115" s="2"/>
      <c r="G115" s="2"/>
      <c r="H115" s="2"/>
      <c r="I115" s="3"/>
    </row>
    <row r="116" spans="1:9">
      <c r="A116" s="3" t="s">
        <v>1663</v>
      </c>
      <c r="B116" s="2">
        <v>32822.04</v>
      </c>
      <c r="C116" s="2">
        <v>7923.27</v>
      </c>
      <c r="D116" s="2">
        <v>414.25</v>
      </c>
      <c r="E116" s="2"/>
      <c r="F116" s="2"/>
      <c r="G116" s="2"/>
      <c r="H116" s="2"/>
      <c r="I116" s="3"/>
    </row>
    <row r="117" spans="1:9">
      <c r="A117" s="3" t="s">
        <v>1665</v>
      </c>
      <c r="B117" s="2">
        <v>26716.46</v>
      </c>
      <c r="C117" s="2">
        <v>5449.1</v>
      </c>
      <c r="D117" s="2">
        <v>490.29</v>
      </c>
      <c r="E117" s="2"/>
      <c r="F117" s="2"/>
      <c r="G117" s="2"/>
      <c r="H117" s="2"/>
      <c r="I117" s="3"/>
    </row>
    <row r="118" spans="1:9">
      <c r="A118" s="3" t="s">
        <v>1662</v>
      </c>
      <c r="B118" s="2">
        <v>32822.49</v>
      </c>
      <c r="C118" s="2">
        <v>7986.01</v>
      </c>
      <c r="D118" s="2">
        <v>411</v>
      </c>
      <c r="E118" s="2"/>
      <c r="F118" s="2"/>
      <c r="G118" s="2"/>
      <c r="H118" s="2"/>
      <c r="I118" s="3"/>
    </row>
    <row r="119" spans="1:9">
      <c r="A119" s="3" t="s">
        <v>1636</v>
      </c>
      <c r="B119" s="2">
        <v>32822.03</v>
      </c>
      <c r="C119" s="2">
        <v>8249.4699999999993</v>
      </c>
      <c r="D119" s="2">
        <v>397.87</v>
      </c>
      <c r="E119" s="2"/>
      <c r="F119" s="2"/>
      <c r="G119" s="2"/>
      <c r="H119" s="2"/>
      <c r="I119" s="3"/>
    </row>
    <row r="120" spans="1:9">
      <c r="A120" s="3" t="s">
        <v>1661</v>
      </c>
      <c r="B120" s="2">
        <v>32822.400000000001</v>
      </c>
      <c r="C120" s="2">
        <v>8260.2800000000007</v>
      </c>
      <c r="D120" s="2">
        <v>397.35</v>
      </c>
      <c r="E120" s="2"/>
      <c r="F120" s="2"/>
      <c r="G120" s="2"/>
      <c r="H120" s="2"/>
      <c r="I120" s="3"/>
    </row>
    <row r="121" spans="1:9">
      <c r="A121" s="3" t="s">
        <v>1635</v>
      </c>
      <c r="B121" s="2">
        <v>32822.42</v>
      </c>
      <c r="C121" s="2">
        <v>8555.24</v>
      </c>
      <c r="D121" s="2">
        <v>383.65</v>
      </c>
      <c r="E121" s="2"/>
      <c r="F121" s="2"/>
      <c r="G121" s="2"/>
      <c r="H121" s="2"/>
      <c r="I121" s="3"/>
    </row>
    <row r="122" spans="1:9">
      <c r="A122" s="3" t="s">
        <v>1642</v>
      </c>
      <c r="B122" s="2">
        <v>32822.44</v>
      </c>
      <c r="C122" s="2">
        <v>7225.99</v>
      </c>
      <c r="D122" s="2">
        <v>454.23</v>
      </c>
      <c r="E122" s="2"/>
      <c r="F122" s="2"/>
      <c r="G122" s="2"/>
      <c r="H122" s="2"/>
      <c r="I122" s="3"/>
    </row>
    <row r="123" spans="1:9">
      <c r="A123" s="3" t="s">
        <v>1641</v>
      </c>
      <c r="B123" s="2">
        <v>32822.06</v>
      </c>
      <c r="C123" s="2">
        <v>7041.73</v>
      </c>
      <c r="D123" s="2">
        <v>466.11</v>
      </c>
      <c r="E123" s="2"/>
      <c r="F123" s="2"/>
      <c r="G123" s="2"/>
      <c r="H123" s="2"/>
      <c r="I123" s="3"/>
    </row>
    <row r="124" spans="1:9">
      <c r="A124" s="3" t="s">
        <v>1640</v>
      </c>
      <c r="B124" s="2">
        <v>32822.25</v>
      </c>
      <c r="C124" s="2">
        <v>6857.48</v>
      </c>
      <c r="D124" s="2">
        <v>478.63</v>
      </c>
      <c r="E124" s="2"/>
      <c r="F124" s="2"/>
      <c r="G124" s="2"/>
      <c r="H124" s="2"/>
      <c r="I124" s="3"/>
    </row>
    <row r="125" spans="1:9">
      <c r="A125" s="3" t="s">
        <v>1639</v>
      </c>
      <c r="B125" s="2">
        <v>32822.49</v>
      </c>
      <c r="C125" s="2">
        <v>6994.77</v>
      </c>
      <c r="D125" s="2">
        <v>469.24</v>
      </c>
      <c r="E125" s="2"/>
      <c r="F125" s="2"/>
      <c r="G125" s="2"/>
      <c r="H125" s="2"/>
      <c r="I125" s="3"/>
    </row>
    <row r="126" spans="1:9">
      <c r="A126" s="3" t="s">
        <v>1616</v>
      </c>
      <c r="B126" s="2">
        <v>32822.050000000003</v>
      </c>
      <c r="C126" s="2">
        <v>9668.51</v>
      </c>
      <c r="D126" s="2">
        <v>339.47</v>
      </c>
      <c r="E126" s="2"/>
      <c r="F126" s="2"/>
      <c r="G126" s="2"/>
      <c r="H126" s="2"/>
      <c r="I126" s="3"/>
    </row>
    <row r="127" spans="1:9">
      <c r="A127" s="3" t="s">
        <v>1634</v>
      </c>
      <c r="B127" s="2">
        <v>32822.089999999997</v>
      </c>
      <c r="C127" s="2">
        <v>9063.6299999999992</v>
      </c>
      <c r="D127" s="2">
        <v>362.13</v>
      </c>
      <c r="E127" s="2"/>
      <c r="F127" s="2"/>
      <c r="G127" s="2"/>
      <c r="H127" s="2"/>
      <c r="I127" s="3"/>
    </row>
    <row r="128" spans="1:9">
      <c r="A128" s="3" t="s">
        <v>1615</v>
      </c>
      <c r="B128" s="2">
        <v>32822.39</v>
      </c>
      <c r="C128" s="2">
        <v>9565.7999999999993</v>
      </c>
      <c r="D128" s="2">
        <v>343.12</v>
      </c>
      <c r="E128" s="2"/>
      <c r="F128" s="2"/>
      <c r="G128" s="2"/>
      <c r="H128" s="2"/>
      <c r="I128" s="3"/>
    </row>
    <row r="129" spans="1:9">
      <c r="A129" s="3" t="s">
        <v>1633</v>
      </c>
      <c r="B129" s="2">
        <v>32822.18</v>
      </c>
      <c r="C129" s="2">
        <v>9140.91</v>
      </c>
      <c r="D129" s="2">
        <v>359.07</v>
      </c>
      <c r="E129" s="2"/>
      <c r="F129" s="2"/>
      <c r="G129" s="2"/>
      <c r="H129" s="2"/>
      <c r="I129" s="3"/>
    </row>
    <row r="130" spans="1:9">
      <c r="A130" s="3" t="s">
        <v>1614</v>
      </c>
      <c r="B130" s="2">
        <v>32822.14</v>
      </c>
      <c r="C130" s="2">
        <v>10582.39</v>
      </c>
      <c r="D130" s="2">
        <v>310.16000000000003</v>
      </c>
      <c r="E130" s="2"/>
      <c r="F130" s="2"/>
      <c r="G130" s="2"/>
      <c r="H130" s="2"/>
      <c r="I130" s="3"/>
    </row>
    <row r="131" spans="1:9">
      <c r="A131" s="3" t="s">
        <v>1660</v>
      </c>
      <c r="B131" s="2">
        <v>32822.400000000001</v>
      </c>
      <c r="C131" s="2">
        <v>8754.51</v>
      </c>
      <c r="D131" s="2">
        <v>374.92</v>
      </c>
      <c r="E131" s="2"/>
      <c r="F131" s="2"/>
      <c r="G131" s="2"/>
      <c r="H131" s="2"/>
      <c r="I131" s="3"/>
    </row>
    <row r="132" spans="1:9">
      <c r="A132" s="3" t="s">
        <v>1613</v>
      </c>
      <c r="B132" s="2">
        <v>32822.01</v>
      </c>
      <c r="C132" s="2">
        <v>10856.66</v>
      </c>
      <c r="D132" s="2">
        <v>302.32</v>
      </c>
      <c r="E132" s="2"/>
      <c r="F132" s="2"/>
      <c r="G132" s="2"/>
      <c r="H132" s="2"/>
      <c r="I132" s="3"/>
    </row>
    <row r="133" spans="1:9">
      <c r="A133" s="3" t="s">
        <v>1659</v>
      </c>
      <c r="B133" s="2">
        <v>32822.31</v>
      </c>
      <c r="C133" s="2">
        <v>9028.7900000000009</v>
      </c>
      <c r="D133" s="2">
        <v>363.53</v>
      </c>
      <c r="E133" s="2"/>
      <c r="F133" s="2"/>
      <c r="G133" s="2"/>
      <c r="H133" s="2"/>
      <c r="I133" s="3"/>
    </row>
    <row r="134" spans="1:9">
      <c r="A134" s="3" t="s">
        <v>1632</v>
      </c>
      <c r="B134" s="2">
        <v>32822.42</v>
      </c>
      <c r="C134" s="2">
        <v>8372.44</v>
      </c>
      <c r="D134" s="2">
        <v>392.03</v>
      </c>
      <c r="E134" s="2"/>
      <c r="F134" s="2"/>
      <c r="G134" s="2"/>
      <c r="H134" s="2"/>
      <c r="I134" s="3"/>
    </row>
    <row r="135" spans="1:9">
      <c r="A135" s="3" t="s">
        <v>1638</v>
      </c>
      <c r="B135" s="2">
        <v>32822.44</v>
      </c>
      <c r="C135" s="2">
        <v>8046.46</v>
      </c>
      <c r="D135" s="2">
        <v>407.91</v>
      </c>
      <c r="E135" s="2"/>
      <c r="F135" s="2"/>
      <c r="G135" s="2"/>
      <c r="H135" s="2"/>
      <c r="I135" s="3"/>
    </row>
    <row r="136" spans="1:9">
      <c r="A136" s="3" t="s">
        <v>1631</v>
      </c>
      <c r="B136" s="2">
        <v>32822</v>
      </c>
      <c r="C136" s="2">
        <v>8188.19</v>
      </c>
      <c r="D136" s="2">
        <v>400.85</v>
      </c>
      <c r="E136" s="2"/>
      <c r="F136" s="2"/>
      <c r="G136" s="2"/>
      <c r="H136" s="2"/>
      <c r="I136" s="3"/>
    </row>
    <row r="137" spans="1:9">
      <c r="A137" s="3" t="s">
        <v>1637</v>
      </c>
      <c r="B137" s="2">
        <v>32822.080000000002</v>
      </c>
      <c r="C137" s="2">
        <v>7862.21</v>
      </c>
      <c r="D137" s="2">
        <v>417.47</v>
      </c>
      <c r="E137" s="2"/>
      <c r="F137" s="2"/>
      <c r="G137" s="2"/>
      <c r="H137" s="2"/>
      <c r="I137" s="3"/>
    </row>
    <row r="138" spans="1:9">
      <c r="A138" s="3" t="s">
        <v>1620</v>
      </c>
      <c r="B138" s="2">
        <v>32822.33</v>
      </c>
      <c r="C138" s="2">
        <v>8431.19</v>
      </c>
      <c r="D138" s="2">
        <v>389.3</v>
      </c>
      <c r="E138" s="2"/>
      <c r="F138" s="2"/>
      <c r="G138" s="2"/>
      <c r="H138" s="2"/>
      <c r="I138" s="3"/>
    </row>
    <row r="139" spans="1:9">
      <c r="A139" s="3" t="s">
        <v>1618</v>
      </c>
      <c r="B139" s="2">
        <v>32822.120000000003</v>
      </c>
      <c r="C139" s="2">
        <v>9269.61</v>
      </c>
      <c r="D139" s="2">
        <v>354.08</v>
      </c>
      <c r="E139" s="2"/>
      <c r="F139" s="2"/>
      <c r="G139" s="2"/>
      <c r="H139" s="2"/>
      <c r="I139" s="3"/>
    </row>
    <row r="140" spans="1:9">
      <c r="A140" s="3" t="s">
        <v>1619</v>
      </c>
      <c r="B140" s="2">
        <v>32822.400000000001</v>
      </c>
      <c r="C140" s="2">
        <v>8215.44</v>
      </c>
      <c r="D140" s="2">
        <v>399.52</v>
      </c>
      <c r="E140" s="2"/>
      <c r="F140" s="2"/>
      <c r="G140" s="2"/>
      <c r="H140" s="2"/>
      <c r="I140" s="3"/>
    </row>
    <row r="141" spans="1:9">
      <c r="A141" s="3" t="s">
        <v>1617</v>
      </c>
      <c r="B141" s="2">
        <v>32822.400000000001</v>
      </c>
      <c r="C141" s="2">
        <v>9053.86</v>
      </c>
      <c r="D141" s="2">
        <v>362.52</v>
      </c>
      <c r="E141" s="2"/>
      <c r="F141" s="2"/>
      <c r="G141" s="2"/>
      <c r="H141" s="2"/>
      <c r="I141" s="3"/>
    </row>
    <row r="142" spans="1:9">
      <c r="A142" s="3" t="s">
        <v>888</v>
      </c>
      <c r="B142" s="2">
        <v>16278.94</v>
      </c>
      <c r="C142" s="2">
        <v>8089.21</v>
      </c>
      <c r="D142" s="2">
        <v>201.24</v>
      </c>
      <c r="E142" s="2"/>
      <c r="F142" s="2"/>
      <c r="G142" s="2"/>
      <c r="H142" s="2"/>
      <c r="I142" s="3"/>
    </row>
    <row r="143" spans="1:9">
      <c r="A143" s="3" t="s">
        <v>886</v>
      </c>
      <c r="B143" s="2">
        <v>17991.97</v>
      </c>
      <c r="C143" s="2">
        <v>7095.35</v>
      </c>
      <c r="D143" s="2">
        <v>253.57</v>
      </c>
      <c r="E143" s="2"/>
      <c r="F143" s="2"/>
      <c r="G143" s="2"/>
      <c r="H143" s="2"/>
      <c r="I143" s="3"/>
    </row>
    <row r="144" spans="1:9">
      <c r="A144" s="3" t="s">
        <v>884</v>
      </c>
      <c r="B144" s="2">
        <v>16278.08</v>
      </c>
      <c r="C144" s="2">
        <v>7844.2</v>
      </c>
      <c r="D144" s="2">
        <v>207.52</v>
      </c>
      <c r="E144" s="2"/>
      <c r="F144" s="2"/>
      <c r="G144" s="2"/>
      <c r="H144" s="2"/>
      <c r="I144" s="3"/>
    </row>
    <row r="145" spans="1:9">
      <c r="A145" s="3" t="s">
        <v>882</v>
      </c>
      <c r="B145" s="2">
        <v>17991.02</v>
      </c>
      <c r="C145" s="2">
        <v>6881.82</v>
      </c>
      <c r="D145" s="2">
        <v>261.43</v>
      </c>
      <c r="E145" s="2"/>
      <c r="F145" s="2"/>
      <c r="G145" s="2"/>
      <c r="H145" s="2"/>
      <c r="I145" s="3"/>
    </row>
    <row r="146" spans="1:9">
      <c r="A146" s="3" t="s">
        <v>880</v>
      </c>
      <c r="B146" s="2">
        <v>17991.09</v>
      </c>
      <c r="C146" s="2">
        <v>7173.37</v>
      </c>
      <c r="D146" s="2">
        <v>250.8</v>
      </c>
      <c r="E146" s="2"/>
      <c r="F146" s="2"/>
      <c r="G146" s="2"/>
      <c r="H146" s="2"/>
      <c r="I146" s="3"/>
    </row>
    <row r="147" spans="1:9">
      <c r="A147" s="3" t="s">
        <v>878</v>
      </c>
      <c r="B147" s="2">
        <v>17991.84</v>
      </c>
      <c r="C147" s="2">
        <v>6401.65</v>
      </c>
      <c r="D147" s="2">
        <v>281.05</v>
      </c>
      <c r="E147" s="2"/>
      <c r="F147" s="2"/>
      <c r="G147" s="2"/>
      <c r="H147" s="2"/>
      <c r="I147" s="3"/>
    </row>
    <row r="148" spans="1:9">
      <c r="A148" s="3" t="s">
        <v>876</v>
      </c>
      <c r="B148" s="2">
        <v>17991.150000000001</v>
      </c>
      <c r="C148" s="2">
        <v>6959.86</v>
      </c>
      <c r="D148" s="2">
        <v>258.5</v>
      </c>
      <c r="E148" s="2"/>
      <c r="F148" s="2"/>
      <c r="G148" s="2"/>
      <c r="H148" s="2"/>
      <c r="I148" s="3"/>
    </row>
    <row r="149" spans="1:9">
      <c r="A149" s="3" t="s">
        <v>874</v>
      </c>
      <c r="B149" s="2">
        <v>17991.13</v>
      </c>
      <c r="C149" s="2">
        <v>6188.14</v>
      </c>
      <c r="D149" s="2">
        <v>290.74</v>
      </c>
      <c r="E149" s="2"/>
      <c r="F149" s="2"/>
      <c r="G149" s="2"/>
      <c r="H149" s="2"/>
      <c r="I149" s="3"/>
    </row>
    <row r="150" spans="1:9">
      <c r="A150" s="3" t="s">
        <v>1654</v>
      </c>
      <c r="B150" s="2">
        <v>32822.44</v>
      </c>
      <c r="C150" s="2">
        <v>6340.03</v>
      </c>
      <c r="D150" s="2">
        <v>517.70000000000005</v>
      </c>
      <c r="E150" s="2"/>
      <c r="F150" s="2"/>
      <c r="G150" s="2"/>
      <c r="H150" s="2"/>
      <c r="I150" s="3"/>
    </row>
    <row r="151" spans="1:9">
      <c r="A151" s="3" t="s">
        <v>1626</v>
      </c>
      <c r="B151" s="2">
        <v>32822.449999999997</v>
      </c>
      <c r="C151" s="2">
        <v>7154.2</v>
      </c>
      <c r="D151" s="2">
        <v>458.79</v>
      </c>
      <c r="E151" s="2"/>
      <c r="F151" s="2"/>
      <c r="G151" s="2"/>
      <c r="H151" s="2"/>
      <c r="I151" s="3"/>
    </row>
    <row r="152" spans="1:9">
      <c r="A152" s="3" t="s">
        <v>1653</v>
      </c>
      <c r="B152" s="2">
        <v>32822.01</v>
      </c>
      <c r="C152" s="2">
        <v>6468.89</v>
      </c>
      <c r="D152" s="2">
        <v>507.38</v>
      </c>
      <c r="E152" s="2"/>
      <c r="F152" s="2"/>
      <c r="G152" s="2"/>
      <c r="H152" s="2"/>
      <c r="I152" s="3"/>
    </row>
    <row r="153" spans="1:9">
      <c r="A153" s="3" t="s">
        <v>1625</v>
      </c>
      <c r="B153" s="2">
        <v>32822.089999999997</v>
      </c>
      <c r="C153" s="2">
        <v>7459.97</v>
      </c>
      <c r="D153" s="2">
        <v>439.98</v>
      </c>
      <c r="E153" s="2"/>
      <c r="F153" s="2"/>
      <c r="G153" s="2"/>
      <c r="H153" s="2"/>
      <c r="I153" s="3"/>
    </row>
    <row r="154" spans="1:9">
      <c r="A154" s="3" t="s">
        <v>1630</v>
      </c>
      <c r="B154" s="2">
        <v>32822.42</v>
      </c>
      <c r="C154" s="2">
        <v>6138.84</v>
      </c>
      <c r="D154" s="2">
        <v>534.66999999999996</v>
      </c>
      <c r="E154" s="2"/>
      <c r="F154" s="2"/>
      <c r="G154" s="2"/>
      <c r="H154" s="2"/>
      <c r="I154" s="3"/>
    </row>
    <row r="155" spans="1:9">
      <c r="A155" s="3" t="s">
        <v>1628</v>
      </c>
      <c r="B155" s="2">
        <v>32822.019999999997</v>
      </c>
      <c r="C155" s="2">
        <v>7506.95</v>
      </c>
      <c r="D155" s="2">
        <v>437.22</v>
      </c>
      <c r="E155" s="2"/>
      <c r="F155" s="2"/>
      <c r="G155" s="2"/>
      <c r="H155" s="2"/>
      <c r="I155" s="3"/>
    </row>
    <row r="156" spans="1:9">
      <c r="A156" s="3" t="s">
        <v>1629</v>
      </c>
      <c r="B156" s="2">
        <v>32822.26</v>
      </c>
      <c r="C156" s="2">
        <v>6015.35</v>
      </c>
      <c r="D156" s="2">
        <v>545.64</v>
      </c>
      <c r="E156" s="2"/>
      <c r="F156" s="2"/>
      <c r="G156" s="2"/>
      <c r="H156" s="2"/>
      <c r="I156" s="3"/>
    </row>
    <row r="157" spans="1:9">
      <c r="A157" s="3" t="s">
        <v>1627</v>
      </c>
      <c r="B157" s="2">
        <v>32822.49</v>
      </c>
      <c r="C157" s="2">
        <v>7740.61</v>
      </c>
      <c r="D157" s="2">
        <v>424.03</v>
      </c>
      <c r="E157" s="2"/>
      <c r="F157" s="2"/>
      <c r="G157" s="2"/>
      <c r="H157" s="2"/>
      <c r="I157" s="3"/>
    </row>
    <row r="158" spans="1:9">
      <c r="A158" s="3" t="s">
        <v>1652</v>
      </c>
      <c r="B158" s="2">
        <v>32822.230000000003</v>
      </c>
      <c r="C158" s="2">
        <v>6460.56</v>
      </c>
      <c r="D158" s="2">
        <v>508.04</v>
      </c>
      <c r="E158" s="2"/>
      <c r="F158" s="2"/>
      <c r="G158" s="2"/>
      <c r="H158" s="2"/>
      <c r="I158" s="3"/>
    </row>
    <row r="159" spans="1:9">
      <c r="A159" s="3" t="s">
        <v>1651</v>
      </c>
      <c r="B159" s="2">
        <v>32822.07</v>
      </c>
      <c r="C159" s="2">
        <v>6705.57</v>
      </c>
      <c r="D159" s="2">
        <v>489.47</v>
      </c>
      <c r="E159" s="2"/>
      <c r="F159" s="2"/>
      <c r="G159" s="2"/>
      <c r="H159" s="2"/>
      <c r="I159" s="3"/>
    </row>
    <row r="160" spans="1:9">
      <c r="A160" s="3" t="s">
        <v>1990</v>
      </c>
      <c r="B160" s="2">
        <v>32822.03</v>
      </c>
      <c r="C160" s="2">
        <v>9595.41</v>
      </c>
      <c r="D160" s="2">
        <v>342.06</v>
      </c>
      <c r="E160" s="2"/>
      <c r="F160" s="2"/>
      <c r="G160" s="2"/>
      <c r="H160" s="2"/>
      <c r="I160" s="3"/>
    </row>
    <row r="161" spans="1:9">
      <c r="A161" s="3" t="s">
        <v>1989</v>
      </c>
      <c r="B161" s="2">
        <v>32822.36</v>
      </c>
      <c r="C161" s="2">
        <v>8652.77</v>
      </c>
      <c r="D161" s="2">
        <v>379.33</v>
      </c>
      <c r="E161" s="2"/>
      <c r="F161" s="2"/>
      <c r="G161" s="2"/>
      <c r="H161" s="2"/>
      <c r="I161" s="3"/>
    </row>
    <row r="162" spans="1:9">
      <c r="A162" s="3" t="s">
        <v>1988</v>
      </c>
      <c r="B162" s="2">
        <v>32822.47</v>
      </c>
      <c r="C162" s="2">
        <v>9289.64</v>
      </c>
      <c r="D162" s="2">
        <v>353.32</v>
      </c>
      <c r="E162" s="2"/>
      <c r="F162" s="2"/>
      <c r="G162" s="2"/>
      <c r="H162" s="2"/>
      <c r="I162" s="3"/>
    </row>
    <row r="163" spans="1:9">
      <c r="A163" s="3" t="s">
        <v>1987</v>
      </c>
      <c r="B163" s="2">
        <v>32822.31</v>
      </c>
      <c r="C163" s="2">
        <v>8437.02</v>
      </c>
      <c r="D163" s="2">
        <v>389.03</v>
      </c>
      <c r="E163" s="2"/>
      <c r="F163" s="2"/>
      <c r="G163" s="2"/>
      <c r="H163" s="2"/>
      <c r="I163" s="3"/>
    </row>
    <row r="164" spans="1:9">
      <c r="A164" s="3" t="s">
        <v>1986</v>
      </c>
      <c r="B164" s="2">
        <v>32822.29</v>
      </c>
      <c r="C164" s="2">
        <v>9547.3700000000008</v>
      </c>
      <c r="D164" s="2">
        <v>343.78</v>
      </c>
      <c r="E164" s="2"/>
      <c r="F164" s="2"/>
      <c r="G164" s="2"/>
      <c r="H164" s="2"/>
      <c r="I164" s="3"/>
    </row>
    <row r="165" spans="1:9">
      <c r="A165" s="3" t="s">
        <v>1985</v>
      </c>
      <c r="B165" s="2">
        <v>32822.129999999997</v>
      </c>
      <c r="C165" s="2">
        <v>8441.74</v>
      </c>
      <c r="D165" s="2">
        <v>388.81</v>
      </c>
      <c r="E165" s="2"/>
      <c r="F165" s="2"/>
      <c r="G165" s="2"/>
      <c r="H165" s="2"/>
      <c r="I165" s="3"/>
    </row>
    <row r="166" spans="1:9">
      <c r="A166" s="3" t="s">
        <v>1984</v>
      </c>
      <c r="B166" s="2">
        <v>32822.03</v>
      </c>
      <c r="C166" s="2">
        <v>9641.61</v>
      </c>
      <c r="D166" s="2">
        <v>340.42</v>
      </c>
      <c r="E166" s="2"/>
      <c r="F166" s="2"/>
      <c r="G166" s="2"/>
      <c r="H166" s="2"/>
      <c r="I166" s="3"/>
    </row>
    <row r="167" spans="1:9">
      <c r="A167" s="3" t="s">
        <v>1983</v>
      </c>
      <c r="B167" s="2">
        <v>32822.33</v>
      </c>
      <c r="C167" s="2">
        <v>8225.99</v>
      </c>
      <c r="D167" s="2">
        <v>399.01</v>
      </c>
      <c r="E167" s="2"/>
      <c r="F167" s="2"/>
      <c r="G167" s="2"/>
      <c r="H167" s="2"/>
      <c r="I167" s="3"/>
    </row>
    <row r="168" spans="1:9">
      <c r="A168" s="3" t="s">
        <v>1982</v>
      </c>
      <c r="B168" s="2">
        <v>32822.410000000003</v>
      </c>
      <c r="C168" s="2">
        <v>8525.2099999999991</v>
      </c>
      <c r="D168" s="2">
        <v>385</v>
      </c>
      <c r="E168" s="2"/>
      <c r="F168" s="2"/>
      <c r="G168" s="2"/>
      <c r="H168" s="2"/>
      <c r="I168" s="3"/>
    </row>
    <row r="169" spans="1:9">
      <c r="A169" s="3" t="s">
        <v>1981</v>
      </c>
      <c r="B169" s="2">
        <v>32822.47</v>
      </c>
      <c r="C169" s="2">
        <v>8764.73</v>
      </c>
      <c r="D169" s="2">
        <v>374.48</v>
      </c>
      <c r="E169" s="2"/>
      <c r="F169" s="2"/>
      <c r="G169" s="2"/>
      <c r="H169" s="2"/>
      <c r="I169" s="3"/>
    </row>
    <row r="170" spans="1:9">
      <c r="A170" s="3" t="s">
        <v>1980</v>
      </c>
      <c r="B170" s="2">
        <v>32822.03</v>
      </c>
      <c r="C170" s="2">
        <v>8340.9500000000007</v>
      </c>
      <c r="D170" s="2">
        <v>393.5</v>
      </c>
      <c r="E170" s="2"/>
      <c r="F170" s="2"/>
      <c r="G170" s="2"/>
      <c r="H170" s="2"/>
      <c r="I170" s="3"/>
    </row>
    <row r="171" spans="1:9">
      <c r="A171" s="3" t="s">
        <v>1979</v>
      </c>
      <c r="B171" s="2">
        <v>32822.01</v>
      </c>
      <c r="C171" s="2">
        <v>8980.48</v>
      </c>
      <c r="D171" s="2">
        <v>365.48</v>
      </c>
      <c r="E171" s="2"/>
      <c r="F171" s="2"/>
      <c r="G171" s="2"/>
      <c r="H171" s="2"/>
      <c r="I171" s="3"/>
    </row>
    <row r="172" spans="1:9">
      <c r="A172" s="3" t="s">
        <v>1978</v>
      </c>
      <c r="B172" s="2">
        <v>32822.01</v>
      </c>
      <c r="C172" s="2">
        <v>8300.92</v>
      </c>
      <c r="D172" s="2">
        <v>395.4</v>
      </c>
      <c r="E172" s="2"/>
      <c r="F172" s="2"/>
      <c r="G172" s="2"/>
      <c r="H172" s="2"/>
      <c r="I172" s="3"/>
    </row>
    <row r="173" spans="1:9">
      <c r="A173" s="3" t="s">
        <v>1977</v>
      </c>
      <c r="B173" s="2">
        <v>32822.43</v>
      </c>
      <c r="C173" s="2">
        <v>7963.65</v>
      </c>
      <c r="D173" s="2">
        <v>412.15</v>
      </c>
      <c r="E173" s="2"/>
      <c r="F173" s="2"/>
      <c r="G173" s="2"/>
      <c r="H173" s="2"/>
      <c r="I173" s="3"/>
    </row>
    <row r="174" spans="1:9">
      <c r="A174" s="3" t="s">
        <v>1976</v>
      </c>
      <c r="B174" s="2">
        <v>32822.29</v>
      </c>
      <c r="C174" s="2">
        <v>7995.15</v>
      </c>
      <c r="D174" s="2">
        <v>410.53</v>
      </c>
      <c r="E174" s="2"/>
      <c r="F174" s="2"/>
      <c r="G174" s="2"/>
      <c r="H174" s="2"/>
      <c r="I174" s="3"/>
    </row>
    <row r="175" spans="1:9">
      <c r="A175" s="3" t="s">
        <v>1975</v>
      </c>
      <c r="B175" s="2">
        <v>32822.04</v>
      </c>
      <c r="C175" s="2">
        <v>7869.42</v>
      </c>
      <c r="D175" s="2">
        <v>417.08</v>
      </c>
      <c r="E175" s="2"/>
      <c r="F175" s="2"/>
      <c r="G175" s="2"/>
      <c r="H175" s="2"/>
      <c r="I175" s="3"/>
    </row>
    <row r="176" spans="1:9">
      <c r="A176" s="3" t="s">
        <v>1974</v>
      </c>
      <c r="B176" s="2">
        <v>32822.39</v>
      </c>
      <c r="C176" s="2">
        <v>10235.44</v>
      </c>
      <c r="D176" s="2">
        <v>320.67</v>
      </c>
      <c r="E176" s="2"/>
      <c r="F176" s="2"/>
      <c r="G176" s="2"/>
      <c r="H176" s="2"/>
      <c r="I176" s="3"/>
    </row>
    <row r="177" spans="1:9">
      <c r="A177" s="3" t="s">
        <v>1973</v>
      </c>
      <c r="B177" s="2">
        <v>32822.080000000002</v>
      </c>
      <c r="C177" s="2">
        <v>9066.93</v>
      </c>
      <c r="D177" s="2">
        <v>362</v>
      </c>
      <c r="E177" s="2"/>
      <c r="F177" s="2"/>
      <c r="G177" s="2"/>
      <c r="H177" s="2"/>
      <c r="I177" s="3"/>
    </row>
    <row r="178" spans="1:9">
      <c r="A178" s="3" t="s">
        <v>1972</v>
      </c>
      <c r="B178" s="2">
        <v>32822.14</v>
      </c>
      <c r="C178" s="2">
        <v>10034.65</v>
      </c>
      <c r="D178" s="2">
        <v>327.08999999999997</v>
      </c>
      <c r="E178" s="2"/>
      <c r="F178" s="2"/>
      <c r="G178" s="2"/>
      <c r="H178" s="2"/>
      <c r="I178" s="3"/>
    </row>
    <row r="179" spans="1:9">
      <c r="A179" s="3" t="s">
        <v>1971</v>
      </c>
      <c r="B179" s="2">
        <v>32822.42</v>
      </c>
      <c r="C179" s="2">
        <v>9066.14</v>
      </c>
      <c r="D179" s="2">
        <v>362.03</v>
      </c>
      <c r="E179" s="2"/>
      <c r="F179" s="2"/>
      <c r="G179" s="2"/>
      <c r="H179" s="2"/>
      <c r="I179" s="3"/>
    </row>
    <row r="180" spans="1:9">
      <c r="A180" s="3" t="s">
        <v>1970</v>
      </c>
      <c r="B180" s="2">
        <v>32822.449999999997</v>
      </c>
      <c r="C180" s="2">
        <v>9620.48</v>
      </c>
      <c r="D180" s="2">
        <v>341.17</v>
      </c>
      <c r="E180" s="2"/>
      <c r="F180" s="2"/>
      <c r="G180" s="2"/>
      <c r="H180" s="2"/>
      <c r="I180" s="3"/>
    </row>
    <row r="181" spans="1:9">
      <c r="A181" s="3" t="s">
        <v>1969</v>
      </c>
      <c r="B181" s="2">
        <v>32822.400000000001</v>
      </c>
      <c r="C181" s="2">
        <v>9203.15</v>
      </c>
      <c r="D181" s="2">
        <v>356.64</v>
      </c>
      <c r="E181" s="2"/>
      <c r="F181" s="2"/>
      <c r="G181" s="2"/>
      <c r="H181" s="2"/>
      <c r="I181" s="3"/>
    </row>
    <row r="182" spans="1:9">
      <c r="A182" s="3" t="s">
        <v>1968</v>
      </c>
      <c r="B182" s="2">
        <v>32822.230000000003</v>
      </c>
      <c r="C182" s="2">
        <v>9804.73</v>
      </c>
      <c r="D182" s="2">
        <v>334.76</v>
      </c>
      <c r="E182" s="2"/>
      <c r="F182" s="2"/>
      <c r="G182" s="2"/>
      <c r="H182" s="2"/>
      <c r="I182" s="3"/>
    </row>
    <row r="183" spans="1:9">
      <c r="A183" s="3" t="s">
        <v>1967</v>
      </c>
      <c r="B183" s="2">
        <v>32822.019999999997</v>
      </c>
      <c r="C183" s="2">
        <v>9387.4</v>
      </c>
      <c r="D183" s="2">
        <v>349.64</v>
      </c>
      <c r="E183" s="2"/>
      <c r="F183" s="2"/>
      <c r="G183" s="2"/>
      <c r="H183" s="2"/>
      <c r="I183" s="3"/>
    </row>
    <row r="184" spans="1:9">
      <c r="A184" s="3" t="s">
        <v>1966</v>
      </c>
      <c r="B184" s="2">
        <v>32822.089999999997</v>
      </c>
      <c r="C184" s="2">
        <v>8564.73</v>
      </c>
      <c r="D184" s="2">
        <v>383.22</v>
      </c>
      <c r="E184" s="2"/>
      <c r="F184" s="2"/>
      <c r="G184" s="2"/>
      <c r="H184" s="2"/>
      <c r="I184" s="3"/>
    </row>
    <row r="185" spans="1:9">
      <c r="A185" s="3" t="s">
        <v>1965</v>
      </c>
      <c r="B185" s="2">
        <v>32822.120000000003</v>
      </c>
      <c r="C185" s="2">
        <v>10912.57</v>
      </c>
      <c r="D185" s="2">
        <v>300.77</v>
      </c>
      <c r="E185" s="2"/>
      <c r="F185" s="2"/>
      <c r="G185" s="2"/>
      <c r="H185" s="2"/>
      <c r="I185" s="3"/>
    </row>
    <row r="186" spans="1:9">
      <c r="A186" s="3" t="s">
        <v>1964</v>
      </c>
      <c r="B186" s="2">
        <v>32822.080000000002</v>
      </c>
      <c r="C186" s="2">
        <v>8748.98</v>
      </c>
      <c r="D186" s="2">
        <v>375.15</v>
      </c>
      <c r="E186" s="2"/>
      <c r="F186" s="2"/>
      <c r="G186" s="2"/>
      <c r="H186" s="2"/>
      <c r="I186" s="3"/>
    </row>
    <row r="187" spans="1:9">
      <c r="A187" s="3" t="s">
        <v>1963</v>
      </c>
      <c r="B187" s="2">
        <v>32822.379999999997</v>
      </c>
      <c r="C187" s="2">
        <v>11006.8</v>
      </c>
      <c r="D187" s="2">
        <v>298.2</v>
      </c>
      <c r="E187" s="2"/>
      <c r="F187" s="2"/>
      <c r="G187" s="2"/>
      <c r="H187" s="2"/>
      <c r="I187" s="3"/>
    </row>
    <row r="188" spans="1:9">
      <c r="A188" s="3" t="s">
        <v>1962</v>
      </c>
      <c r="B188" s="2">
        <v>32822.019999999997</v>
      </c>
      <c r="C188" s="2">
        <v>9043.4699999999993</v>
      </c>
      <c r="D188" s="2">
        <v>362.94</v>
      </c>
      <c r="E188" s="2"/>
      <c r="F188" s="2"/>
      <c r="G188" s="2"/>
      <c r="H188" s="2"/>
      <c r="I188" s="3"/>
    </row>
    <row r="189" spans="1:9">
      <c r="A189" s="3" t="s">
        <v>1961</v>
      </c>
      <c r="B189" s="2">
        <v>32822.1</v>
      </c>
      <c r="C189" s="2">
        <v>10110.84</v>
      </c>
      <c r="D189" s="2">
        <v>324.62</v>
      </c>
      <c r="E189" s="2"/>
      <c r="F189" s="2"/>
      <c r="G189" s="2"/>
      <c r="H189" s="2"/>
      <c r="I189" s="3"/>
    </row>
    <row r="190" spans="1:9">
      <c r="A190" s="3" t="s">
        <v>1960</v>
      </c>
      <c r="B190" s="2">
        <v>32822.160000000003</v>
      </c>
      <c r="C190" s="2">
        <v>9227.7199999999993</v>
      </c>
      <c r="D190" s="2">
        <v>355.69</v>
      </c>
      <c r="E190" s="2"/>
      <c r="F190" s="2"/>
      <c r="G190" s="2"/>
      <c r="H190" s="2"/>
      <c r="I190" s="3"/>
    </row>
    <row r="191" spans="1:9">
      <c r="A191" s="3" t="s">
        <v>1959</v>
      </c>
      <c r="B191" s="2">
        <v>32822.39</v>
      </c>
      <c r="C191" s="2">
        <v>10205.07</v>
      </c>
      <c r="D191" s="2">
        <v>321.63</v>
      </c>
      <c r="E191" s="2"/>
      <c r="F191" s="2"/>
      <c r="G191" s="2"/>
      <c r="H191" s="2"/>
      <c r="I191" s="3"/>
    </row>
    <row r="192" spans="1:9">
      <c r="A192" s="3" t="s">
        <v>1958</v>
      </c>
      <c r="B192" s="2">
        <v>32822.36</v>
      </c>
      <c r="C192" s="2">
        <v>9035.34</v>
      </c>
      <c r="D192" s="2">
        <v>363.27</v>
      </c>
      <c r="E192" s="2"/>
      <c r="F192" s="2"/>
      <c r="G192" s="2"/>
      <c r="H192" s="2"/>
      <c r="I192" s="3"/>
    </row>
    <row r="193" spans="1:9">
      <c r="A193" s="3" t="s">
        <v>1957</v>
      </c>
      <c r="B193" s="2">
        <v>32822.42</v>
      </c>
      <c r="C193" s="2">
        <v>7136.34</v>
      </c>
      <c r="D193" s="2">
        <v>459.93</v>
      </c>
      <c r="E193" s="2"/>
      <c r="F193" s="2"/>
      <c r="G193" s="2"/>
      <c r="H193" s="2"/>
      <c r="I193" s="3"/>
    </row>
    <row r="194" spans="1:9">
      <c r="A194" s="3" t="s">
        <v>1956</v>
      </c>
      <c r="B194" s="2">
        <v>32822.120000000003</v>
      </c>
      <c r="C194" s="2">
        <v>8758.85</v>
      </c>
      <c r="D194" s="2">
        <v>374.73</v>
      </c>
      <c r="E194" s="2"/>
      <c r="F194" s="2"/>
      <c r="G194" s="2"/>
      <c r="H194" s="2"/>
      <c r="I194" s="3"/>
    </row>
    <row r="195" spans="1:9">
      <c r="A195" s="3" t="s">
        <v>1955</v>
      </c>
      <c r="B195" s="2">
        <v>32822.080000000002</v>
      </c>
      <c r="C195" s="2">
        <v>6949.85</v>
      </c>
      <c r="D195" s="2">
        <v>472.27</v>
      </c>
      <c r="E195" s="2"/>
      <c r="F195" s="2"/>
      <c r="G195" s="2"/>
      <c r="H195" s="2"/>
      <c r="I195" s="3"/>
    </row>
    <row r="196" spans="1:9">
      <c r="A196" s="3" t="s">
        <v>1954</v>
      </c>
      <c r="B196" s="2">
        <v>32822.17</v>
      </c>
      <c r="C196" s="2">
        <v>6220.76</v>
      </c>
      <c r="D196" s="2">
        <v>527.62</v>
      </c>
      <c r="E196" s="2"/>
      <c r="F196" s="2"/>
      <c r="G196" s="2"/>
      <c r="H196" s="2"/>
      <c r="I196" s="3"/>
    </row>
    <row r="197" spans="1:9">
      <c r="A197" s="3" t="s">
        <v>1953</v>
      </c>
      <c r="B197" s="2">
        <v>32822.160000000003</v>
      </c>
      <c r="C197" s="2">
        <v>5989.26</v>
      </c>
      <c r="D197" s="2">
        <v>548.02</v>
      </c>
      <c r="E197" s="2"/>
      <c r="F197" s="2"/>
      <c r="G197" s="2"/>
      <c r="H197" s="2"/>
      <c r="I197" s="3"/>
    </row>
    <row r="198" spans="1:9">
      <c r="A198" s="3" t="s">
        <v>1952</v>
      </c>
      <c r="B198" s="2">
        <v>32822.230000000003</v>
      </c>
      <c r="C198" s="2">
        <v>5946.49</v>
      </c>
      <c r="D198" s="2">
        <v>551.96</v>
      </c>
      <c r="E198" s="2"/>
      <c r="F198" s="2"/>
      <c r="G198" s="2"/>
      <c r="H198" s="2"/>
      <c r="I198" s="3"/>
    </row>
    <row r="199" spans="1:9">
      <c r="A199" s="3" t="s">
        <v>1951</v>
      </c>
      <c r="B199" s="2">
        <v>32822.36</v>
      </c>
      <c r="C199" s="2">
        <v>5714.99</v>
      </c>
      <c r="D199" s="2">
        <v>574.32000000000005</v>
      </c>
      <c r="E199" s="2"/>
      <c r="F199" s="2"/>
      <c r="G199" s="2"/>
      <c r="H199" s="2"/>
      <c r="I199" s="3"/>
    </row>
    <row r="200" spans="1:9">
      <c r="A200" s="3" t="s">
        <v>1950</v>
      </c>
      <c r="B200" s="2">
        <v>32822.04</v>
      </c>
      <c r="C200" s="2">
        <v>5845.23</v>
      </c>
      <c r="D200" s="2">
        <v>561.52</v>
      </c>
      <c r="E200" s="2"/>
      <c r="F200" s="2"/>
      <c r="G200" s="2"/>
      <c r="H200" s="2"/>
      <c r="I200" s="3"/>
    </row>
    <row r="201" spans="1:9">
      <c r="A201" s="3" t="s">
        <v>1949</v>
      </c>
      <c r="B201" s="2">
        <v>32822.47</v>
      </c>
      <c r="C201" s="2">
        <v>6151</v>
      </c>
      <c r="D201" s="2">
        <v>533.61</v>
      </c>
      <c r="E201" s="2"/>
      <c r="F201" s="2"/>
      <c r="G201" s="2"/>
      <c r="H201" s="2"/>
      <c r="I201" s="3"/>
    </row>
    <row r="202" spans="1:9">
      <c r="A202" s="3" t="s">
        <v>1948</v>
      </c>
      <c r="B202" s="2">
        <v>13683.46</v>
      </c>
      <c r="C202" s="2">
        <v>8901</v>
      </c>
      <c r="D202" s="2">
        <v>153.72999999999999</v>
      </c>
      <c r="E202" s="2"/>
      <c r="F202" s="2"/>
      <c r="G202" s="2"/>
      <c r="H202" s="2"/>
      <c r="I202" s="3"/>
    </row>
    <row r="203" spans="1:9">
      <c r="A203" s="3" t="s">
        <v>1947</v>
      </c>
      <c r="B203" s="2">
        <v>32822.410000000003</v>
      </c>
      <c r="C203" s="2">
        <v>6083.28</v>
      </c>
      <c r="D203" s="2">
        <v>539.54999999999995</v>
      </c>
      <c r="E203" s="2"/>
      <c r="F203" s="2"/>
      <c r="G203" s="2"/>
      <c r="H203" s="2"/>
      <c r="I203" s="3"/>
    </row>
    <row r="204" spans="1:9">
      <c r="A204" s="3" t="s">
        <v>1946</v>
      </c>
      <c r="B204" s="2">
        <v>13683.42</v>
      </c>
      <c r="C204" s="2">
        <v>8296.02</v>
      </c>
      <c r="D204" s="2">
        <v>164.94</v>
      </c>
      <c r="E204" s="2"/>
      <c r="F204" s="2"/>
      <c r="G204" s="2"/>
      <c r="H204" s="2"/>
      <c r="I204" s="3"/>
    </row>
    <row r="205" spans="1:9">
      <c r="A205" s="3" t="s">
        <v>1945</v>
      </c>
      <c r="B205" s="2">
        <v>32822.449999999997</v>
      </c>
      <c r="C205" s="2">
        <v>5809.01</v>
      </c>
      <c r="D205" s="2">
        <v>565.03</v>
      </c>
      <c r="E205" s="2"/>
      <c r="F205" s="2"/>
      <c r="G205" s="2"/>
      <c r="H205" s="2"/>
      <c r="I205" s="3"/>
    </row>
    <row r="206" spans="1:9">
      <c r="A206" s="3" t="s">
        <v>1944</v>
      </c>
      <c r="B206" s="2">
        <v>32822.379999999997</v>
      </c>
      <c r="C206" s="2">
        <v>9807.86</v>
      </c>
      <c r="D206" s="2">
        <v>334.65</v>
      </c>
      <c r="E206" s="2"/>
      <c r="F206" s="2"/>
      <c r="G206" s="2"/>
      <c r="H206" s="2"/>
      <c r="I206" s="3"/>
    </row>
    <row r="207" spans="1:9">
      <c r="A207" s="3" t="s">
        <v>1943</v>
      </c>
      <c r="B207" s="2">
        <v>32822.04</v>
      </c>
      <c r="C207" s="2">
        <v>7983.08</v>
      </c>
      <c r="D207" s="2">
        <v>411.15</v>
      </c>
      <c r="E207" s="2"/>
      <c r="F207" s="2"/>
      <c r="G207" s="2"/>
      <c r="H207" s="2"/>
      <c r="I207" s="3"/>
    </row>
    <row r="208" spans="1:9">
      <c r="A208" s="3" t="s">
        <v>1942</v>
      </c>
      <c r="B208" s="2">
        <v>32822.19</v>
      </c>
      <c r="C208" s="2">
        <v>9531.3700000000008</v>
      </c>
      <c r="D208" s="2">
        <v>344.36</v>
      </c>
      <c r="E208" s="2"/>
      <c r="F208" s="2"/>
      <c r="G208" s="2"/>
      <c r="H208" s="2"/>
      <c r="I208" s="3"/>
    </row>
    <row r="209" spans="1:9">
      <c r="A209" s="3" t="s">
        <v>1941</v>
      </c>
      <c r="B209" s="2">
        <v>32822.370000000003</v>
      </c>
      <c r="C209" s="2">
        <v>7951.71</v>
      </c>
      <c r="D209" s="2">
        <v>412.77</v>
      </c>
      <c r="E209" s="2"/>
      <c r="F209" s="2"/>
      <c r="G209" s="2"/>
      <c r="H209" s="2"/>
      <c r="I209" s="3"/>
    </row>
    <row r="210" spans="1:9">
      <c r="A210" s="3" t="s">
        <v>1940</v>
      </c>
      <c r="B210" s="2">
        <v>32822.04</v>
      </c>
      <c r="C210" s="2">
        <v>10221.34</v>
      </c>
      <c r="D210" s="2">
        <v>321.11</v>
      </c>
      <c r="E210" s="2"/>
      <c r="F210" s="2"/>
      <c r="G210" s="2"/>
      <c r="H210" s="2"/>
      <c r="I210" s="3"/>
    </row>
    <row r="211" spans="1:9">
      <c r="A211" s="3" t="s">
        <v>1939</v>
      </c>
      <c r="B211" s="2">
        <v>32822.449999999997</v>
      </c>
      <c r="C211" s="2">
        <v>9675.82</v>
      </c>
      <c r="D211" s="2">
        <v>339.22</v>
      </c>
      <c r="E211" s="2"/>
      <c r="F211" s="2"/>
      <c r="G211" s="2"/>
      <c r="H211" s="2"/>
      <c r="I211" s="3"/>
    </row>
    <row r="212" spans="1:9">
      <c r="A212" s="3" t="s">
        <v>1938</v>
      </c>
      <c r="B212" s="2">
        <v>32822.339999999997</v>
      </c>
      <c r="C212" s="2">
        <v>9944.83</v>
      </c>
      <c r="D212" s="2">
        <v>330.04</v>
      </c>
      <c r="E212" s="2"/>
      <c r="F212" s="2"/>
      <c r="G212" s="2"/>
      <c r="H212" s="2"/>
      <c r="I212" s="3"/>
    </row>
    <row r="213" spans="1:9">
      <c r="A213" s="3" t="s">
        <v>1937</v>
      </c>
      <c r="B213" s="2">
        <v>32822</v>
      </c>
      <c r="C213" s="2">
        <v>9399.31</v>
      </c>
      <c r="D213" s="2">
        <v>349.2</v>
      </c>
      <c r="E213" s="2"/>
      <c r="F213" s="2"/>
      <c r="G213" s="2"/>
      <c r="H213" s="2"/>
      <c r="I213" s="3"/>
    </row>
    <row r="214" spans="1:9">
      <c r="A214" s="3" t="s">
        <v>872</v>
      </c>
      <c r="B214" s="2">
        <v>16278.69</v>
      </c>
      <c r="C214" s="2">
        <v>15973.89</v>
      </c>
      <c r="D214" s="2">
        <v>101.91</v>
      </c>
      <c r="E214" s="2"/>
      <c r="F214" s="2"/>
      <c r="G214" s="2"/>
      <c r="H214" s="2"/>
      <c r="I214" s="3"/>
    </row>
    <row r="215" spans="1:9">
      <c r="A215" s="3" t="s">
        <v>870</v>
      </c>
      <c r="B215" s="2">
        <v>17991.96</v>
      </c>
      <c r="C215" s="2">
        <v>15095.48</v>
      </c>
      <c r="D215" s="2">
        <v>119.19</v>
      </c>
      <c r="E215" s="2"/>
      <c r="F215" s="2"/>
      <c r="G215" s="2"/>
      <c r="H215" s="2"/>
      <c r="I215" s="3"/>
    </row>
    <row r="216" spans="1:9">
      <c r="A216" s="3" t="s">
        <v>868</v>
      </c>
      <c r="B216" s="2">
        <v>16278.09</v>
      </c>
      <c r="C216" s="2">
        <v>15848.17</v>
      </c>
      <c r="D216" s="2">
        <v>102.71</v>
      </c>
      <c r="E216" s="2"/>
      <c r="F216" s="2"/>
      <c r="G216" s="2"/>
      <c r="H216" s="2"/>
      <c r="I216" s="3"/>
    </row>
    <row r="217" spans="1:9">
      <c r="A217" s="3" t="s">
        <v>866</v>
      </c>
      <c r="B217" s="2">
        <v>17991.12</v>
      </c>
      <c r="C217" s="2">
        <v>14969.75</v>
      </c>
      <c r="D217" s="2">
        <v>120.18</v>
      </c>
      <c r="E217" s="2"/>
      <c r="F217" s="2"/>
      <c r="G217" s="2"/>
      <c r="H217" s="2"/>
      <c r="I217" s="3"/>
    </row>
    <row r="218" spans="1:9">
      <c r="A218" s="3" t="s">
        <v>864</v>
      </c>
      <c r="B218" s="2">
        <v>16278.26</v>
      </c>
      <c r="C218" s="2">
        <v>15542.4</v>
      </c>
      <c r="D218" s="2">
        <v>104.73</v>
      </c>
      <c r="E218" s="2"/>
      <c r="F218" s="2"/>
      <c r="G218" s="2"/>
      <c r="H218" s="2"/>
      <c r="I218" s="3"/>
    </row>
    <row r="219" spans="1:9">
      <c r="A219" s="3" t="s">
        <v>862</v>
      </c>
      <c r="B219" s="2">
        <v>17991.37</v>
      </c>
      <c r="C219" s="2">
        <v>14726.97</v>
      </c>
      <c r="D219" s="2">
        <v>122.17</v>
      </c>
      <c r="E219" s="2"/>
      <c r="F219" s="2"/>
      <c r="G219" s="2"/>
      <c r="H219" s="2"/>
      <c r="I219" s="3"/>
    </row>
    <row r="220" spans="1:9">
      <c r="A220" s="3" t="s">
        <v>860</v>
      </c>
      <c r="B220" s="2">
        <v>16278.21</v>
      </c>
      <c r="C220" s="2">
        <v>15416.67</v>
      </c>
      <c r="D220" s="2">
        <v>105.59</v>
      </c>
      <c r="E220" s="2"/>
      <c r="F220" s="2"/>
      <c r="G220" s="2"/>
      <c r="H220" s="2"/>
      <c r="I220" s="3"/>
    </row>
    <row r="221" spans="1:9">
      <c r="A221" s="3" t="s">
        <v>858</v>
      </c>
      <c r="B221" s="2">
        <v>17991.61</v>
      </c>
      <c r="C221" s="2">
        <v>14601.25</v>
      </c>
      <c r="D221" s="2">
        <v>123.22</v>
      </c>
      <c r="E221" s="2"/>
      <c r="F221" s="2"/>
      <c r="G221" s="2"/>
      <c r="H221" s="2"/>
      <c r="I221" s="3"/>
    </row>
    <row r="222" spans="1:9">
      <c r="A222" s="3" t="s">
        <v>856</v>
      </c>
      <c r="B222" s="2">
        <v>16278.96</v>
      </c>
      <c r="C222" s="2">
        <v>14432.49</v>
      </c>
      <c r="D222" s="2">
        <v>112.79</v>
      </c>
      <c r="E222" s="2"/>
      <c r="F222" s="2"/>
      <c r="G222" s="2"/>
      <c r="H222" s="2"/>
      <c r="I222" s="3"/>
    </row>
    <row r="223" spans="1:9">
      <c r="A223" s="3" t="s">
        <v>854</v>
      </c>
      <c r="B223" s="2">
        <v>16278.85</v>
      </c>
      <c r="C223" s="2">
        <v>13956.89</v>
      </c>
      <c r="D223" s="2">
        <v>116.64</v>
      </c>
      <c r="E223" s="2"/>
      <c r="F223" s="2"/>
      <c r="G223" s="2"/>
      <c r="H223" s="2"/>
      <c r="I223" s="3"/>
    </row>
    <row r="224" spans="1:9">
      <c r="A224" s="3" t="s">
        <v>852</v>
      </c>
      <c r="B224" s="2">
        <v>16278.47</v>
      </c>
      <c r="C224" s="2">
        <v>14306.76</v>
      </c>
      <c r="D224" s="2">
        <v>113.78</v>
      </c>
      <c r="E224" s="2"/>
      <c r="F224" s="2"/>
      <c r="G224" s="2"/>
      <c r="H224" s="2"/>
      <c r="I224" s="3"/>
    </row>
    <row r="225" spans="1:9">
      <c r="A225" s="3" t="s">
        <v>850</v>
      </c>
      <c r="B225" s="2">
        <v>16278.14</v>
      </c>
      <c r="C225" s="2">
        <v>13831.16</v>
      </c>
      <c r="D225" s="2">
        <v>117.69</v>
      </c>
      <c r="E225" s="2"/>
      <c r="F225" s="2"/>
      <c r="G225" s="2"/>
      <c r="H225" s="2"/>
      <c r="I225" s="3"/>
    </row>
    <row r="226" spans="1:9">
      <c r="A226" s="3" t="s">
        <v>848</v>
      </c>
      <c r="B226" s="2">
        <v>16278.48</v>
      </c>
      <c r="C226" s="2">
        <v>13725.39</v>
      </c>
      <c r="D226" s="2">
        <v>118.6</v>
      </c>
      <c r="E226" s="2"/>
      <c r="F226" s="2"/>
      <c r="G226" s="2"/>
      <c r="H226" s="2"/>
      <c r="I226" s="3"/>
    </row>
    <row r="227" spans="1:9">
      <c r="A227" s="3" t="s">
        <v>846</v>
      </c>
      <c r="B227" s="2">
        <v>16278.04</v>
      </c>
      <c r="C227" s="2">
        <v>13588.38</v>
      </c>
      <c r="D227" s="2">
        <v>119.79</v>
      </c>
      <c r="E227" s="2"/>
      <c r="F227" s="2"/>
      <c r="G227" s="2"/>
      <c r="H227" s="2"/>
      <c r="I227" s="3"/>
    </row>
    <row r="228" spans="1:9">
      <c r="A228" s="3" t="s">
        <v>844</v>
      </c>
      <c r="B228" s="2">
        <v>16278.1</v>
      </c>
      <c r="C228" s="2">
        <v>13599.66</v>
      </c>
      <c r="D228" s="2">
        <v>119.69</v>
      </c>
      <c r="E228" s="2"/>
      <c r="F228" s="2"/>
      <c r="G228" s="2"/>
      <c r="H228" s="2"/>
      <c r="I228" s="3"/>
    </row>
    <row r="229" spans="1:9">
      <c r="A229" s="3" t="s">
        <v>842</v>
      </c>
      <c r="B229" s="2">
        <v>16278.95</v>
      </c>
      <c r="C229" s="2">
        <v>13462.65</v>
      </c>
      <c r="D229" s="2">
        <v>120.92</v>
      </c>
      <c r="E229" s="2"/>
      <c r="F229" s="2"/>
      <c r="G229" s="2"/>
      <c r="H229" s="2"/>
      <c r="I229" s="3"/>
    </row>
    <row r="230" spans="1:9">
      <c r="A230" s="3" t="s">
        <v>840</v>
      </c>
      <c r="B230" s="2">
        <v>17991.98</v>
      </c>
      <c r="C230" s="2">
        <v>14651.18</v>
      </c>
      <c r="D230" s="2">
        <v>122.8</v>
      </c>
      <c r="E230" s="2"/>
      <c r="F230" s="2"/>
      <c r="G230" s="2"/>
      <c r="H230" s="2"/>
      <c r="I230" s="3"/>
    </row>
    <row r="231" spans="1:9">
      <c r="A231" s="3" t="s">
        <v>838</v>
      </c>
      <c r="B231" s="2">
        <v>17991.22</v>
      </c>
      <c r="C231" s="2">
        <v>14419.68</v>
      </c>
      <c r="D231" s="2">
        <v>124.77</v>
      </c>
      <c r="E231" s="2"/>
      <c r="F231" s="2"/>
      <c r="G231" s="2"/>
      <c r="H231" s="2"/>
      <c r="I231" s="3"/>
    </row>
    <row r="232" spans="1:9">
      <c r="A232" s="3" t="s">
        <v>836</v>
      </c>
      <c r="B232" s="2">
        <v>17991.009999999998</v>
      </c>
      <c r="C232" s="2">
        <v>14435.43</v>
      </c>
      <c r="D232" s="2">
        <v>124.63</v>
      </c>
      <c r="E232" s="2"/>
      <c r="F232" s="2"/>
      <c r="G232" s="2"/>
      <c r="H232" s="2"/>
      <c r="I232" s="3"/>
    </row>
    <row r="233" spans="1:9">
      <c r="A233" s="3" t="s">
        <v>834</v>
      </c>
      <c r="B233" s="2">
        <v>17991.88</v>
      </c>
      <c r="C233" s="2">
        <v>14203.93</v>
      </c>
      <c r="D233" s="2">
        <v>126.67</v>
      </c>
      <c r="E233" s="2"/>
      <c r="F233" s="2"/>
      <c r="G233" s="2"/>
      <c r="H233" s="2"/>
      <c r="I233" s="3"/>
    </row>
    <row r="234" spans="1:9">
      <c r="A234" s="3" t="s">
        <v>832</v>
      </c>
      <c r="B234" s="2">
        <v>17991.53</v>
      </c>
      <c r="C234" s="2">
        <v>14156.69</v>
      </c>
      <c r="D234" s="2">
        <v>127.09</v>
      </c>
      <c r="E234" s="2"/>
      <c r="F234" s="2"/>
      <c r="G234" s="2"/>
      <c r="H234" s="2"/>
      <c r="I234" s="3"/>
    </row>
    <row r="235" spans="1:9">
      <c r="A235" s="3" t="s">
        <v>830</v>
      </c>
      <c r="B235" s="2">
        <v>17991.41</v>
      </c>
      <c r="C235" s="2">
        <v>13988.19</v>
      </c>
      <c r="D235" s="2">
        <v>128.62</v>
      </c>
      <c r="E235" s="2"/>
      <c r="F235" s="2"/>
      <c r="G235" s="2"/>
      <c r="H235" s="2"/>
      <c r="I235" s="3"/>
    </row>
    <row r="236" spans="1:9">
      <c r="A236" s="3" t="s">
        <v>828</v>
      </c>
      <c r="B236" s="2">
        <v>17991.79</v>
      </c>
      <c r="C236" s="2">
        <v>13940.94</v>
      </c>
      <c r="D236" s="2">
        <v>129.06</v>
      </c>
      <c r="E236" s="2"/>
      <c r="F236" s="2"/>
      <c r="G236" s="2"/>
      <c r="H236" s="2"/>
      <c r="I236" s="3"/>
    </row>
    <row r="237" spans="1:9">
      <c r="A237" s="3" t="s">
        <v>826</v>
      </c>
      <c r="B237" s="2">
        <v>17991.560000000001</v>
      </c>
      <c r="C237" s="2">
        <v>13772.44</v>
      </c>
      <c r="D237" s="2">
        <v>130.63</v>
      </c>
      <c r="E237" s="2"/>
      <c r="F237" s="2"/>
      <c r="G237" s="2"/>
      <c r="H237" s="2"/>
      <c r="I237" s="3"/>
    </row>
    <row r="238" spans="1:9">
      <c r="A238" s="3" t="s">
        <v>1936</v>
      </c>
      <c r="B238" s="2">
        <v>32822.29</v>
      </c>
      <c r="C238" s="2">
        <v>21278.28</v>
      </c>
      <c r="D238" s="2">
        <v>154.25</v>
      </c>
      <c r="E238" s="2"/>
      <c r="F238" s="2"/>
      <c r="G238" s="2"/>
      <c r="H238" s="2"/>
      <c r="I238" s="3"/>
    </row>
    <row r="239" spans="1:9">
      <c r="A239" s="3" t="s">
        <v>1935</v>
      </c>
      <c r="B239" s="2">
        <v>32822.28</v>
      </c>
      <c r="C239" s="2">
        <v>20558.28</v>
      </c>
      <c r="D239" s="2">
        <v>159.65</v>
      </c>
      <c r="E239" s="2"/>
      <c r="F239" s="2"/>
      <c r="G239" s="2"/>
      <c r="H239" s="2"/>
      <c r="I239" s="3"/>
    </row>
    <row r="240" spans="1:9">
      <c r="A240" s="3" t="s">
        <v>1934</v>
      </c>
      <c r="B240" s="2">
        <v>32822.339999999997</v>
      </c>
      <c r="C240" s="2">
        <v>21123.29</v>
      </c>
      <c r="D240" s="2">
        <v>155.38</v>
      </c>
      <c r="E240" s="2"/>
      <c r="F240" s="2"/>
      <c r="G240" s="2"/>
      <c r="H240" s="2"/>
      <c r="I240" s="3"/>
    </row>
    <row r="241" spans="1:9">
      <c r="A241" s="3" t="s">
        <v>1933</v>
      </c>
      <c r="B241" s="2">
        <v>32822.1</v>
      </c>
      <c r="C241" s="2">
        <v>20403.29</v>
      </c>
      <c r="D241" s="2">
        <v>160.87</v>
      </c>
      <c r="E241" s="2"/>
      <c r="F241" s="2"/>
      <c r="G241" s="2"/>
      <c r="H241" s="2"/>
      <c r="I241" s="3"/>
    </row>
    <row r="242" spans="1:9">
      <c r="A242" s="3" t="s">
        <v>1932</v>
      </c>
      <c r="B242" s="2">
        <v>32822.300000000003</v>
      </c>
      <c r="C242" s="2">
        <v>21408.28</v>
      </c>
      <c r="D242" s="2">
        <v>153.32</v>
      </c>
      <c r="E242" s="2"/>
      <c r="F242" s="2"/>
      <c r="G242" s="2"/>
      <c r="H242" s="2"/>
      <c r="I242" s="3"/>
    </row>
    <row r="243" spans="1:9">
      <c r="A243" s="3" t="s">
        <v>1931</v>
      </c>
      <c r="B243" s="2">
        <v>32822.480000000003</v>
      </c>
      <c r="C243" s="2">
        <v>19638.28</v>
      </c>
      <c r="D243" s="2">
        <v>167.14</v>
      </c>
      <c r="E243" s="2"/>
      <c r="F243" s="2"/>
      <c r="G243" s="2"/>
      <c r="H243" s="2"/>
      <c r="I243" s="3"/>
    </row>
    <row r="244" spans="1:9">
      <c r="A244" s="3" t="s">
        <v>1930</v>
      </c>
      <c r="B244" s="2">
        <v>32822.339999999997</v>
      </c>
      <c r="C244" s="2">
        <v>21253.29</v>
      </c>
      <c r="D244" s="2">
        <v>154.43</v>
      </c>
      <c r="E244" s="2"/>
      <c r="F244" s="2"/>
      <c r="G244" s="2"/>
      <c r="H244" s="2"/>
      <c r="I244" s="3"/>
    </row>
    <row r="245" spans="1:9">
      <c r="A245" s="3" t="s">
        <v>1929</v>
      </c>
      <c r="B245" s="2">
        <v>32822.129999999997</v>
      </c>
      <c r="C245" s="2">
        <v>19483.29</v>
      </c>
      <c r="D245" s="2">
        <v>168.46</v>
      </c>
      <c r="E245" s="2"/>
      <c r="F245" s="2"/>
      <c r="G245" s="2"/>
      <c r="H245" s="2"/>
      <c r="I245" s="3"/>
    </row>
    <row r="246" spans="1:9">
      <c r="A246" s="3" t="s">
        <v>1928</v>
      </c>
      <c r="B246" s="2">
        <v>32822.42</v>
      </c>
      <c r="C246" s="2">
        <v>19973.240000000002</v>
      </c>
      <c r="D246" s="2">
        <v>164.33</v>
      </c>
      <c r="E246" s="2"/>
      <c r="F246" s="2"/>
      <c r="G246" s="2"/>
      <c r="H246" s="2"/>
      <c r="I246" s="3"/>
    </row>
    <row r="247" spans="1:9">
      <c r="A247" s="3" t="s">
        <v>1927</v>
      </c>
      <c r="B247" s="2">
        <v>32822.44</v>
      </c>
      <c r="C247" s="2">
        <v>18751.72</v>
      </c>
      <c r="D247" s="2">
        <v>175.04</v>
      </c>
      <c r="E247" s="2"/>
      <c r="F247" s="2"/>
      <c r="G247" s="2"/>
      <c r="H247" s="2"/>
      <c r="I247" s="3"/>
    </row>
    <row r="248" spans="1:9">
      <c r="A248" s="3" t="s">
        <v>1926</v>
      </c>
      <c r="B248" s="2">
        <v>32822.07</v>
      </c>
      <c r="C248" s="2">
        <v>19818.25</v>
      </c>
      <c r="D248" s="2">
        <v>165.62</v>
      </c>
      <c r="E248" s="2"/>
      <c r="F248" s="2"/>
      <c r="G248" s="2"/>
      <c r="H248" s="2"/>
      <c r="I248" s="3"/>
    </row>
    <row r="249" spans="1:9">
      <c r="A249" s="3" t="s">
        <v>1925</v>
      </c>
      <c r="B249" s="2">
        <v>32822.01</v>
      </c>
      <c r="C249" s="2">
        <v>18506.71</v>
      </c>
      <c r="D249" s="2">
        <v>177.35</v>
      </c>
      <c r="E249" s="2"/>
      <c r="F249" s="2"/>
      <c r="G249" s="2"/>
      <c r="H249" s="2"/>
      <c r="I249" s="3"/>
    </row>
    <row r="250" spans="1:9">
      <c r="A250" s="3" t="s">
        <v>1924</v>
      </c>
      <c r="B250" s="2">
        <v>32822.28</v>
      </c>
      <c r="C250" s="2">
        <v>20093.240000000002</v>
      </c>
      <c r="D250" s="2">
        <v>163.35</v>
      </c>
      <c r="E250" s="2"/>
      <c r="F250" s="2"/>
      <c r="G250" s="2"/>
      <c r="H250" s="2"/>
      <c r="I250" s="3"/>
    </row>
    <row r="251" spans="1:9">
      <c r="A251" s="3" t="s">
        <v>1923</v>
      </c>
      <c r="B251" s="2">
        <v>32822.199999999997</v>
      </c>
      <c r="C251" s="2">
        <v>18843.240000000002</v>
      </c>
      <c r="D251" s="2">
        <v>174.19</v>
      </c>
      <c r="E251" s="2"/>
      <c r="F251" s="2"/>
      <c r="G251" s="2"/>
      <c r="H251" s="2"/>
      <c r="I251" s="3"/>
    </row>
    <row r="252" spans="1:9">
      <c r="A252" s="3" t="s">
        <v>1922</v>
      </c>
      <c r="B252" s="2">
        <v>32822.42</v>
      </c>
      <c r="C252" s="2">
        <v>19938.25</v>
      </c>
      <c r="D252" s="2">
        <v>164.62</v>
      </c>
      <c r="E252" s="2"/>
      <c r="F252" s="2"/>
      <c r="G252" s="2"/>
      <c r="H252" s="2"/>
      <c r="I252" s="3"/>
    </row>
    <row r="253" spans="1:9">
      <c r="A253" s="3" t="s">
        <v>1921</v>
      </c>
      <c r="B253" s="2">
        <v>32822.400000000001</v>
      </c>
      <c r="C253" s="2">
        <v>18688.25</v>
      </c>
      <c r="D253" s="2">
        <v>175.63</v>
      </c>
      <c r="E253" s="2"/>
      <c r="F253" s="2"/>
      <c r="G253" s="2"/>
      <c r="H253" s="2"/>
      <c r="I253" s="3"/>
    </row>
    <row r="254" spans="1:9">
      <c r="A254" s="3" t="s">
        <v>1920</v>
      </c>
      <c r="B254" s="2">
        <v>32822.19</v>
      </c>
      <c r="C254" s="2">
        <v>22613.24</v>
      </c>
      <c r="D254" s="2">
        <v>145.15</v>
      </c>
      <c r="E254" s="2"/>
      <c r="F254" s="2"/>
      <c r="G254" s="2"/>
      <c r="H254" s="2"/>
      <c r="I254" s="3"/>
    </row>
    <row r="255" spans="1:9">
      <c r="A255" s="3" t="s">
        <v>1919</v>
      </c>
      <c r="B255" s="2">
        <v>32822.32</v>
      </c>
      <c r="C255" s="2">
        <v>19608.439999999999</v>
      </c>
      <c r="D255" s="2">
        <v>167.39</v>
      </c>
      <c r="E255" s="2"/>
      <c r="F255" s="2"/>
      <c r="G255" s="2"/>
      <c r="H255" s="2"/>
      <c r="I255" s="3"/>
    </row>
    <row r="256" spans="1:9">
      <c r="A256" s="3" t="s">
        <v>1918</v>
      </c>
      <c r="B256" s="2">
        <v>32822.43</v>
      </c>
      <c r="C256" s="2">
        <v>22458.25</v>
      </c>
      <c r="D256" s="2">
        <v>146.15</v>
      </c>
      <c r="E256" s="2"/>
      <c r="F256" s="2"/>
      <c r="G256" s="2"/>
      <c r="H256" s="2"/>
      <c r="I256" s="3"/>
    </row>
    <row r="257" spans="1:9">
      <c r="A257" s="3" t="s">
        <v>1917</v>
      </c>
      <c r="B257" s="2">
        <v>32822.39</v>
      </c>
      <c r="C257" s="2">
        <v>19421.95</v>
      </c>
      <c r="D257" s="2">
        <v>169</v>
      </c>
      <c r="E257" s="2"/>
      <c r="F257" s="2"/>
      <c r="G257" s="2"/>
      <c r="H257" s="2"/>
      <c r="I257" s="3"/>
    </row>
    <row r="258" spans="1:9">
      <c r="A258" s="3" t="s">
        <v>1916</v>
      </c>
      <c r="B258" s="2">
        <v>32822.019999999997</v>
      </c>
      <c r="C258" s="2">
        <v>22743.24</v>
      </c>
      <c r="D258" s="2">
        <v>144.32</v>
      </c>
      <c r="E258" s="2"/>
      <c r="F258" s="2"/>
      <c r="G258" s="2"/>
      <c r="H258" s="2"/>
      <c r="I258" s="3"/>
    </row>
    <row r="259" spans="1:9">
      <c r="A259" s="3" t="s">
        <v>1915</v>
      </c>
      <c r="B259" s="2">
        <v>32822.35</v>
      </c>
      <c r="C259" s="2">
        <v>19393.240000000002</v>
      </c>
      <c r="D259" s="2">
        <v>169.25</v>
      </c>
      <c r="E259" s="2"/>
      <c r="F259" s="2"/>
      <c r="G259" s="2"/>
      <c r="H259" s="2"/>
      <c r="I259" s="3"/>
    </row>
    <row r="260" spans="1:9">
      <c r="A260" s="3" t="s">
        <v>1914</v>
      </c>
      <c r="B260" s="2">
        <v>32822.300000000003</v>
      </c>
      <c r="C260" s="2">
        <v>22588.25</v>
      </c>
      <c r="D260" s="2">
        <v>145.31</v>
      </c>
      <c r="E260" s="2"/>
      <c r="F260" s="2"/>
      <c r="G260" s="2"/>
      <c r="H260" s="2"/>
      <c r="I260" s="3"/>
    </row>
    <row r="261" spans="1:9">
      <c r="A261" s="3" t="s">
        <v>1913</v>
      </c>
      <c r="B261" s="2">
        <v>32822.239999999998</v>
      </c>
      <c r="C261" s="2">
        <v>19238.25</v>
      </c>
      <c r="D261" s="2">
        <v>170.61</v>
      </c>
      <c r="E261" s="2"/>
      <c r="F261" s="2"/>
      <c r="G261" s="2"/>
      <c r="H261" s="2"/>
      <c r="I261" s="3"/>
    </row>
    <row r="262" spans="1:9">
      <c r="A262" s="3" t="s">
        <v>1912</v>
      </c>
      <c r="B262" s="2">
        <v>32822.14</v>
      </c>
      <c r="C262" s="2">
        <v>22873.24</v>
      </c>
      <c r="D262" s="2">
        <v>143.5</v>
      </c>
      <c r="E262" s="2"/>
      <c r="F262" s="2"/>
      <c r="G262" s="2"/>
      <c r="H262" s="2"/>
      <c r="I262" s="3"/>
    </row>
    <row r="263" spans="1:9">
      <c r="A263" s="3" t="s">
        <v>1911</v>
      </c>
      <c r="B263" s="2">
        <v>32822.080000000002</v>
      </c>
      <c r="C263" s="2">
        <v>19508.28</v>
      </c>
      <c r="D263" s="2">
        <v>168.25</v>
      </c>
      <c r="E263" s="2"/>
      <c r="F263" s="2"/>
      <c r="G263" s="2"/>
      <c r="H263" s="2"/>
      <c r="I263" s="3"/>
    </row>
    <row r="264" spans="1:9">
      <c r="A264" s="3" t="s">
        <v>1910</v>
      </c>
      <c r="B264" s="2">
        <v>32822.07</v>
      </c>
      <c r="C264" s="2">
        <v>22718.25</v>
      </c>
      <c r="D264" s="2">
        <v>144.47</v>
      </c>
      <c r="E264" s="2"/>
      <c r="F264" s="2"/>
      <c r="G264" s="2"/>
      <c r="H264" s="2"/>
      <c r="I264" s="3"/>
    </row>
    <row r="265" spans="1:9">
      <c r="A265" s="3" t="s">
        <v>1909</v>
      </c>
      <c r="B265" s="2">
        <v>32822.42</v>
      </c>
      <c r="C265" s="2">
        <v>19353.29</v>
      </c>
      <c r="D265" s="2">
        <v>169.6</v>
      </c>
      <c r="E265" s="2"/>
      <c r="F265" s="2"/>
      <c r="G265" s="2"/>
      <c r="H265" s="2"/>
      <c r="I265" s="3"/>
    </row>
    <row r="266" spans="1:9">
      <c r="A266" s="3" t="s">
        <v>1908</v>
      </c>
      <c r="B266" s="2">
        <v>32822.35</v>
      </c>
      <c r="C266" s="2">
        <v>21938.28</v>
      </c>
      <c r="D266" s="2">
        <v>149.61000000000001</v>
      </c>
      <c r="E266" s="2"/>
      <c r="F266" s="2"/>
      <c r="G266" s="2"/>
      <c r="H266" s="2"/>
      <c r="I266" s="3"/>
    </row>
    <row r="267" spans="1:9">
      <c r="A267" s="3" t="s">
        <v>1907</v>
      </c>
      <c r="B267" s="2">
        <v>32822.480000000003</v>
      </c>
      <c r="C267" s="2">
        <v>17936.48</v>
      </c>
      <c r="D267" s="2">
        <v>182.99</v>
      </c>
      <c r="E267" s="2"/>
      <c r="F267" s="2"/>
      <c r="G267" s="2"/>
      <c r="H267" s="2"/>
      <c r="I267" s="3"/>
    </row>
    <row r="268" spans="1:9">
      <c r="A268" s="3" t="s">
        <v>1906</v>
      </c>
      <c r="B268" s="2">
        <v>32822.49</v>
      </c>
      <c r="C268" s="2">
        <v>21783.29</v>
      </c>
      <c r="D268" s="2">
        <v>150.68</v>
      </c>
      <c r="E268" s="2"/>
      <c r="F268" s="2"/>
      <c r="G268" s="2"/>
      <c r="H268" s="2"/>
      <c r="I268" s="3"/>
    </row>
    <row r="269" spans="1:9">
      <c r="A269" s="3" t="s">
        <v>1905</v>
      </c>
      <c r="B269" s="2">
        <v>32822.42</v>
      </c>
      <c r="C269" s="2">
        <v>17749.990000000002</v>
      </c>
      <c r="D269" s="2">
        <v>184.92</v>
      </c>
      <c r="E269" s="2"/>
      <c r="F269" s="2"/>
      <c r="G269" s="2"/>
      <c r="H269" s="2"/>
      <c r="I269" s="3"/>
    </row>
    <row r="270" spans="1:9">
      <c r="A270" s="3" t="s">
        <v>824</v>
      </c>
      <c r="B270" s="2">
        <v>16278.02</v>
      </c>
      <c r="C270" s="2">
        <v>9168.51</v>
      </c>
      <c r="D270" s="2">
        <v>177.54</v>
      </c>
      <c r="E270" s="2"/>
      <c r="F270" s="2"/>
      <c r="G270" s="2"/>
      <c r="H270" s="2"/>
      <c r="I270" s="3"/>
    </row>
    <row r="271" spans="1:9">
      <c r="A271" s="3" t="s">
        <v>822</v>
      </c>
      <c r="B271" s="2">
        <v>16278.16</v>
      </c>
      <c r="C271" s="2">
        <v>9047.25</v>
      </c>
      <c r="D271" s="2">
        <v>179.92</v>
      </c>
      <c r="E271" s="2"/>
      <c r="F271" s="2"/>
      <c r="G271" s="2"/>
      <c r="H271" s="2"/>
      <c r="I271" s="3"/>
    </row>
    <row r="272" spans="1:9">
      <c r="A272" s="3" t="s">
        <v>820</v>
      </c>
      <c r="B272" s="2">
        <v>16278.73</v>
      </c>
      <c r="C272" s="2">
        <v>8952.76</v>
      </c>
      <c r="D272" s="2">
        <v>181.83</v>
      </c>
      <c r="E272" s="2"/>
      <c r="F272" s="2"/>
      <c r="G272" s="2"/>
      <c r="H272" s="2"/>
      <c r="I272" s="3"/>
    </row>
    <row r="273" spans="1:9">
      <c r="A273" s="3" t="s">
        <v>818</v>
      </c>
      <c r="B273" s="2">
        <v>16278.41</v>
      </c>
      <c r="C273" s="2">
        <v>8862.99</v>
      </c>
      <c r="D273" s="2">
        <v>183.67</v>
      </c>
      <c r="E273" s="2"/>
      <c r="F273" s="2"/>
      <c r="G273" s="2"/>
      <c r="H273" s="2"/>
      <c r="I273" s="3"/>
    </row>
    <row r="274" spans="1:9">
      <c r="A274" s="3" t="s">
        <v>816</v>
      </c>
      <c r="B274" s="2">
        <v>16278.35</v>
      </c>
      <c r="C274" s="2">
        <v>8815.75</v>
      </c>
      <c r="D274" s="2">
        <v>184.65</v>
      </c>
      <c r="E274" s="2"/>
      <c r="F274" s="2"/>
      <c r="G274" s="2"/>
      <c r="H274" s="2"/>
      <c r="I274" s="3"/>
    </row>
    <row r="275" spans="1:9">
      <c r="A275" s="3" t="s">
        <v>814</v>
      </c>
      <c r="B275" s="2">
        <v>16278.44</v>
      </c>
      <c r="C275" s="2">
        <v>8584.25</v>
      </c>
      <c r="D275" s="2">
        <v>189.63</v>
      </c>
      <c r="E275" s="2"/>
      <c r="F275" s="2"/>
      <c r="G275" s="2"/>
      <c r="H275" s="2"/>
      <c r="I275" s="3"/>
    </row>
    <row r="276" spans="1:9">
      <c r="A276" s="3" t="s">
        <v>812</v>
      </c>
      <c r="B276" s="2">
        <v>16278.92</v>
      </c>
      <c r="C276" s="2">
        <v>8631.5</v>
      </c>
      <c r="D276" s="2">
        <v>188.6</v>
      </c>
      <c r="E276" s="2"/>
      <c r="F276" s="2"/>
      <c r="G276" s="2"/>
      <c r="H276" s="2"/>
      <c r="I276" s="3"/>
    </row>
    <row r="277" spans="1:9">
      <c r="A277" s="3" t="s">
        <v>810</v>
      </c>
      <c r="B277" s="2">
        <v>16278.07</v>
      </c>
      <c r="C277" s="2">
        <v>8400</v>
      </c>
      <c r="D277" s="2">
        <v>193.79</v>
      </c>
      <c r="E277" s="2"/>
      <c r="F277" s="2"/>
      <c r="G277" s="2"/>
      <c r="H277" s="2"/>
      <c r="I277" s="3"/>
    </row>
    <row r="278" spans="1:9">
      <c r="A278" s="3" t="s">
        <v>808</v>
      </c>
      <c r="B278" s="2">
        <v>17991.27</v>
      </c>
      <c r="C278" s="2">
        <v>8525.99</v>
      </c>
      <c r="D278" s="2">
        <v>211.02</v>
      </c>
      <c r="E278" s="2"/>
      <c r="F278" s="2"/>
      <c r="G278" s="2"/>
      <c r="H278" s="2"/>
      <c r="I278" s="3"/>
    </row>
    <row r="279" spans="1:9">
      <c r="A279" s="3" t="s">
        <v>806</v>
      </c>
      <c r="B279" s="2">
        <v>16278.87</v>
      </c>
      <c r="C279" s="2">
        <v>8168.51</v>
      </c>
      <c r="D279" s="2">
        <v>199.29</v>
      </c>
      <c r="E279" s="2"/>
      <c r="F279" s="2"/>
      <c r="G279" s="2"/>
      <c r="H279" s="2"/>
      <c r="I279" s="3"/>
    </row>
    <row r="280" spans="1:9">
      <c r="A280" s="3" t="s">
        <v>804</v>
      </c>
      <c r="B280" s="2">
        <v>17991.740000000002</v>
      </c>
      <c r="C280" s="2">
        <v>8310.24</v>
      </c>
      <c r="D280" s="2">
        <v>216.5</v>
      </c>
      <c r="E280" s="2"/>
      <c r="F280" s="2"/>
      <c r="G280" s="2"/>
      <c r="H280" s="2"/>
      <c r="I280" s="3"/>
    </row>
    <row r="281" spans="1:9">
      <c r="A281" s="3" t="s">
        <v>802</v>
      </c>
      <c r="B281" s="2">
        <v>16278.35</v>
      </c>
      <c r="C281" s="2">
        <v>7952.76</v>
      </c>
      <c r="D281" s="2">
        <v>204.69</v>
      </c>
      <c r="E281" s="2"/>
      <c r="F281" s="2"/>
      <c r="G281" s="2"/>
      <c r="H281" s="2"/>
      <c r="I281" s="3"/>
    </row>
    <row r="282" spans="1:9">
      <c r="A282" s="3" t="s">
        <v>800</v>
      </c>
      <c r="B282" s="2">
        <v>17991.78</v>
      </c>
      <c r="C282" s="2">
        <v>8062.99</v>
      </c>
      <c r="D282" s="2">
        <v>223.14</v>
      </c>
      <c r="E282" s="2"/>
      <c r="F282" s="2"/>
      <c r="G282" s="2"/>
      <c r="H282" s="2"/>
      <c r="I282" s="3"/>
    </row>
    <row r="283" spans="1:9">
      <c r="A283" s="3" t="s">
        <v>798</v>
      </c>
      <c r="B283" s="2">
        <v>16278.88</v>
      </c>
      <c r="C283" s="2">
        <v>7878.74</v>
      </c>
      <c r="D283" s="2">
        <v>206.62</v>
      </c>
      <c r="E283" s="2"/>
      <c r="F283" s="2"/>
      <c r="G283" s="2"/>
      <c r="H283" s="2"/>
      <c r="I283" s="3"/>
    </row>
    <row r="284" spans="1:9">
      <c r="A284" s="3" t="s">
        <v>796</v>
      </c>
      <c r="B284" s="2">
        <v>17991.419999999998</v>
      </c>
      <c r="C284" s="2">
        <v>7847.25</v>
      </c>
      <c r="D284" s="2">
        <v>229.27</v>
      </c>
      <c r="E284" s="2"/>
      <c r="F284" s="2"/>
      <c r="G284" s="2"/>
      <c r="H284" s="2"/>
      <c r="I284" s="3"/>
    </row>
    <row r="285" spans="1:9">
      <c r="A285" s="3" t="s">
        <v>794</v>
      </c>
      <c r="B285" s="2">
        <v>16278.22</v>
      </c>
      <c r="C285" s="2">
        <v>7694.49</v>
      </c>
      <c r="D285" s="2">
        <v>211.56</v>
      </c>
      <c r="E285" s="2"/>
      <c r="F285" s="2"/>
      <c r="G285" s="2"/>
      <c r="H285" s="2"/>
      <c r="I285" s="3"/>
    </row>
    <row r="286" spans="1:9">
      <c r="A286" s="3" t="s">
        <v>792</v>
      </c>
      <c r="B286" s="2">
        <v>17991.04</v>
      </c>
      <c r="C286" s="2">
        <v>9388.98</v>
      </c>
      <c r="D286" s="2">
        <v>191.62</v>
      </c>
      <c r="E286" s="2"/>
      <c r="F286" s="2"/>
      <c r="G286" s="2"/>
      <c r="H286" s="2"/>
      <c r="I286" s="3"/>
    </row>
    <row r="287" spans="1:9">
      <c r="A287" s="3" t="s">
        <v>790</v>
      </c>
      <c r="B287" s="2">
        <v>17991.05</v>
      </c>
      <c r="C287" s="2">
        <v>9094.49</v>
      </c>
      <c r="D287" s="2">
        <v>197.82</v>
      </c>
      <c r="E287" s="2"/>
      <c r="F287" s="2"/>
      <c r="G287" s="2"/>
      <c r="H287" s="2"/>
      <c r="I287" s="3"/>
    </row>
    <row r="288" spans="1:9">
      <c r="A288" s="3" t="s">
        <v>788</v>
      </c>
      <c r="B288" s="2">
        <v>17991.84</v>
      </c>
      <c r="C288" s="2">
        <v>9173.23</v>
      </c>
      <c r="D288" s="2">
        <v>196.13</v>
      </c>
      <c r="E288" s="2"/>
      <c r="F288" s="2"/>
      <c r="G288" s="2"/>
      <c r="H288" s="2"/>
      <c r="I288" s="3"/>
    </row>
    <row r="289" spans="1:9">
      <c r="A289" s="3" t="s">
        <v>786</v>
      </c>
      <c r="B289" s="2">
        <v>17991.54</v>
      </c>
      <c r="C289" s="2">
        <v>8878.74</v>
      </c>
      <c r="D289" s="2">
        <v>202.64</v>
      </c>
      <c r="E289" s="2"/>
      <c r="F289" s="2"/>
      <c r="G289" s="2"/>
      <c r="H289" s="2"/>
      <c r="I289" s="3"/>
    </row>
    <row r="290" spans="1:9">
      <c r="A290" s="3" t="s">
        <v>784</v>
      </c>
      <c r="B290" s="2">
        <v>17991.400000000001</v>
      </c>
      <c r="C290" s="2">
        <v>8957.48</v>
      </c>
      <c r="D290" s="2">
        <v>200.85</v>
      </c>
      <c r="E290" s="2"/>
      <c r="F290" s="2"/>
      <c r="G290" s="2"/>
      <c r="H290" s="2"/>
      <c r="I290" s="3"/>
    </row>
    <row r="291" spans="1:9">
      <c r="A291" s="3" t="s">
        <v>782</v>
      </c>
      <c r="B291" s="2">
        <v>17991.689999999999</v>
      </c>
      <c r="C291" s="2">
        <v>8631.5</v>
      </c>
      <c r="D291" s="2">
        <v>208.44</v>
      </c>
      <c r="E291" s="2"/>
      <c r="F291" s="2"/>
      <c r="G291" s="2"/>
      <c r="H291" s="2"/>
      <c r="I291" s="3"/>
    </row>
    <row r="292" spans="1:9">
      <c r="A292" s="3" t="s">
        <v>780</v>
      </c>
      <c r="B292" s="2">
        <v>17991.5</v>
      </c>
      <c r="C292" s="2">
        <v>8741.73</v>
      </c>
      <c r="D292" s="2">
        <v>205.81</v>
      </c>
      <c r="E292" s="2"/>
      <c r="F292" s="2"/>
      <c r="G292" s="2"/>
      <c r="H292" s="2"/>
      <c r="I292" s="3"/>
    </row>
    <row r="293" spans="1:9">
      <c r="A293" s="3" t="s">
        <v>778</v>
      </c>
      <c r="B293" s="2">
        <v>17991.66</v>
      </c>
      <c r="C293" s="2">
        <v>8415.75</v>
      </c>
      <c r="D293" s="2">
        <v>213.79</v>
      </c>
      <c r="E293" s="2"/>
      <c r="F293" s="2"/>
      <c r="G293" s="2"/>
      <c r="H293" s="2"/>
      <c r="I293" s="3"/>
    </row>
    <row r="294" spans="1:9">
      <c r="A294" s="3" t="s">
        <v>1668</v>
      </c>
      <c r="B294" s="2">
        <v>29954.55</v>
      </c>
      <c r="C294" s="2">
        <v>15572.52</v>
      </c>
      <c r="D294" s="2">
        <v>192.36</v>
      </c>
      <c r="E294" s="2"/>
      <c r="F294" s="2"/>
      <c r="G294" s="2"/>
      <c r="H294" s="2"/>
      <c r="I294" s="3"/>
    </row>
    <row r="295" spans="1:9">
      <c r="A295" s="3" t="s">
        <v>1667</v>
      </c>
      <c r="B295" s="2">
        <v>29954.69</v>
      </c>
      <c r="C295" s="2">
        <v>15057.56</v>
      </c>
      <c r="D295" s="2">
        <v>198.93</v>
      </c>
      <c r="E295" s="2"/>
      <c r="F295" s="2"/>
      <c r="G295" s="2"/>
      <c r="H295" s="2"/>
      <c r="I295" s="3"/>
    </row>
    <row r="296" spans="1:9">
      <c r="A296" s="3" t="s">
        <v>1904</v>
      </c>
      <c r="B296" s="2">
        <v>32822.32</v>
      </c>
      <c r="C296" s="2">
        <v>13692.92</v>
      </c>
      <c r="D296" s="2">
        <v>239.7</v>
      </c>
      <c r="E296" s="2"/>
      <c r="F296" s="2"/>
      <c r="G296" s="2"/>
      <c r="H296" s="2"/>
      <c r="I296" s="3"/>
    </row>
    <row r="297" spans="1:9">
      <c r="A297" s="3" t="s">
        <v>1903</v>
      </c>
      <c r="B297" s="2">
        <v>32822.01</v>
      </c>
      <c r="C297" s="2">
        <v>13508.67</v>
      </c>
      <c r="D297" s="2">
        <v>242.97</v>
      </c>
      <c r="E297" s="2"/>
      <c r="F297" s="2"/>
      <c r="G297" s="2"/>
      <c r="H297" s="2"/>
      <c r="I297" s="3"/>
    </row>
    <row r="298" spans="1:9">
      <c r="A298" s="3" t="s">
        <v>1902</v>
      </c>
      <c r="B298" s="2">
        <v>32822.49</v>
      </c>
      <c r="C298" s="2">
        <v>13355.91</v>
      </c>
      <c r="D298" s="2">
        <v>245.75</v>
      </c>
      <c r="E298" s="2"/>
      <c r="F298" s="2"/>
      <c r="G298" s="2"/>
      <c r="H298" s="2"/>
      <c r="I298" s="3"/>
    </row>
    <row r="299" spans="1:9">
      <c r="A299" s="3" t="s">
        <v>1901</v>
      </c>
      <c r="B299" s="2">
        <v>32822</v>
      </c>
      <c r="C299" s="2">
        <v>13171.66</v>
      </c>
      <c r="D299" s="2">
        <v>249.19</v>
      </c>
      <c r="E299" s="2"/>
      <c r="F299" s="2"/>
      <c r="G299" s="2"/>
      <c r="H299" s="2"/>
      <c r="I299" s="3"/>
    </row>
    <row r="300" spans="1:9">
      <c r="A300" s="3" t="s">
        <v>1900</v>
      </c>
      <c r="B300" s="2">
        <v>32822.03</v>
      </c>
      <c r="C300" s="2">
        <v>15012.73</v>
      </c>
      <c r="D300" s="2">
        <v>218.63</v>
      </c>
      <c r="E300" s="2"/>
      <c r="F300" s="2"/>
      <c r="G300" s="2"/>
      <c r="H300" s="2"/>
      <c r="I300" s="3"/>
    </row>
    <row r="301" spans="1:9">
      <c r="A301" s="3" t="s">
        <v>1899</v>
      </c>
      <c r="B301" s="2">
        <v>32822.33</v>
      </c>
      <c r="C301" s="2">
        <v>14922.97</v>
      </c>
      <c r="D301" s="2">
        <v>219.95</v>
      </c>
      <c r="E301" s="2"/>
      <c r="F301" s="2"/>
      <c r="G301" s="2"/>
      <c r="H301" s="2"/>
      <c r="I301" s="3"/>
    </row>
    <row r="302" spans="1:9">
      <c r="A302" s="3" t="s">
        <v>1898</v>
      </c>
      <c r="B302" s="2">
        <v>32822.410000000003</v>
      </c>
      <c r="C302" s="2">
        <v>14738.46</v>
      </c>
      <c r="D302" s="2">
        <v>222.7</v>
      </c>
      <c r="E302" s="2"/>
      <c r="F302" s="2"/>
      <c r="G302" s="2"/>
      <c r="H302" s="2"/>
      <c r="I302" s="3"/>
    </row>
    <row r="303" spans="1:9">
      <c r="A303" s="3" t="s">
        <v>1897</v>
      </c>
      <c r="B303" s="2">
        <v>32822.120000000003</v>
      </c>
      <c r="C303" s="2">
        <v>14648.7</v>
      </c>
      <c r="D303" s="2">
        <v>224.06</v>
      </c>
      <c r="E303" s="2"/>
      <c r="F303" s="2"/>
      <c r="G303" s="2"/>
      <c r="H303" s="2"/>
      <c r="I303" s="3"/>
    </row>
    <row r="304" spans="1:9">
      <c r="A304" s="3" t="s">
        <v>1896</v>
      </c>
      <c r="B304" s="2">
        <v>32822.01</v>
      </c>
      <c r="C304" s="2">
        <v>14644.23</v>
      </c>
      <c r="D304" s="2">
        <v>224.13</v>
      </c>
      <c r="E304" s="2"/>
      <c r="F304" s="2"/>
      <c r="G304" s="2"/>
      <c r="H304" s="2"/>
      <c r="I304" s="3"/>
    </row>
    <row r="305" spans="1:9">
      <c r="A305" s="3" t="s">
        <v>1895</v>
      </c>
      <c r="B305" s="2">
        <v>32822.47</v>
      </c>
      <c r="C305" s="2">
        <v>14491.47</v>
      </c>
      <c r="D305" s="2">
        <v>226.5</v>
      </c>
      <c r="E305" s="2"/>
      <c r="F305" s="2"/>
      <c r="G305" s="2"/>
      <c r="H305" s="2"/>
      <c r="I305" s="3"/>
    </row>
    <row r="306" spans="1:9">
      <c r="A306" s="3" t="s">
        <v>1894</v>
      </c>
      <c r="B306" s="2">
        <v>32822.410000000003</v>
      </c>
      <c r="C306" s="2">
        <v>14369.96</v>
      </c>
      <c r="D306" s="2">
        <v>228.41</v>
      </c>
      <c r="E306" s="2"/>
      <c r="F306" s="2"/>
      <c r="G306" s="2"/>
      <c r="H306" s="2"/>
      <c r="I306" s="3"/>
    </row>
    <row r="307" spans="1:9">
      <c r="A307" s="3" t="s">
        <v>1893</v>
      </c>
      <c r="B307" s="2">
        <v>32822.239999999998</v>
      </c>
      <c r="C307" s="2">
        <v>14217.2</v>
      </c>
      <c r="D307" s="2">
        <v>230.86</v>
      </c>
      <c r="E307" s="2"/>
      <c r="F307" s="2"/>
      <c r="G307" s="2"/>
      <c r="H307" s="2"/>
      <c r="I307" s="3"/>
    </row>
    <row r="308" spans="1:9">
      <c r="A308" s="3" t="s">
        <v>1892</v>
      </c>
      <c r="B308" s="2">
        <v>32822.1</v>
      </c>
      <c r="C308" s="2">
        <v>16278.28</v>
      </c>
      <c r="D308" s="2">
        <v>201.63</v>
      </c>
      <c r="E308" s="2"/>
      <c r="F308" s="2"/>
      <c r="G308" s="2"/>
      <c r="H308" s="2"/>
      <c r="I308" s="3"/>
    </row>
    <row r="309" spans="1:9">
      <c r="A309" s="3" t="s">
        <v>1891</v>
      </c>
      <c r="B309" s="2">
        <v>32822.11</v>
      </c>
      <c r="C309" s="2">
        <v>16116.76</v>
      </c>
      <c r="D309" s="2">
        <v>203.65</v>
      </c>
      <c r="E309" s="2"/>
      <c r="F309" s="2"/>
      <c r="G309" s="2"/>
      <c r="H309" s="2"/>
      <c r="I309" s="3"/>
    </row>
    <row r="310" spans="1:9">
      <c r="A310" s="3" t="s">
        <v>1890</v>
      </c>
      <c r="B310" s="2">
        <v>32822.46</v>
      </c>
      <c r="C310" s="2">
        <v>16123.29</v>
      </c>
      <c r="D310" s="2">
        <v>203.57</v>
      </c>
      <c r="E310" s="2"/>
      <c r="F310" s="2"/>
      <c r="G310" s="2"/>
      <c r="H310" s="2"/>
      <c r="I310" s="3"/>
    </row>
    <row r="311" spans="1:9">
      <c r="A311" s="3" t="s">
        <v>1889</v>
      </c>
      <c r="B311" s="2">
        <v>32822.49</v>
      </c>
      <c r="C311" s="2">
        <v>15871.75</v>
      </c>
      <c r="D311" s="2">
        <v>206.8</v>
      </c>
      <c r="E311" s="2"/>
      <c r="F311" s="2"/>
      <c r="G311" s="2"/>
      <c r="H311" s="2"/>
      <c r="I311" s="3"/>
    </row>
    <row r="312" spans="1:9">
      <c r="A312" s="3" t="s">
        <v>1888</v>
      </c>
      <c r="B312" s="2">
        <v>32822.080000000002</v>
      </c>
      <c r="C312" s="2">
        <v>15358.28</v>
      </c>
      <c r="D312" s="2">
        <v>213.71</v>
      </c>
      <c r="E312" s="2"/>
      <c r="F312" s="2"/>
      <c r="G312" s="2"/>
      <c r="H312" s="2"/>
      <c r="I312" s="3"/>
    </row>
    <row r="313" spans="1:9">
      <c r="A313" s="3" t="s">
        <v>1887</v>
      </c>
      <c r="B313" s="2">
        <v>32822.339999999997</v>
      </c>
      <c r="C313" s="2">
        <v>13987.41</v>
      </c>
      <c r="D313" s="2">
        <v>234.66</v>
      </c>
      <c r="E313" s="2"/>
      <c r="F313" s="2"/>
      <c r="G313" s="2"/>
      <c r="H313" s="2"/>
      <c r="I313" s="3"/>
    </row>
    <row r="314" spans="1:9">
      <c r="A314" s="3" t="s">
        <v>1886</v>
      </c>
      <c r="B314" s="2">
        <v>32822.01</v>
      </c>
      <c r="C314" s="2">
        <v>15203.29</v>
      </c>
      <c r="D314" s="2">
        <v>215.89</v>
      </c>
      <c r="E314" s="2"/>
      <c r="F314" s="2"/>
      <c r="G314" s="2"/>
      <c r="H314" s="2"/>
      <c r="I314" s="3"/>
    </row>
    <row r="315" spans="1:9">
      <c r="A315" s="3" t="s">
        <v>1885</v>
      </c>
      <c r="B315" s="2">
        <v>32822.230000000003</v>
      </c>
      <c r="C315" s="2">
        <v>13803.15</v>
      </c>
      <c r="D315" s="2">
        <v>237.79</v>
      </c>
      <c r="E315" s="2"/>
      <c r="F315" s="2"/>
      <c r="G315" s="2"/>
      <c r="H315" s="2"/>
      <c r="I315" s="3"/>
    </row>
    <row r="316" spans="1:9">
      <c r="A316" s="3" t="s">
        <v>776</v>
      </c>
      <c r="B316" s="2">
        <v>7573.89</v>
      </c>
      <c r="C316" s="2">
        <v>4196.0600000000004</v>
      </c>
      <c r="D316" s="2">
        <v>180.5</v>
      </c>
      <c r="E316" s="2"/>
      <c r="F316" s="2"/>
      <c r="G316" s="2"/>
      <c r="H316" s="2"/>
      <c r="I316" s="3"/>
    </row>
    <row r="317" spans="1:9">
      <c r="A317" s="3" t="s">
        <v>774</v>
      </c>
      <c r="B317" s="2">
        <v>7573.69</v>
      </c>
      <c r="C317" s="2">
        <v>4011.81</v>
      </c>
      <c r="D317" s="2">
        <v>188.78</v>
      </c>
      <c r="E317" s="2"/>
      <c r="F317" s="2"/>
      <c r="G317" s="2"/>
      <c r="H317" s="2"/>
      <c r="I317" s="3"/>
    </row>
    <row r="318" spans="1:9">
      <c r="A318" s="3" t="s">
        <v>772</v>
      </c>
      <c r="B318" s="2">
        <v>7573.64</v>
      </c>
      <c r="C318" s="2">
        <v>3843.3</v>
      </c>
      <c r="D318" s="2">
        <v>197.06</v>
      </c>
      <c r="E318" s="2"/>
      <c r="F318" s="2"/>
      <c r="G318" s="2"/>
      <c r="H318" s="2"/>
      <c r="I318" s="3"/>
    </row>
    <row r="319" spans="1:9">
      <c r="A319" s="3" t="s">
        <v>770</v>
      </c>
      <c r="B319" s="2">
        <v>7573.03</v>
      </c>
      <c r="C319" s="2">
        <v>3659.05</v>
      </c>
      <c r="D319" s="2">
        <v>206.97</v>
      </c>
      <c r="E319" s="2"/>
      <c r="F319" s="2"/>
      <c r="G319" s="2"/>
      <c r="H319" s="2"/>
      <c r="I319" s="3"/>
    </row>
    <row r="320" spans="1:9">
      <c r="A320" s="3" t="s">
        <v>768</v>
      </c>
      <c r="B320" s="2">
        <v>7573.02</v>
      </c>
      <c r="C320" s="2">
        <v>3490.55</v>
      </c>
      <c r="D320" s="2">
        <v>216.96</v>
      </c>
      <c r="E320" s="2"/>
      <c r="F320" s="2"/>
      <c r="G320" s="2"/>
      <c r="H320" s="2"/>
      <c r="I320" s="3"/>
    </row>
    <row r="321" spans="1:9">
      <c r="A321" s="3" t="s">
        <v>766</v>
      </c>
      <c r="B321" s="2">
        <v>7573.86</v>
      </c>
      <c r="C321" s="2">
        <v>3325.99</v>
      </c>
      <c r="D321" s="2">
        <v>227.72</v>
      </c>
      <c r="E321" s="2"/>
      <c r="F321" s="2"/>
      <c r="G321" s="2"/>
      <c r="H321" s="2"/>
      <c r="I321" s="3"/>
    </row>
    <row r="322" spans="1:9">
      <c r="A322" s="3" t="s">
        <v>764</v>
      </c>
      <c r="B322" s="2">
        <v>7573.42</v>
      </c>
      <c r="C322" s="2">
        <v>3494.49</v>
      </c>
      <c r="D322" s="2">
        <v>216.72</v>
      </c>
      <c r="E322" s="2"/>
      <c r="F322" s="2"/>
      <c r="G322" s="2"/>
      <c r="H322" s="2"/>
      <c r="I322" s="3"/>
    </row>
    <row r="323" spans="1:9">
      <c r="A323" s="3" t="s">
        <v>762</v>
      </c>
      <c r="B323" s="2">
        <v>7573.3</v>
      </c>
      <c r="C323" s="2">
        <v>3678.74</v>
      </c>
      <c r="D323" s="2">
        <v>205.87</v>
      </c>
      <c r="E323" s="2"/>
      <c r="F323" s="2"/>
      <c r="G323" s="2"/>
      <c r="H323" s="2"/>
      <c r="I323" s="3"/>
    </row>
    <row r="324" spans="1:9">
      <c r="A324" s="3" t="s">
        <v>760</v>
      </c>
      <c r="B324" s="2">
        <v>7573.06</v>
      </c>
      <c r="C324" s="2">
        <v>7698.42</v>
      </c>
      <c r="D324" s="2">
        <v>98.37</v>
      </c>
    </row>
    <row r="325" spans="1:9">
      <c r="A325" s="3" t="s">
        <v>758</v>
      </c>
      <c r="B325" s="2">
        <v>7573.95</v>
      </c>
      <c r="C325" s="2">
        <v>7882.67</v>
      </c>
      <c r="D325" s="2">
        <v>96.08</v>
      </c>
    </row>
    <row r="326" spans="1:9">
      <c r="A326" s="3" t="s">
        <v>756</v>
      </c>
      <c r="B326" s="2">
        <v>7573.03</v>
      </c>
      <c r="C326" s="2">
        <v>8051.18</v>
      </c>
      <c r="D326" s="2">
        <v>94.06</v>
      </c>
    </row>
    <row r="327" spans="1:9">
      <c r="A327" s="3" t="s">
        <v>754</v>
      </c>
      <c r="B327" s="2">
        <v>7573.94</v>
      </c>
      <c r="C327" s="2">
        <v>8235.43</v>
      </c>
      <c r="D327" s="2">
        <v>91.97</v>
      </c>
    </row>
    <row r="328" spans="1:9">
      <c r="A328" s="3" t="s">
        <v>752</v>
      </c>
      <c r="B328" s="2">
        <v>7573.31</v>
      </c>
      <c r="C328" s="2">
        <v>8403.93</v>
      </c>
      <c r="D328" s="2">
        <v>90.12</v>
      </c>
    </row>
    <row r="329" spans="1:9">
      <c r="A329" s="3" t="s">
        <v>750</v>
      </c>
      <c r="B329" s="2">
        <v>7573.82</v>
      </c>
      <c r="C329" s="2">
        <v>8588.19</v>
      </c>
      <c r="D329" s="2">
        <v>88.19</v>
      </c>
    </row>
    <row r="330" spans="1:9">
      <c r="A330" s="3" t="s">
        <v>748</v>
      </c>
      <c r="B330" s="2">
        <v>7573.7</v>
      </c>
      <c r="C330" s="2">
        <v>8756.69</v>
      </c>
      <c r="D330" s="2">
        <v>86.49</v>
      </c>
    </row>
    <row r="331" spans="1:9">
      <c r="A331" s="3" t="s">
        <v>746</v>
      </c>
      <c r="B331" s="2">
        <v>7573.11</v>
      </c>
      <c r="C331" s="2">
        <v>8940.94</v>
      </c>
      <c r="D331" s="2">
        <v>84.7</v>
      </c>
    </row>
    <row r="332" spans="1:9">
      <c r="A332" s="3" t="s">
        <v>744</v>
      </c>
      <c r="B332" s="2">
        <v>7573.5</v>
      </c>
      <c r="C332" s="2">
        <v>6846.46</v>
      </c>
      <c r="D332" s="2">
        <v>110.62</v>
      </c>
    </row>
    <row r="333" spans="1:9">
      <c r="A333" s="3" t="s">
        <v>742</v>
      </c>
      <c r="B333" s="2">
        <v>7573.18</v>
      </c>
      <c r="C333" s="2">
        <v>6662.21</v>
      </c>
      <c r="D333" s="2">
        <v>113.67</v>
      </c>
    </row>
    <row r="334" spans="1:9">
      <c r="A334" s="3" t="s">
        <v>740</v>
      </c>
      <c r="B334" s="2">
        <v>7573.36</v>
      </c>
      <c r="C334" s="2">
        <v>6493.7</v>
      </c>
      <c r="D334" s="2">
        <v>116.63</v>
      </c>
    </row>
    <row r="335" spans="1:9">
      <c r="A335" s="3" t="s">
        <v>738</v>
      </c>
      <c r="B335" s="2">
        <v>7573.17</v>
      </c>
      <c r="C335" s="2">
        <v>6309.45</v>
      </c>
      <c r="D335" s="2">
        <v>120.03</v>
      </c>
    </row>
    <row r="336" spans="1:9">
      <c r="A336" s="3" t="s">
        <v>736</v>
      </c>
      <c r="B336" s="2">
        <v>7573.08</v>
      </c>
      <c r="C336" s="2">
        <v>6140.95</v>
      </c>
      <c r="D336" s="2">
        <v>123.32</v>
      </c>
    </row>
    <row r="337" spans="1:4">
      <c r="A337" s="3" t="s">
        <v>734</v>
      </c>
      <c r="B337" s="2">
        <v>7573.83</v>
      </c>
      <c r="C337" s="2">
        <v>5956.69</v>
      </c>
      <c r="D337" s="2">
        <v>127.15</v>
      </c>
    </row>
    <row r="338" spans="1:4">
      <c r="A338" s="3" t="s">
        <v>732</v>
      </c>
      <c r="B338" s="2">
        <v>7573.05</v>
      </c>
      <c r="C338" s="2">
        <v>5788.19</v>
      </c>
      <c r="D338" s="2">
        <v>130.84</v>
      </c>
    </row>
    <row r="339" spans="1:4">
      <c r="A339" s="3" t="s">
        <v>730</v>
      </c>
      <c r="B339" s="2">
        <v>7573.86</v>
      </c>
      <c r="C339" s="2">
        <v>5603.94</v>
      </c>
      <c r="D339" s="2">
        <v>135.15</v>
      </c>
    </row>
    <row r="340" spans="1:4">
      <c r="A340" s="3" t="s">
        <v>728</v>
      </c>
      <c r="B340" s="2">
        <v>7574</v>
      </c>
      <c r="C340" s="2">
        <v>6308.66</v>
      </c>
      <c r="D340" s="2">
        <v>120.06</v>
      </c>
    </row>
    <row r="341" spans="1:4">
      <c r="A341" s="3" t="s">
        <v>726</v>
      </c>
      <c r="B341" s="2">
        <v>7573.01</v>
      </c>
      <c r="C341" s="2">
        <v>6124.41</v>
      </c>
      <c r="D341" s="2">
        <v>123.65</v>
      </c>
    </row>
    <row r="342" spans="1:4">
      <c r="A342" s="3" t="s">
        <v>724</v>
      </c>
      <c r="B342" s="2">
        <v>7573.48</v>
      </c>
      <c r="C342" s="2">
        <v>5955.9</v>
      </c>
      <c r="D342" s="2">
        <v>127.16</v>
      </c>
    </row>
    <row r="343" spans="1:4">
      <c r="A343" s="3" t="s">
        <v>722</v>
      </c>
      <c r="B343" s="2">
        <v>7573.02</v>
      </c>
      <c r="C343" s="2">
        <v>5771.65</v>
      </c>
      <c r="D343" s="2">
        <v>131.21</v>
      </c>
    </row>
    <row r="344" spans="1:4">
      <c r="A344" s="3" t="s">
        <v>720</v>
      </c>
      <c r="B344" s="2">
        <v>7573.06</v>
      </c>
      <c r="C344" s="2">
        <v>5753.53</v>
      </c>
      <c r="D344" s="2">
        <v>131.62</v>
      </c>
    </row>
    <row r="345" spans="1:4">
      <c r="A345" s="3" t="s">
        <v>718</v>
      </c>
      <c r="B345" s="2">
        <v>7573.62</v>
      </c>
      <c r="C345" s="2">
        <v>5937.79</v>
      </c>
      <c r="D345" s="2">
        <v>127.55</v>
      </c>
    </row>
    <row r="346" spans="1:4">
      <c r="A346" s="3" t="s">
        <v>716</v>
      </c>
      <c r="B346" s="2">
        <v>7573.1</v>
      </c>
      <c r="C346" s="2">
        <v>6106.29</v>
      </c>
      <c r="D346" s="2">
        <v>124.02</v>
      </c>
    </row>
    <row r="347" spans="1:4">
      <c r="A347" s="3" t="s">
        <v>714</v>
      </c>
      <c r="B347" s="2">
        <v>7573.15</v>
      </c>
      <c r="C347" s="2">
        <v>6290.54</v>
      </c>
      <c r="D347" s="2">
        <v>120.39</v>
      </c>
    </row>
    <row r="348" spans="1:4">
      <c r="A348" s="3" t="s">
        <v>973</v>
      </c>
      <c r="B348" s="2">
        <v>19111.47</v>
      </c>
      <c r="C348" s="2">
        <v>488287.38</v>
      </c>
      <c r="D348" s="2">
        <v>3.91</v>
      </c>
    </row>
    <row r="349" spans="1:4">
      <c r="A349" s="3" t="s">
        <v>974</v>
      </c>
      <c r="B349" s="2">
        <v>0</v>
      </c>
      <c r="C349" s="2">
        <v>245.81</v>
      </c>
      <c r="D349" s="2">
        <v>0</v>
      </c>
    </row>
    <row r="350" spans="1:4">
      <c r="A350" s="3" t="s">
        <v>975</v>
      </c>
      <c r="B350" s="2">
        <v>0</v>
      </c>
      <c r="C350" s="2">
        <v>230.31</v>
      </c>
      <c r="D350" s="2">
        <v>0</v>
      </c>
    </row>
    <row r="351" spans="1:4">
      <c r="A351" s="3" t="s">
        <v>976</v>
      </c>
      <c r="B351" s="2">
        <v>0</v>
      </c>
      <c r="C351" s="2">
        <v>219.31</v>
      </c>
      <c r="D351" s="2">
        <v>0</v>
      </c>
    </row>
    <row r="352" spans="1:4">
      <c r="A352" s="3" t="s">
        <v>977</v>
      </c>
      <c r="B352" s="2">
        <v>0</v>
      </c>
      <c r="C352" s="2">
        <v>249.51</v>
      </c>
      <c r="D352" s="2">
        <v>0</v>
      </c>
    </row>
    <row r="353" spans="1:4">
      <c r="A353" s="3" t="s">
        <v>978</v>
      </c>
      <c r="B353" s="2">
        <v>0</v>
      </c>
      <c r="C353" s="2">
        <v>42.91</v>
      </c>
      <c r="D353" s="2">
        <v>0</v>
      </c>
    </row>
    <row r="354" spans="1:4">
      <c r="A354" s="3" t="s">
        <v>979</v>
      </c>
      <c r="B354" s="2">
        <v>0</v>
      </c>
      <c r="C354" s="2">
        <v>87.13</v>
      </c>
      <c r="D354" s="2">
        <v>0</v>
      </c>
    </row>
    <row r="355" spans="1:4">
      <c r="A355" s="3" t="s">
        <v>980</v>
      </c>
      <c r="B355" s="2">
        <v>0</v>
      </c>
      <c r="C355" s="2">
        <v>80.31</v>
      </c>
      <c r="D355" s="2">
        <v>0</v>
      </c>
    </row>
    <row r="356" spans="1:4">
      <c r="A356" s="3" t="s">
        <v>981</v>
      </c>
      <c r="B356" s="2">
        <v>0</v>
      </c>
      <c r="C356" s="2">
        <v>80.31</v>
      </c>
      <c r="D356" s="2">
        <v>0</v>
      </c>
    </row>
    <row r="357" spans="1:4">
      <c r="A357" s="3" t="s">
        <v>982</v>
      </c>
      <c r="B357" s="2">
        <v>0</v>
      </c>
      <c r="C357" s="2">
        <v>92.87</v>
      </c>
      <c r="D357" s="2">
        <v>0</v>
      </c>
    </row>
    <row r="358" spans="1:4">
      <c r="A358" s="3" t="s">
        <v>983</v>
      </c>
      <c r="B358" s="2">
        <v>0</v>
      </c>
      <c r="C358" s="2">
        <v>330.29</v>
      </c>
      <c r="D358" s="2">
        <v>0</v>
      </c>
    </row>
    <row r="359" spans="1:4">
      <c r="A359" s="3" t="s">
        <v>984</v>
      </c>
      <c r="B359" s="2">
        <v>0</v>
      </c>
      <c r="C359" s="2">
        <v>92.87</v>
      </c>
      <c r="D359" s="2">
        <v>0</v>
      </c>
    </row>
    <row r="360" spans="1:4">
      <c r="A360" s="3" t="s">
        <v>985</v>
      </c>
      <c r="B360" s="2">
        <v>0</v>
      </c>
      <c r="C360" s="2">
        <v>330</v>
      </c>
      <c r="D360" s="2">
        <v>0</v>
      </c>
    </row>
    <row r="361" spans="1:4">
      <c r="A361" s="3" t="s">
        <v>986</v>
      </c>
      <c r="B361" s="2">
        <v>0</v>
      </c>
      <c r="C361" s="2">
        <v>80.31</v>
      </c>
      <c r="D361" s="2">
        <v>0</v>
      </c>
    </row>
    <row r="362" spans="1:4">
      <c r="A362" s="3" t="s">
        <v>987</v>
      </c>
      <c r="B362" s="2">
        <v>0</v>
      </c>
      <c r="C362" s="2">
        <v>91.54</v>
      </c>
      <c r="D362" s="2">
        <v>0</v>
      </c>
    </row>
    <row r="363" spans="1:4">
      <c r="A363" s="3" t="s">
        <v>988</v>
      </c>
      <c r="B363" s="2">
        <v>0</v>
      </c>
      <c r="C363" s="2">
        <v>291.54000000000002</v>
      </c>
      <c r="D363" s="2">
        <v>0</v>
      </c>
    </row>
    <row r="364" spans="1:4">
      <c r="A364" s="3" t="s">
        <v>989</v>
      </c>
      <c r="B364" s="2">
        <v>0</v>
      </c>
      <c r="C364" s="2">
        <v>91.54</v>
      </c>
      <c r="D364" s="2">
        <v>0</v>
      </c>
    </row>
    <row r="365" spans="1:4">
      <c r="A365" s="3" t="s">
        <v>990</v>
      </c>
      <c r="B365" s="2">
        <v>0</v>
      </c>
      <c r="C365" s="2">
        <v>91.54</v>
      </c>
      <c r="D365" s="2">
        <v>0</v>
      </c>
    </row>
    <row r="366" spans="1:4">
      <c r="A366" s="3" t="s">
        <v>991</v>
      </c>
      <c r="B366" s="2">
        <v>0</v>
      </c>
      <c r="C366" s="2">
        <v>91.54</v>
      </c>
      <c r="D366" s="2">
        <v>0</v>
      </c>
    </row>
    <row r="367" spans="1:4">
      <c r="A367" s="3" t="s">
        <v>992</v>
      </c>
      <c r="B367" s="2">
        <v>0</v>
      </c>
      <c r="C367" s="2">
        <v>91.54</v>
      </c>
      <c r="D367" s="2">
        <v>0</v>
      </c>
    </row>
    <row r="368" spans="1:4">
      <c r="A368" s="3" t="s">
        <v>993</v>
      </c>
      <c r="B368" s="2">
        <v>0</v>
      </c>
      <c r="C368" s="2">
        <v>91.54</v>
      </c>
      <c r="D368" s="2">
        <v>0</v>
      </c>
    </row>
    <row r="369" spans="1:4">
      <c r="A369" s="3" t="s">
        <v>994</v>
      </c>
      <c r="B369" s="2">
        <v>0</v>
      </c>
      <c r="C369" s="2">
        <v>91.54</v>
      </c>
      <c r="D369" s="2">
        <v>0</v>
      </c>
    </row>
    <row r="370" spans="1:4">
      <c r="A370" s="3" t="s">
        <v>995</v>
      </c>
      <c r="B370" s="2">
        <v>0</v>
      </c>
      <c r="C370" s="2">
        <v>91.54</v>
      </c>
      <c r="D370" s="2">
        <v>0</v>
      </c>
    </row>
    <row r="371" spans="1:4">
      <c r="A371" s="3" t="s">
        <v>996</v>
      </c>
      <c r="B371" s="2">
        <v>0</v>
      </c>
      <c r="C371" s="2">
        <v>91.54</v>
      </c>
      <c r="D371" s="2">
        <v>0</v>
      </c>
    </row>
    <row r="372" spans="1:4">
      <c r="A372" s="3" t="s">
        <v>997</v>
      </c>
      <c r="B372" s="2">
        <v>0</v>
      </c>
      <c r="C372" s="2">
        <v>91.54</v>
      </c>
      <c r="D372" s="2">
        <v>0</v>
      </c>
    </row>
    <row r="373" spans="1:4">
      <c r="A373" s="3" t="s">
        <v>998</v>
      </c>
      <c r="B373" s="2">
        <v>0</v>
      </c>
      <c r="C373" s="2">
        <v>91.54</v>
      </c>
      <c r="D373" s="2">
        <v>0</v>
      </c>
    </row>
    <row r="374" spans="1:4">
      <c r="A374" s="3" t="s">
        <v>999</v>
      </c>
      <c r="B374" s="2">
        <v>117.7</v>
      </c>
      <c r="C374" s="2">
        <v>128.58000000000001</v>
      </c>
      <c r="D374" s="2">
        <v>91.54</v>
      </c>
    </row>
    <row r="375" spans="1:4">
      <c r="A375" s="3" t="s">
        <v>1000</v>
      </c>
      <c r="B375" s="2">
        <v>117.7</v>
      </c>
      <c r="C375" s="2">
        <v>128.58000000000001</v>
      </c>
      <c r="D375" s="2">
        <v>91.54</v>
      </c>
    </row>
    <row r="376" spans="1:4">
      <c r="A376" s="3" t="s">
        <v>1001</v>
      </c>
      <c r="B376" s="2">
        <v>117.7</v>
      </c>
      <c r="C376" s="2">
        <v>128.58000000000001</v>
      </c>
      <c r="D376" s="2">
        <v>91.54</v>
      </c>
    </row>
    <row r="377" spans="1:4">
      <c r="A377" s="3" t="s">
        <v>1002</v>
      </c>
      <c r="B377" s="2">
        <v>117.7</v>
      </c>
      <c r="C377" s="2">
        <v>128.58000000000001</v>
      </c>
      <c r="D377" s="2">
        <v>91.54</v>
      </c>
    </row>
    <row r="378" spans="1:4">
      <c r="A378" s="3" t="s">
        <v>1003</v>
      </c>
      <c r="B378" s="2">
        <v>117.7</v>
      </c>
      <c r="C378" s="2">
        <v>128.58000000000001</v>
      </c>
      <c r="D378" s="2">
        <v>91.54</v>
      </c>
    </row>
    <row r="379" spans="1:4">
      <c r="A379" s="3" t="s">
        <v>1004</v>
      </c>
      <c r="B379" s="2">
        <v>117.7</v>
      </c>
      <c r="C379" s="2">
        <v>128.58000000000001</v>
      </c>
      <c r="D379" s="2">
        <v>91.54</v>
      </c>
    </row>
    <row r="380" spans="1:4">
      <c r="A380" s="3" t="s">
        <v>1005</v>
      </c>
      <c r="B380" s="2">
        <v>117.7</v>
      </c>
      <c r="C380" s="2">
        <v>128.58000000000001</v>
      </c>
      <c r="D380" s="2">
        <v>91.54</v>
      </c>
    </row>
    <row r="381" spans="1:4">
      <c r="A381" s="3" t="s">
        <v>1006</v>
      </c>
      <c r="B381" s="2">
        <v>117.7</v>
      </c>
      <c r="C381" s="2">
        <v>128.58000000000001</v>
      </c>
      <c r="D381" s="2">
        <v>91.54</v>
      </c>
    </row>
    <row r="382" spans="1:4">
      <c r="A382" s="3" t="s">
        <v>1007</v>
      </c>
      <c r="B382" s="2">
        <v>117.7</v>
      </c>
      <c r="C382" s="2">
        <v>128.58000000000001</v>
      </c>
      <c r="D382" s="2">
        <v>91.54</v>
      </c>
    </row>
    <row r="383" spans="1:4">
      <c r="A383" s="3" t="s">
        <v>1008</v>
      </c>
      <c r="B383" s="2">
        <v>117.7</v>
      </c>
      <c r="C383" s="2">
        <v>128.58000000000001</v>
      </c>
      <c r="D383" s="2">
        <v>91.54</v>
      </c>
    </row>
    <row r="384" spans="1:4">
      <c r="A384" s="3" t="s">
        <v>1009</v>
      </c>
      <c r="B384" s="2">
        <v>117.7</v>
      </c>
      <c r="C384" s="2">
        <v>128.58000000000001</v>
      </c>
      <c r="D384" s="2">
        <v>91.54</v>
      </c>
    </row>
    <row r="385" spans="1:4">
      <c r="A385" s="3" t="s">
        <v>1010</v>
      </c>
      <c r="B385" s="2">
        <v>117.7</v>
      </c>
      <c r="C385" s="2">
        <v>128.58000000000001</v>
      </c>
      <c r="D385" s="2">
        <v>91.54</v>
      </c>
    </row>
    <row r="386" spans="1:4">
      <c r="A386" s="3" t="s">
        <v>1011</v>
      </c>
      <c r="B386" s="2">
        <v>117.7</v>
      </c>
      <c r="C386" s="2">
        <v>128.58000000000001</v>
      </c>
      <c r="D386" s="2">
        <v>91.54</v>
      </c>
    </row>
    <row r="387" spans="1:4">
      <c r="A387" s="3" t="s">
        <v>1012</v>
      </c>
      <c r="B387" s="2">
        <v>117.7</v>
      </c>
      <c r="C387" s="2">
        <v>128.58000000000001</v>
      </c>
      <c r="D387" s="2">
        <v>91.54</v>
      </c>
    </row>
    <row r="388" spans="1:4">
      <c r="A388" s="3" t="s">
        <v>1013</v>
      </c>
      <c r="B388" s="2">
        <v>117.7</v>
      </c>
      <c r="C388" s="2">
        <v>128.58000000000001</v>
      </c>
      <c r="D388" s="2">
        <v>91.54</v>
      </c>
    </row>
    <row r="389" spans="1:4">
      <c r="A389" s="3" t="s">
        <v>1014</v>
      </c>
      <c r="B389" s="2">
        <v>117.7</v>
      </c>
      <c r="C389" s="2">
        <v>128.58000000000001</v>
      </c>
      <c r="D389" s="2">
        <v>91.54</v>
      </c>
    </row>
    <row r="390" spans="1:4">
      <c r="A390" s="3" t="s">
        <v>1015</v>
      </c>
      <c r="B390" s="2">
        <v>117.7</v>
      </c>
      <c r="C390" s="2">
        <v>128.58000000000001</v>
      </c>
      <c r="D390" s="2">
        <v>91.54</v>
      </c>
    </row>
    <row r="391" spans="1:4">
      <c r="A391" s="3" t="s">
        <v>1016</v>
      </c>
      <c r="B391" s="2">
        <v>117.7</v>
      </c>
      <c r="C391" s="2">
        <v>128.58000000000001</v>
      </c>
      <c r="D391" s="2">
        <v>91.54</v>
      </c>
    </row>
    <row r="392" spans="1:4">
      <c r="A392" s="3" t="s">
        <v>1017</v>
      </c>
      <c r="B392" s="2">
        <v>117.7</v>
      </c>
      <c r="C392" s="2">
        <v>128.58000000000001</v>
      </c>
      <c r="D392" s="2">
        <v>91.54</v>
      </c>
    </row>
    <row r="393" spans="1:4">
      <c r="A393" s="3" t="s">
        <v>1018</v>
      </c>
      <c r="B393" s="2">
        <v>117.7</v>
      </c>
      <c r="C393" s="2">
        <v>128.58000000000001</v>
      </c>
      <c r="D393" s="2">
        <v>91.54</v>
      </c>
    </row>
    <row r="394" spans="1:4">
      <c r="A394" s="3" t="s">
        <v>1019</v>
      </c>
      <c r="B394" s="2">
        <v>117.7</v>
      </c>
      <c r="C394" s="2">
        <v>128.58000000000001</v>
      </c>
      <c r="D394" s="2">
        <v>91.54</v>
      </c>
    </row>
    <row r="395" spans="1:4">
      <c r="A395" s="3" t="s">
        <v>1020</v>
      </c>
      <c r="B395" s="2">
        <v>117.7</v>
      </c>
      <c r="C395" s="2">
        <v>128.58000000000001</v>
      </c>
      <c r="D395" s="2">
        <v>91.54</v>
      </c>
    </row>
    <row r="396" spans="1:4">
      <c r="A396" s="3" t="s">
        <v>1021</v>
      </c>
      <c r="B396" s="2">
        <v>117.7</v>
      </c>
      <c r="C396" s="2">
        <v>128.58000000000001</v>
      </c>
      <c r="D396" s="2">
        <v>91.54</v>
      </c>
    </row>
    <row r="397" spans="1:4">
      <c r="A397" s="3" t="s">
        <v>1022</v>
      </c>
      <c r="B397" s="2">
        <v>117.7</v>
      </c>
      <c r="C397" s="2">
        <v>128.58000000000001</v>
      </c>
      <c r="D397" s="2">
        <v>91.54</v>
      </c>
    </row>
    <row r="398" spans="1:4">
      <c r="A398" s="3" t="s">
        <v>1023</v>
      </c>
      <c r="B398" s="2">
        <v>0</v>
      </c>
      <c r="C398" s="2">
        <v>439.84</v>
      </c>
      <c r="D398" s="2">
        <v>0</v>
      </c>
    </row>
    <row r="399" spans="1:4">
      <c r="A399" s="3" t="s">
        <v>1024</v>
      </c>
      <c r="B399" s="2">
        <v>0</v>
      </c>
      <c r="C399" s="2">
        <v>90.31</v>
      </c>
      <c r="D399" s="2">
        <v>0</v>
      </c>
    </row>
    <row r="400" spans="1:4">
      <c r="A400" s="3" t="s">
        <v>1025</v>
      </c>
      <c r="B400" s="2">
        <v>117.7</v>
      </c>
      <c r="C400" s="2">
        <v>128.58000000000001</v>
      </c>
      <c r="D400" s="2">
        <v>91.54</v>
      </c>
    </row>
    <row r="401" spans="1:4">
      <c r="A401" s="3" t="s">
        <v>1026</v>
      </c>
      <c r="B401" s="2">
        <v>117.7</v>
      </c>
      <c r="C401" s="2">
        <v>128.58000000000001</v>
      </c>
      <c r="D401" s="2">
        <v>91.54</v>
      </c>
    </row>
    <row r="402" spans="1:4">
      <c r="A402" s="3" t="s">
        <v>1027</v>
      </c>
      <c r="B402" s="2">
        <v>117.7</v>
      </c>
      <c r="C402" s="2">
        <v>128.58000000000001</v>
      </c>
      <c r="D402" s="2">
        <v>91.54</v>
      </c>
    </row>
    <row r="403" spans="1:4">
      <c r="A403" s="3" t="s">
        <v>1028</v>
      </c>
      <c r="B403" s="2">
        <v>117.7</v>
      </c>
      <c r="C403" s="2">
        <v>128.58000000000001</v>
      </c>
      <c r="D403" s="2">
        <v>91.54</v>
      </c>
    </row>
    <row r="404" spans="1:4">
      <c r="A404" s="3" t="s">
        <v>1029</v>
      </c>
      <c r="B404" s="2">
        <v>117.7</v>
      </c>
      <c r="C404" s="2">
        <v>128.58000000000001</v>
      </c>
      <c r="D404" s="2">
        <v>91.54</v>
      </c>
    </row>
    <row r="405" spans="1:4">
      <c r="A405" s="3" t="s">
        <v>1030</v>
      </c>
      <c r="B405" s="2">
        <v>117.7</v>
      </c>
      <c r="C405" s="2">
        <v>128.58000000000001</v>
      </c>
      <c r="D405" s="2">
        <v>91.54</v>
      </c>
    </row>
    <row r="406" spans="1:4">
      <c r="A406" s="3" t="s">
        <v>1031</v>
      </c>
      <c r="B406" s="2">
        <v>117.7</v>
      </c>
      <c r="C406" s="2">
        <v>128.58000000000001</v>
      </c>
      <c r="D406" s="2">
        <v>91.54</v>
      </c>
    </row>
    <row r="407" spans="1:4">
      <c r="A407" s="3" t="s">
        <v>1032</v>
      </c>
      <c r="B407" s="2">
        <v>117.7</v>
      </c>
      <c r="C407" s="2">
        <v>128.58000000000001</v>
      </c>
      <c r="D407" s="2">
        <v>91.54</v>
      </c>
    </row>
    <row r="408" spans="1:4">
      <c r="A408" s="3" t="s">
        <v>1033</v>
      </c>
      <c r="B408" s="2">
        <v>117.7</v>
      </c>
      <c r="C408" s="2">
        <v>128.58000000000001</v>
      </c>
      <c r="D408" s="2">
        <v>91.54</v>
      </c>
    </row>
    <row r="409" spans="1:4">
      <c r="A409" s="3" t="s">
        <v>1034</v>
      </c>
      <c r="B409" s="2">
        <v>117.7</v>
      </c>
      <c r="C409" s="2">
        <v>128.58000000000001</v>
      </c>
      <c r="D409" s="2">
        <v>91.54</v>
      </c>
    </row>
    <row r="410" spans="1:4">
      <c r="A410" s="3" t="s">
        <v>1035</v>
      </c>
      <c r="B410" s="2">
        <v>117.7</v>
      </c>
      <c r="C410" s="2">
        <v>128.58000000000001</v>
      </c>
      <c r="D410" s="2">
        <v>91.54</v>
      </c>
    </row>
    <row r="411" spans="1:4">
      <c r="A411" s="3" t="s">
        <v>1036</v>
      </c>
      <c r="B411" s="2">
        <v>117.7</v>
      </c>
      <c r="C411" s="2">
        <v>128.58000000000001</v>
      </c>
      <c r="D411" s="2">
        <v>91.54</v>
      </c>
    </row>
    <row r="412" spans="1:4">
      <c r="A412" s="3" t="s">
        <v>1037</v>
      </c>
      <c r="B412" s="2">
        <v>117.7</v>
      </c>
      <c r="C412" s="2">
        <v>128.58000000000001</v>
      </c>
      <c r="D412" s="2">
        <v>91.54</v>
      </c>
    </row>
    <row r="413" spans="1:4">
      <c r="A413" s="3" t="s">
        <v>1038</v>
      </c>
      <c r="B413" s="2">
        <v>117.7</v>
      </c>
      <c r="C413" s="2">
        <v>128.58000000000001</v>
      </c>
      <c r="D413" s="2">
        <v>91.54</v>
      </c>
    </row>
    <row r="414" spans="1:4">
      <c r="A414" s="3" t="s">
        <v>1039</v>
      </c>
      <c r="B414" s="2">
        <v>117.7</v>
      </c>
      <c r="C414" s="2">
        <v>128.58000000000001</v>
      </c>
      <c r="D414" s="2">
        <v>91.54</v>
      </c>
    </row>
    <row r="415" spans="1:4">
      <c r="A415" s="3" t="s">
        <v>1040</v>
      </c>
      <c r="B415" s="2">
        <v>117.7</v>
      </c>
      <c r="C415" s="2">
        <v>128.58000000000001</v>
      </c>
      <c r="D415" s="2">
        <v>91.54</v>
      </c>
    </row>
    <row r="416" spans="1:4">
      <c r="A416" s="3" t="s">
        <v>1041</v>
      </c>
      <c r="B416" s="2">
        <v>117.7</v>
      </c>
      <c r="C416" s="2">
        <v>128.58000000000001</v>
      </c>
      <c r="D416" s="2">
        <v>91.54</v>
      </c>
    </row>
    <row r="417" spans="1:4">
      <c r="A417" s="3" t="s">
        <v>1042</v>
      </c>
      <c r="B417" s="2">
        <v>117.7</v>
      </c>
      <c r="C417" s="2">
        <v>128.58000000000001</v>
      </c>
      <c r="D417" s="2">
        <v>91.54</v>
      </c>
    </row>
    <row r="418" spans="1:4">
      <c r="A418" s="3" t="s">
        <v>1043</v>
      </c>
      <c r="B418" s="2">
        <v>117.7</v>
      </c>
      <c r="C418" s="2">
        <v>128.58000000000001</v>
      </c>
      <c r="D418" s="2">
        <v>91.54</v>
      </c>
    </row>
    <row r="419" spans="1:4">
      <c r="A419" s="3" t="s">
        <v>1044</v>
      </c>
      <c r="B419" s="2">
        <v>117.7</v>
      </c>
      <c r="C419" s="2">
        <v>128.58000000000001</v>
      </c>
      <c r="D419" s="2">
        <v>91.54</v>
      </c>
    </row>
    <row r="420" spans="1:4">
      <c r="A420" s="3" t="s">
        <v>1045</v>
      </c>
      <c r="B420" s="2">
        <v>117.7</v>
      </c>
      <c r="C420" s="2">
        <v>128.58000000000001</v>
      </c>
      <c r="D420" s="2">
        <v>91.54</v>
      </c>
    </row>
    <row r="421" spans="1:4">
      <c r="A421" s="3" t="s">
        <v>1046</v>
      </c>
      <c r="B421" s="2">
        <v>117.7</v>
      </c>
      <c r="C421" s="2">
        <v>128.58000000000001</v>
      </c>
      <c r="D421" s="2">
        <v>91.54</v>
      </c>
    </row>
    <row r="422" spans="1:4">
      <c r="A422" s="3" t="s">
        <v>1047</v>
      </c>
      <c r="B422" s="2">
        <v>117.7</v>
      </c>
      <c r="C422" s="2">
        <v>128.58000000000001</v>
      </c>
      <c r="D422" s="2">
        <v>91.54</v>
      </c>
    </row>
    <row r="423" spans="1:4">
      <c r="A423" s="3" t="s">
        <v>1048</v>
      </c>
      <c r="B423" s="2">
        <v>117.7</v>
      </c>
      <c r="C423" s="2">
        <v>128.58000000000001</v>
      </c>
      <c r="D423" s="2">
        <v>91.54</v>
      </c>
    </row>
    <row r="424" spans="1:4">
      <c r="A424" s="3" t="s">
        <v>1049</v>
      </c>
      <c r="B424" s="2">
        <v>117.7</v>
      </c>
      <c r="C424" s="2">
        <v>128.58000000000001</v>
      </c>
      <c r="D424" s="2">
        <v>91.54</v>
      </c>
    </row>
    <row r="425" spans="1:4">
      <c r="A425" s="3" t="s">
        <v>1050</v>
      </c>
      <c r="B425" s="2">
        <v>117.7</v>
      </c>
      <c r="C425" s="2">
        <v>128.58000000000001</v>
      </c>
      <c r="D425" s="2">
        <v>91.54</v>
      </c>
    </row>
    <row r="426" spans="1:4">
      <c r="A426" s="3" t="s">
        <v>1051</v>
      </c>
      <c r="B426" s="2">
        <v>117.7</v>
      </c>
      <c r="C426" s="2">
        <v>128.58000000000001</v>
      </c>
      <c r="D426" s="2">
        <v>91.54</v>
      </c>
    </row>
    <row r="427" spans="1:4">
      <c r="A427" s="3" t="s">
        <v>1052</v>
      </c>
      <c r="B427" s="2">
        <v>117.7</v>
      </c>
      <c r="C427" s="2">
        <v>128.58000000000001</v>
      </c>
      <c r="D427" s="2">
        <v>91.54</v>
      </c>
    </row>
    <row r="428" spans="1:4">
      <c r="A428" s="3" t="s">
        <v>1053</v>
      </c>
      <c r="B428" s="2">
        <v>117.7</v>
      </c>
      <c r="C428" s="2">
        <v>128.58000000000001</v>
      </c>
      <c r="D428" s="2">
        <v>91.54</v>
      </c>
    </row>
    <row r="429" spans="1:4">
      <c r="A429" s="3" t="s">
        <v>1054</v>
      </c>
      <c r="B429" s="2">
        <v>117.7</v>
      </c>
      <c r="C429" s="2">
        <v>128.58000000000001</v>
      </c>
      <c r="D429" s="2">
        <v>91.54</v>
      </c>
    </row>
    <row r="430" spans="1:4">
      <c r="A430" s="3" t="s">
        <v>1055</v>
      </c>
      <c r="B430" s="2">
        <v>117.7</v>
      </c>
      <c r="C430" s="2">
        <v>128.58000000000001</v>
      </c>
      <c r="D430" s="2">
        <v>91.54</v>
      </c>
    </row>
    <row r="431" spans="1:4">
      <c r="A431" s="3" t="s">
        <v>1056</v>
      </c>
      <c r="B431" s="2">
        <v>117.7</v>
      </c>
      <c r="C431" s="2">
        <v>128.58000000000001</v>
      </c>
      <c r="D431" s="2">
        <v>91.54</v>
      </c>
    </row>
    <row r="432" spans="1:4">
      <c r="A432" s="3" t="s">
        <v>1057</v>
      </c>
      <c r="B432" s="2">
        <v>117.7</v>
      </c>
      <c r="C432" s="2">
        <v>128.58000000000001</v>
      </c>
      <c r="D432" s="2">
        <v>91.54</v>
      </c>
    </row>
    <row r="433" spans="1:4">
      <c r="A433" s="3" t="s">
        <v>1058</v>
      </c>
      <c r="B433" s="2">
        <v>117.7</v>
      </c>
      <c r="C433" s="2">
        <v>128.58000000000001</v>
      </c>
      <c r="D433" s="2">
        <v>91.54</v>
      </c>
    </row>
    <row r="434" spans="1:4">
      <c r="A434" s="3" t="s">
        <v>1059</v>
      </c>
      <c r="B434" s="2">
        <v>117.7</v>
      </c>
      <c r="C434" s="2">
        <v>128.58000000000001</v>
      </c>
      <c r="D434" s="2">
        <v>91.54</v>
      </c>
    </row>
    <row r="435" spans="1:4">
      <c r="A435" s="3" t="s">
        <v>1060</v>
      </c>
      <c r="B435" s="2">
        <v>117.7</v>
      </c>
      <c r="C435" s="2">
        <v>128.58000000000001</v>
      </c>
      <c r="D435" s="2">
        <v>91.54</v>
      </c>
    </row>
    <row r="436" spans="1:4">
      <c r="A436" s="3" t="s">
        <v>1061</v>
      </c>
      <c r="B436" s="2">
        <v>117.7</v>
      </c>
      <c r="C436" s="2">
        <v>128.58000000000001</v>
      </c>
      <c r="D436" s="2">
        <v>91.54</v>
      </c>
    </row>
    <row r="437" spans="1:4">
      <c r="A437" s="3" t="s">
        <v>1062</v>
      </c>
      <c r="B437" s="2">
        <v>117.7</v>
      </c>
      <c r="C437" s="2">
        <v>128.58000000000001</v>
      </c>
      <c r="D437" s="2">
        <v>91.54</v>
      </c>
    </row>
    <row r="438" spans="1:4">
      <c r="A438" s="3" t="s">
        <v>1063</v>
      </c>
      <c r="B438" s="2">
        <v>117.7</v>
      </c>
      <c r="C438" s="2">
        <v>128.58000000000001</v>
      </c>
      <c r="D438" s="2">
        <v>91.54</v>
      </c>
    </row>
    <row r="439" spans="1:4">
      <c r="A439" s="3" t="s">
        <v>1064</v>
      </c>
      <c r="B439" s="2">
        <v>117.7</v>
      </c>
      <c r="C439" s="2">
        <v>128.58000000000001</v>
      </c>
      <c r="D439" s="2">
        <v>91.54</v>
      </c>
    </row>
    <row r="440" spans="1:4">
      <c r="A440" s="3" t="s">
        <v>1065</v>
      </c>
      <c r="B440" s="2">
        <v>117.7</v>
      </c>
      <c r="C440" s="2">
        <v>128.58000000000001</v>
      </c>
      <c r="D440" s="2">
        <v>91.54</v>
      </c>
    </row>
    <row r="441" spans="1:4">
      <c r="A441" s="3" t="s">
        <v>1066</v>
      </c>
      <c r="B441" s="2">
        <v>117.7</v>
      </c>
      <c r="C441" s="2">
        <v>128.58000000000001</v>
      </c>
      <c r="D441" s="2">
        <v>91.54</v>
      </c>
    </row>
    <row r="442" spans="1:4">
      <c r="A442" s="3" t="s">
        <v>1067</v>
      </c>
      <c r="B442" s="2">
        <v>117.7</v>
      </c>
      <c r="C442" s="2">
        <v>128.58000000000001</v>
      </c>
      <c r="D442" s="2">
        <v>91.54</v>
      </c>
    </row>
    <row r="443" spans="1:4">
      <c r="A443" s="3" t="s">
        <v>1068</v>
      </c>
      <c r="B443" s="2">
        <v>117.7</v>
      </c>
      <c r="C443" s="2">
        <v>128.58000000000001</v>
      </c>
      <c r="D443" s="2">
        <v>91.54</v>
      </c>
    </row>
    <row r="444" spans="1:4">
      <c r="A444" s="3" t="s">
        <v>1069</v>
      </c>
      <c r="B444" s="2">
        <v>117.7</v>
      </c>
      <c r="C444" s="2">
        <v>128.58000000000001</v>
      </c>
      <c r="D444" s="2">
        <v>91.54</v>
      </c>
    </row>
    <row r="445" spans="1:4">
      <c r="A445" s="3" t="s">
        <v>1070</v>
      </c>
      <c r="B445" s="2">
        <v>117.7</v>
      </c>
      <c r="C445" s="2">
        <v>128.58000000000001</v>
      </c>
      <c r="D445" s="2">
        <v>91.54</v>
      </c>
    </row>
    <row r="446" spans="1:4">
      <c r="A446" s="3" t="s">
        <v>1071</v>
      </c>
      <c r="B446" s="2">
        <v>117.7</v>
      </c>
      <c r="C446" s="2">
        <v>128.58000000000001</v>
      </c>
      <c r="D446" s="2">
        <v>91.54</v>
      </c>
    </row>
    <row r="447" spans="1:4">
      <c r="A447" s="3" t="s">
        <v>1072</v>
      </c>
      <c r="B447" s="2">
        <v>117.7</v>
      </c>
      <c r="C447" s="2">
        <v>128.58000000000001</v>
      </c>
      <c r="D447" s="2">
        <v>91.54</v>
      </c>
    </row>
    <row r="448" spans="1:4">
      <c r="A448" s="3" t="s">
        <v>1073</v>
      </c>
      <c r="B448" s="2">
        <v>117.7</v>
      </c>
      <c r="C448" s="2">
        <v>128.58000000000001</v>
      </c>
      <c r="D448" s="2">
        <v>91.54</v>
      </c>
    </row>
    <row r="449" spans="1:4">
      <c r="A449" s="3" t="s">
        <v>1074</v>
      </c>
      <c r="B449" s="2">
        <v>117.7</v>
      </c>
      <c r="C449" s="2">
        <v>128.58000000000001</v>
      </c>
      <c r="D449" s="2">
        <v>91.54</v>
      </c>
    </row>
    <row r="450" spans="1:4">
      <c r="A450" s="3" t="s">
        <v>1075</v>
      </c>
      <c r="B450" s="2">
        <v>117.7</v>
      </c>
      <c r="C450" s="2">
        <v>128.58000000000001</v>
      </c>
      <c r="D450" s="2">
        <v>91.54</v>
      </c>
    </row>
    <row r="451" spans="1:4">
      <c r="A451" s="3" t="s">
        <v>1076</v>
      </c>
      <c r="B451" s="2">
        <v>117.7</v>
      </c>
      <c r="C451" s="2">
        <v>128.58000000000001</v>
      </c>
      <c r="D451" s="2">
        <v>91.54</v>
      </c>
    </row>
    <row r="452" spans="1:4">
      <c r="A452" s="3" t="s">
        <v>1077</v>
      </c>
      <c r="B452" s="2">
        <v>117.7</v>
      </c>
      <c r="C452" s="2">
        <v>128.58000000000001</v>
      </c>
      <c r="D452" s="2">
        <v>91.54</v>
      </c>
    </row>
    <row r="453" spans="1:4">
      <c r="A453" s="3" t="s">
        <v>1078</v>
      </c>
      <c r="B453" s="2">
        <v>117.7</v>
      </c>
      <c r="C453" s="2">
        <v>128.58000000000001</v>
      </c>
      <c r="D453" s="2">
        <v>91.54</v>
      </c>
    </row>
    <row r="454" spans="1:4">
      <c r="A454" s="3" t="s">
        <v>1079</v>
      </c>
      <c r="B454" s="2">
        <v>0</v>
      </c>
      <c r="C454" s="2">
        <v>89.22</v>
      </c>
      <c r="D454" s="2">
        <v>0</v>
      </c>
    </row>
    <row r="455" spans="1:4">
      <c r="A455" s="3" t="s">
        <v>1080</v>
      </c>
      <c r="B455" s="2">
        <v>0</v>
      </c>
      <c r="C455" s="2">
        <v>89.22</v>
      </c>
      <c r="D455" s="2">
        <v>0</v>
      </c>
    </row>
    <row r="456" spans="1:4">
      <c r="A456" s="3" t="s">
        <v>1081</v>
      </c>
      <c r="B456" s="2">
        <v>0</v>
      </c>
      <c r="C456" s="2">
        <v>95.75</v>
      </c>
      <c r="D456" s="2">
        <v>0</v>
      </c>
    </row>
    <row r="457" spans="1:4">
      <c r="A457" s="3" t="s">
        <v>1082</v>
      </c>
      <c r="B457" s="2">
        <v>0</v>
      </c>
      <c r="C457" s="2">
        <v>88.98</v>
      </c>
      <c r="D457" s="2">
        <v>0</v>
      </c>
    </row>
    <row r="458" spans="1:4">
      <c r="A458" s="3" t="s">
        <v>1083</v>
      </c>
      <c r="B458" s="2">
        <v>0</v>
      </c>
      <c r="C458" s="2">
        <v>174.21</v>
      </c>
      <c r="D458" s="2">
        <v>0</v>
      </c>
    </row>
    <row r="459" spans="1:4">
      <c r="A459" s="3" t="s">
        <v>1084</v>
      </c>
      <c r="B459" s="2">
        <v>0</v>
      </c>
      <c r="C459" s="2">
        <v>174.21</v>
      </c>
      <c r="D459" s="2">
        <v>0</v>
      </c>
    </row>
    <row r="460" spans="1:4">
      <c r="A460" s="3" t="s">
        <v>1085</v>
      </c>
      <c r="B460" s="2">
        <v>13.99</v>
      </c>
      <c r="C460" s="2">
        <v>167.6</v>
      </c>
      <c r="D460" s="2">
        <v>8.34</v>
      </c>
    </row>
    <row r="461" spans="1:4">
      <c r="A461" s="3" t="s">
        <v>1086</v>
      </c>
      <c r="B461" s="2">
        <v>13.99</v>
      </c>
      <c r="C461" s="2">
        <v>279.52</v>
      </c>
      <c r="D461" s="2">
        <v>5</v>
      </c>
    </row>
    <row r="462" spans="1:4">
      <c r="A462" s="3" t="s">
        <v>1087</v>
      </c>
      <c r="B462" s="2">
        <v>0</v>
      </c>
      <c r="C462" s="2">
        <v>89.22</v>
      </c>
      <c r="D462" s="2">
        <v>0</v>
      </c>
    </row>
    <row r="463" spans="1:4">
      <c r="A463" s="3" t="s">
        <v>1088</v>
      </c>
      <c r="B463" s="2">
        <v>0</v>
      </c>
      <c r="C463" s="2">
        <v>89.22</v>
      </c>
      <c r="D463" s="2">
        <v>0</v>
      </c>
    </row>
    <row r="464" spans="1:4">
      <c r="A464" s="3" t="s">
        <v>1089</v>
      </c>
      <c r="B464" s="2">
        <v>0</v>
      </c>
      <c r="C464" s="2">
        <v>169.53</v>
      </c>
      <c r="D464" s="2">
        <v>0</v>
      </c>
    </row>
    <row r="465" spans="1:4">
      <c r="A465" s="3" t="s">
        <v>1090</v>
      </c>
      <c r="B465" s="2">
        <v>0</v>
      </c>
      <c r="C465" s="2">
        <v>169.53</v>
      </c>
      <c r="D465" s="2">
        <v>0</v>
      </c>
    </row>
    <row r="466" spans="1:4">
      <c r="A466" s="3" t="s">
        <v>1091</v>
      </c>
      <c r="B466" s="2">
        <v>117.7</v>
      </c>
      <c r="C466" s="2">
        <v>128.58000000000001</v>
      </c>
      <c r="D466" s="2">
        <v>91.54</v>
      </c>
    </row>
    <row r="467" spans="1:4">
      <c r="A467" s="3" t="s">
        <v>1092</v>
      </c>
      <c r="B467" s="2">
        <v>117.7</v>
      </c>
      <c r="C467" s="2">
        <v>128.58000000000001</v>
      </c>
      <c r="D467" s="2">
        <v>91.54</v>
      </c>
    </row>
    <row r="468" spans="1:4">
      <c r="A468" s="3" t="s">
        <v>1093</v>
      </c>
      <c r="B468" s="2">
        <v>117.7</v>
      </c>
      <c r="C468" s="2">
        <v>128.58000000000001</v>
      </c>
      <c r="D468" s="2">
        <v>91.54</v>
      </c>
    </row>
    <row r="469" spans="1:4">
      <c r="A469" s="3" t="s">
        <v>1094</v>
      </c>
      <c r="B469" s="2">
        <v>117.7</v>
      </c>
      <c r="C469" s="2">
        <v>128.58000000000001</v>
      </c>
      <c r="D469" s="2">
        <v>91.54</v>
      </c>
    </row>
    <row r="470" spans="1:4">
      <c r="A470" s="3" t="s">
        <v>1095</v>
      </c>
      <c r="B470" s="2">
        <v>117.7</v>
      </c>
      <c r="C470" s="2">
        <v>128.58000000000001</v>
      </c>
      <c r="D470" s="2">
        <v>91.54</v>
      </c>
    </row>
    <row r="471" spans="1:4">
      <c r="A471" s="3" t="s">
        <v>1096</v>
      </c>
      <c r="B471" s="2">
        <v>117.7</v>
      </c>
      <c r="C471" s="2">
        <v>128.58000000000001</v>
      </c>
      <c r="D471" s="2">
        <v>91.54</v>
      </c>
    </row>
    <row r="472" spans="1:4">
      <c r="A472" s="3" t="s">
        <v>1097</v>
      </c>
      <c r="B472" s="2">
        <v>117.7</v>
      </c>
      <c r="C472" s="2">
        <v>128.58000000000001</v>
      </c>
      <c r="D472" s="2">
        <v>91.54</v>
      </c>
    </row>
    <row r="473" spans="1:4">
      <c r="A473" s="3" t="s">
        <v>1098</v>
      </c>
      <c r="B473" s="2">
        <v>117.7</v>
      </c>
      <c r="C473" s="2">
        <v>128.58000000000001</v>
      </c>
      <c r="D473" s="2">
        <v>91.54</v>
      </c>
    </row>
    <row r="474" spans="1:4">
      <c r="A474" s="3" t="s">
        <v>1099</v>
      </c>
      <c r="B474" s="2">
        <v>117.7</v>
      </c>
      <c r="C474" s="2">
        <v>128.58000000000001</v>
      </c>
      <c r="D474" s="2">
        <v>91.54</v>
      </c>
    </row>
    <row r="475" spans="1:4">
      <c r="A475" s="3" t="s">
        <v>1100</v>
      </c>
      <c r="B475" s="2">
        <v>117.7</v>
      </c>
      <c r="C475" s="2">
        <v>128.58000000000001</v>
      </c>
      <c r="D475" s="2">
        <v>91.54</v>
      </c>
    </row>
    <row r="476" spans="1:4">
      <c r="A476" s="3" t="s">
        <v>1101</v>
      </c>
      <c r="B476" s="2">
        <v>117.7</v>
      </c>
      <c r="C476" s="2">
        <v>128.58000000000001</v>
      </c>
      <c r="D476" s="2">
        <v>91.54</v>
      </c>
    </row>
    <row r="477" spans="1:4">
      <c r="A477" s="3" t="s">
        <v>1102</v>
      </c>
      <c r="B477" s="2">
        <v>117.7</v>
      </c>
      <c r="C477" s="2">
        <v>128.58000000000001</v>
      </c>
      <c r="D477" s="2">
        <v>91.54</v>
      </c>
    </row>
    <row r="478" spans="1:4">
      <c r="A478" s="3" t="s">
        <v>1103</v>
      </c>
      <c r="B478" s="2">
        <v>117.7</v>
      </c>
      <c r="C478" s="2">
        <v>128.58000000000001</v>
      </c>
      <c r="D478" s="2">
        <v>91.54</v>
      </c>
    </row>
    <row r="479" spans="1:4">
      <c r="A479" s="3" t="s">
        <v>1104</v>
      </c>
      <c r="B479" s="2">
        <v>117.7</v>
      </c>
      <c r="C479" s="2">
        <v>128.58000000000001</v>
      </c>
      <c r="D479" s="2">
        <v>91.54</v>
      </c>
    </row>
    <row r="480" spans="1:4">
      <c r="A480" s="3" t="s">
        <v>1105</v>
      </c>
      <c r="B480" s="2">
        <v>117.7</v>
      </c>
      <c r="C480" s="2">
        <v>128.58000000000001</v>
      </c>
      <c r="D480" s="2">
        <v>91.54</v>
      </c>
    </row>
    <row r="481" spans="1:4">
      <c r="A481" s="3" t="s">
        <v>1106</v>
      </c>
      <c r="B481" s="2">
        <v>117.7</v>
      </c>
      <c r="C481" s="2">
        <v>128.58000000000001</v>
      </c>
      <c r="D481" s="2">
        <v>91.54</v>
      </c>
    </row>
    <row r="482" spans="1:4">
      <c r="A482" s="3" t="s">
        <v>1107</v>
      </c>
      <c r="B482" s="2">
        <v>117.7</v>
      </c>
      <c r="C482" s="2">
        <v>128.58000000000001</v>
      </c>
      <c r="D482" s="2">
        <v>91.54</v>
      </c>
    </row>
    <row r="483" spans="1:4">
      <c r="A483" s="3" t="s">
        <v>1108</v>
      </c>
      <c r="B483" s="2">
        <v>117.7</v>
      </c>
      <c r="C483" s="2">
        <v>128.58000000000001</v>
      </c>
      <c r="D483" s="2">
        <v>91.54</v>
      </c>
    </row>
    <row r="484" spans="1:4">
      <c r="A484" s="3" t="s">
        <v>1109</v>
      </c>
      <c r="B484" s="2">
        <v>117.7</v>
      </c>
      <c r="C484" s="2">
        <v>128.58000000000001</v>
      </c>
      <c r="D484" s="2">
        <v>91.54</v>
      </c>
    </row>
    <row r="485" spans="1:4">
      <c r="A485" s="3" t="s">
        <v>1110</v>
      </c>
      <c r="B485" s="2">
        <v>117.7</v>
      </c>
      <c r="C485" s="2">
        <v>128.58000000000001</v>
      </c>
      <c r="D485" s="2">
        <v>91.54</v>
      </c>
    </row>
    <row r="486" spans="1:4">
      <c r="A486" s="3" t="s">
        <v>1111</v>
      </c>
      <c r="B486" s="2">
        <v>117.7</v>
      </c>
      <c r="C486" s="2">
        <v>128.58000000000001</v>
      </c>
      <c r="D486" s="2">
        <v>91.54</v>
      </c>
    </row>
    <row r="487" spans="1:4">
      <c r="A487" s="3" t="s">
        <v>1112</v>
      </c>
      <c r="B487" s="2">
        <v>117.7</v>
      </c>
      <c r="C487" s="2">
        <v>128.58000000000001</v>
      </c>
      <c r="D487" s="2">
        <v>91.54</v>
      </c>
    </row>
    <row r="488" spans="1:4">
      <c r="A488" s="3" t="s">
        <v>1113</v>
      </c>
      <c r="B488" s="2">
        <v>117.7</v>
      </c>
      <c r="C488" s="2">
        <v>128.58000000000001</v>
      </c>
      <c r="D488" s="2">
        <v>91.54</v>
      </c>
    </row>
    <row r="489" spans="1:4">
      <c r="A489" s="3" t="s">
        <v>1114</v>
      </c>
      <c r="B489" s="2">
        <v>117.7</v>
      </c>
      <c r="C489" s="2">
        <v>128.58000000000001</v>
      </c>
      <c r="D489" s="2">
        <v>91.54</v>
      </c>
    </row>
    <row r="490" spans="1:4">
      <c r="A490" s="3" t="s">
        <v>1115</v>
      </c>
      <c r="B490" s="2">
        <v>0</v>
      </c>
      <c r="C490" s="2">
        <v>439.84</v>
      </c>
      <c r="D490" s="2">
        <v>0</v>
      </c>
    </row>
    <row r="491" spans="1:4">
      <c r="A491" s="3" t="s">
        <v>1116</v>
      </c>
      <c r="B491" s="2">
        <v>0</v>
      </c>
      <c r="C491" s="2">
        <v>90.31</v>
      </c>
      <c r="D491" s="2">
        <v>0</v>
      </c>
    </row>
    <row r="492" spans="1:4">
      <c r="A492" s="3" t="s">
        <v>1117</v>
      </c>
      <c r="B492" s="2">
        <v>0</v>
      </c>
      <c r="C492" s="2">
        <v>128.58000000000001</v>
      </c>
      <c r="D492" s="2">
        <v>0</v>
      </c>
    </row>
    <row r="493" spans="1:4">
      <c r="A493" s="3" t="s">
        <v>1118</v>
      </c>
      <c r="B493" s="2">
        <v>0</v>
      </c>
      <c r="C493" s="2">
        <v>128.58000000000001</v>
      </c>
      <c r="D493" s="2">
        <v>0</v>
      </c>
    </row>
    <row r="494" spans="1:4">
      <c r="A494" s="3" t="s">
        <v>1119</v>
      </c>
      <c r="B494" s="2">
        <v>0</v>
      </c>
      <c r="C494" s="2">
        <v>128.58000000000001</v>
      </c>
      <c r="D494" s="2">
        <v>0</v>
      </c>
    </row>
    <row r="495" spans="1:4">
      <c r="A495" s="3" t="s">
        <v>1120</v>
      </c>
      <c r="B495" s="2">
        <v>0</v>
      </c>
      <c r="C495" s="2">
        <v>128.58000000000001</v>
      </c>
      <c r="D495" s="2">
        <v>0</v>
      </c>
    </row>
    <row r="496" spans="1:4">
      <c r="A496" s="3" t="s">
        <v>1121</v>
      </c>
      <c r="B496" s="2">
        <v>0</v>
      </c>
      <c r="C496" s="2">
        <v>128.58000000000001</v>
      </c>
      <c r="D496" s="2">
        <v>0</v>
      </c>
    </row>
    <row r="497" spans="1:4">
      <c r="A497" s="3" t="s">
        <v>1122</v>
      </c>
      <c r="B497" s="2">
        <v>0</v>
      </c>
      <c r="C497" s="2">
        <v>128.58000000000001</v>
      </c>
      <c r="D497" s="2">
        <v>0</v>
      </c>
    </row>
    <row r="498" spans="1:4">
      <c r="A498" s="3" t="s">
        <v>1123</v>
      </c>
      <c r="B498" s="2">
        <v>0</v>
      </c>
      <c r="C498" s="2">
        <v>128.58000000000001</v>
      </c>
      <c r="D498" s="2">
        <v>0</v>
      </c>
    </row>
    <row r="499" spans="1:4">
      <c r="A499" s="3" t="s">
        <v>1124</v>
      </c>
      <c r="B499" s="2">
        <v>0</v>
      </c>
      <c r="C499" s="2">
        <v>128.58000000000001</v>
      </c>
      <c r="D499" s="2">
        <v>0</v>
      </c>
    </row>
    <row r="500" spans="1:4">
      <c r="A500" s="3" t="s">
        <v>1125</v>
      </c>
      <c r="B500" s="2">
        <v>117.7</v>
      </c>
      <c r="C500" s="2">
        <v>128.58000000000001</v>
      </c>
      <c r="D500" s="2">
        <v>91.54</v>
      </c>
    </row>
    <row r="501" spans="1:4">
      <c r="A501" s="3" t="s">
        <v>1126</v>
      </c>
      <c r="B501" s="2">
        <v>117.7</v>
      </c>
      <c r="C501" s="2">
        <v>128.58000000000001</v>
      </c>
      <c r="D501" s="2">
        <v>91.54</v>
      </c>
    </row>
    <row r="502" spans="1:4">
      <c r="A502" s="3" t="s">
        <v>1127</v>
      </c>
      <c r="B502" s="2">
        <v>117.7</v>
      </c>
      <c r="C502" s="2">
        <v>128.58000000000001</v>
      </c>
      <c r="D502" s="2">
        <v>91.54</v>
      </c>
    </row>
    <row r="503" spans="1:4">
      <c r="A503" s="3" t="s">
        <v>1128</v>
      </c>
      <c r="B503" s="2">
        <v>117.7</v>
      </c>
      <c r="C503" s="2">
        <v>128.58000000000001</v>
      </c>
      <c r="D503" s="2">
        <v>91.54</v>
      </c>
    </row>
    <row r="504" spans="1:4">
      <c r="A504" s="3" t="s">
        <v>1129</v>
      </c>
      <c r="B504" s="2">
        <v>117.7</v>
      </c>
      <c r="C504" s="2">
        <v>128.58000000000001</v>
      </c>
      <c r="D504" s="2">
        <v>91.54</v>
      </c>
    </row>
    <row r="505" spans="1:4">
      <c r="A505" s="3" t="s">
        <v>1130</v>
      </c>
      <c r="B505" s="2">
        <v>117.7</v>
      </c>
      <c r="C505" s="2">
        <v>128.58000000000001</v>
      </c>
      <c r="D505" s="2">
        <v>91.54</v>
      </c>
    </row>
    <row r="506" spans="1:4">
      <c r="A506" s="3" t="s">
        <v>1131</v>
      </c>
      <c r="B506" s="2">
        <v>117.7</v>
      </c>
      <c r="C506" s="2">
        <v>128.58000000000001</v>
      </c>
      <c r="D506" s="2">
        <v>91.54</v>
      </c>
    </row>
    <row r="507" spans="1:4">
      <c r="A507" s="3" t="s">
        <v>1132</v>
      </c>
      <c r="B507" s="2">
        <v>117.7</v>
      </c>
      <c r="C507" s="2">
        <v>128.58000000000001</v>
      </c>
      <c r="D507" s="2">
        <v>91.54</v>
      </c>
    </row>
    <row r="508" spans="1:4">
      <c r="A508" s="3" t="s">
        <v>1133</v>
      </c>
      <c r="B508" s="2">
        <v>0</v>
      </c>
      <c r="C508" s="2">
        <v>128.58000000000001</v>
      </c>
      <c r="D508" s="2">
        <v>0</v>
      </c>
    </row>
    <row r="509" spans="1:4">
      <c r="A509" s="3" t="s">
        <v>1134</v>
      </c>
      <c r="B509" s="2">
        <v>0</v>
      </c>
      <c r="C509" s="2">
        <v>128.58000000000001</v>
      </c>
      <c r="D509" s="2">
        <v>0</v>
      </c>
    </row>
    <row r="510" spans="1:4">
      <c r="A510" s="3" t="s">
        <v>1135</v>
      </c>
      <c r="B510" s="2">
        <v>0</v>
      </c>
      <c r="C510" s="2">
        <v>128.58000000000001</v>
      </c>
      <c r="D510" s="2">
        <v>0</v>
      </c>
    </row>
    <row r="511" spans="1:4">
      <c r="A511" s="3" t="s">
        <v>1136</v>
      </c>
      <c r="B511" s="2">
        <v>0</v>
      </c>
      <c r="C511" s="2">
        <v>128.58000000000001</v>
      </c>
      <c r="D511" s="2">
        <v>0</v>
      </c>
    </row>
    <row r="512" spans="1:4">
      <c r="A512" s="3" t="s">
        <v>1137</v>
      </c>
      <c r="B512" s="2">
        <v>0</v>
      </c>
      <c r="C512" s="2">
        <v>128.58000000000001</v>
      </c>
      <c r="D512" s="2">
        <v>0</v>
      </c>
    </row>
    <row r="513" spans="1:4">
      <c r="A513" s="3" t="s">
        <v>1138</v>
      </c>
      <c r="B513" s="2">
        <v>0</v>
      </c>
      <c r="C513" s="2">
        <v>128.58000000000001</v>
      </c>
      <c r="D513" s="2">
        <v>0</v>
      </c>
    </row>
    <row r="514" spans="1:4">
      <c r="A514" s="3" t="s">
        <v>1139</v>
      </c>
      <c r="B514" s="2">
        <v>0</v>
      </c>
      <c r="C514" s="2">
        <v>128.58000000000001</v>
      </c>
      <c r="D514" s="2">
        <v>0</v>
      </c>
    </row>
    <row r="515" spans="1:4">
      <c r="A515" s="3" t="s">
        <v>1140</v>
      </c>
      <c r="B515" s="2">
        <v>0</v>
      </c>
      <c r="C515" s="2">
        <v>128.58000000000001</v>
      </c>
      <c r="D515" s="2">
        <v>0</v>
      </c>
    </row>
    <row r="516" spans="1:4">
      <c r="A516" s="3" t="s">
        <v>1141</v>
      </c>
      <c r="B516" s="2">
        <v>0</v>
      </c>
      <c r="C516" s="2">
        <v>128.58000000000001</v>
      </c>
      <c r="D516" s="2">
        <v>0</v>
      </c>
    </row>
    <row r="517" spans="1:4">
      <c r="A517" s="3" t="s">
        <v>1142</v>
      </c>
      <c r="B517" s="2">
        <v>0</v>
      </c>
      <c r="C517" s="2">
        <v>128.58000000000001</v>
      </c>
      <c r="D517" s="2">
        <v>0</v>
      </c>
    </row>
    <row r="518" spans="1:4">
      <c r="A518" s="3" t="s">
        <v>1143</v>
      </c>
      <c r="B518" s="2">
        <v>0</v>
      </c>
      <c r="C518" s="2">
        <v>128.58000000000001</v>
      </c>
      <c r="D518" s="2">
        <v>0</v>
      </c>
    </row>
    <row r="519" spans="1:4">
      <c r="A519" s="3" t="s">
        <v>1144</v>
      </c>
      <c r="B519" s="2">
        <v>0</v>
      </c>
      <c r="C519" s="2">
        <v>128.58000000000001</v>
      </c>
      <c r="D519" s="2">
        <v>0</v>
      </c>
    </row>
    <row r="520" spans="1:4">
      <c r="A520" s="3" t="s">
        <v>1145</v>
      </c>
      <c r="B520" s="2">
        <v>0</v>
      </c>
      <c r="C520" s="2">
        <v>128.58000000000001</v>
      </c>
      <c r="D520" s="2">
        <v>0</v>
      </c>
    </row>
    <row r="521" spans="1:4">
      <c r="A521" s="3" t="s">
        <v>1146</v>
      </c>
      <c r="B521" s="2">
        <v>0</v>
      </c>
      <c r="C521" s="2">
        <v>128.58000000000001</v>
      </c>
      <c r="D521" s="2">
        <v>0</v>
      </c>
    </row>
    <row r="522" spans="1:4">
      <c r="A522" s="3" t="s">
        <v>1147</v>
      </c>
      <c r="B522" s="2">
        <v>0</v>
      </c>
      <c r="C522" s="2">
        <v>128.58000000000001</v>
      </c>
      <c r="D522" s="2">
        <v>0</v>
      </c>
    </row>
    <row r="523" spans="1:4">
      <c r="A523" s="3" t="s">
        <v>1148</v>
      </c>
      <c r="B523" s="2">
        <v>0</v>
      </c>
      <c r="C523" s="2">
        <v>128.58000000000001</v>
      </c>
      <c r="D523" s="2">
        <v>0</v>
      </c>
    </row>
    <row r="524" spans="1:4">
      <c r="A524" s="3" t="s">
        <v>1149</v>
      </c>
      <c r="B524" s="2">
        <v>0</v>
      </c>
      <c r="C524" s="2">
        <v>128.58000000000001</v>
      </c>
      <c r="D524" s="2">
        <v>0</v>
      </c>
    </row>
    <row r="525" spans="1:4">
      <c r="A525" s="3" t="s">
        <v>1150</v>
      </c>
      <c r="B525" s="2">
        <v>0</v>
      </c>
      <c r="C525" s="2">
        <v>128.58000000000001</v>
      </c>
      <c r="D525" s="2">
        <v>0</v>
      </c>
    </row>
    <row r="526" spans="1:4">
      <c r="A526" s="3" t="s">
        <v>1151</v>
      </c>
      <c r="B526" s="2">
        <v>0</v>
      </c>
      <c r="C526" s="2">
        <v>128.58000000000001</v>
      </c>
      <c r="D526" s="2">
        <v>0</v>
      </c>
    </row>
    <row r="527" spans="1:4">
      <c r="A527" s="3" t="s">
        <v>1152</v>
      </c>
      <c r="B527" s="2">
        <v>0</v>
      </c>
      <c r="C527" s="2">
        <v>128.58000000000001</v>
      </c>
      <c r="D527" s="2">
        <v>0</v>
      </c>
    </row>
    <row r="528" spans="1:4">
      <c r="A528" s="3" t="s">
        <v>1153</v>
      </c>
      <c r="B528" s="2">
        <v>0</v>
      </c>
      <c r="C528" s="2">
        <v>128.58000000000001</v>
      </c>
      <c r="D528" s="2">
        <v>0</v>
      </c>
    </row>
    <row r="529" spans="1:4">
      <c r="A529" s="3" t="s">
        <v>1154</v>
      </c>
      <c r="B529" s="2">
        <v>0</v>
      </c>
      <c r="C529" s="2">
        <v>128.58000000000001</v>
      </c>
      <c r="D529" s="2">
        <v>0</v>
      </c>
    </row>
    <row r="530" spans="1:4">
      <c r="A530" s="3" t="s">
        <v>1155</v>
      </c>
      <c r="B530" s="2">
        <v>117.7</v>
      </c>
      <c r="C530" s="2">
        <v>128.58000000000001</v>
      </c>
      <c r="D530" s="2">
        <v>91.54</v>
      </c>
    </row>
    <row r="531" spans="1:4">
      <c r="A531" s="3" t="s">
        <v>1156</v>
      </c>
      <c r="B531" s="2">
        <v>117.7</v>
      </c>
      <c r="C531" s="2">
        <v>128.58000000000001</v>
      </c>
      <c r="D531" s="2">
        <v>91.54</v>
      </c>
    </row>
    <row r="532" spans="1:4">
      <c r="A532" s="3" t="s">
        <v>1157</v>
      </c>
      <c r="B532" s="2">
        <v>117.7</v>
      </c>
      <c r="C532" s="2">
        <v>128.58000000000001</v>
      </c>
      <c r="D532" s="2">
        <v>91.54</v>
      </c>
    </row>
    <row r="533" spans="1:4">
      <c r="A533" s="3" t="s">
        <v>1158</v>
      </c>
      <c r="B533" s="2">
        <v>117.7</v>
      </c>
      <c r="C533" s="2">
        <v>128.58000000000001</v>
      </c>
      <c r="D533" s="2">
        <v>91.54</v>
      </c>
    </row>
    <row r="534" spans="1:4">
      <c r="A534" s="3" t="s">
        <v>1159</v>
      </c>
      <c r="B534" s="2">
        <v>117.7</v>
      </c>
      <c r="C534" s="2">
        <v>128.58000000000001</v>
      </c>
      <c r="D534" s="2">
        <v>91.54</v>
      </c>
    </row>
    <row r="535" spans="1:4">
      <c r="A535" s="3" t="s">
        <v>1160</v>
      </c>
      <c r="B535" s="2">
        <v>117.7</v>
      </c>
      <c r="C535" s="2">
        <v>128.58000000000001</v>
      </c>
      <c r="D535" s="2">
        <v>91.54</v>
      </c>
    </row>
    <row r="536" spans="1:4">
      <c r="A536" s="3" t="s">
        <v>1161</v>
      </c>
      <c r="B536" s="2">
        <v>117.7</v>
      </c>
      <c r="C536" s="2">
        <v>128.58000000000001</v>
      </c>
      <c r="D536" s="2">
        <v>91.54</v>
      </c>
    </row>
    <row r="537" spans="1:4">
      <c r="A537" s="3" t="s">
        <v>1162</v>
      </c>
      <c r="B537" s="2">
        <v>117.7</v>
      </c>
      <c r="C537" s="2">
        <v>128.58000000000001</v>
      </c>
      <c r="D537" s="2">
        <v>91.54</v>
      </c>
    </row>
    <row r="538" spans="1:4">
      <c r="A538" s="3" t="s">
        <v>1163</v>
      </c>
      <c r="B538" s="2">
        <v>0</v>
      </c>
      <c r="C538" s="2">
        <v>128.58000000000001</v>
      </c>
      <c r="D538" s="2">
        <v>0</v>
      </c>
    </row>
    <row r="539" spans="1:4">
      <c r="A539" s="3" t="s">
        <v>1164</v>
      </c>
      <c r="B539" s="2">
        <v>0</v>
      </c>
      <c r="C539" s="2">
        <v>128.58000000000001</v>
      </c>
      <c r="D539" s="2">
        <v>0</v>
      </c>
    </row>
    <row r="540" spans="1:4">
      <c r="A540" s="3" t="s">
        <v>1165</v>
      </c>
      <c r="B540" s="2">
        <v>0</v>
      </c>
      <c r="C540" s="2">
        <v>128.58000000000001</v>
      </c>
      <c r="D540" s="2">
        <v>0</v>
      </c>
    </row>
    <row r="541" spans="1:4">
      <c r="A541" s="3" t="s">
        <v>1166</v>
      </c>
      <c r="B541" s="2">
        <v>0</v>
      </c>
      <c r="C541" s="2">
        <v>128.58000000000001</v>
      </c>
      <c r="D541" s="2">
        <v>0</v>
      </c>
    </row>
    <row r="542" spans="1:4">
      <c r="A542" s="3" t="s">
        <v>1167</v>
      </c>
      <c r="B542" s="2">
        <v>0</v>
      </c>
      <c r="C542" s="2">
        <v>128.58000000000001</v>
      </c>
      <c r="D542" s="2">
        <v>0</v>
      </c>
    </row>
    <row r="543" spans="1:4">
      <c r="A543" s="3" t="s">
        <v>1168</v>
      </c>
      <c r="B543" s="2">
        <v>0</v>
      </c>
      <c r="C543" s="2">
        <v>128.58000000000001</v>
      </c>
      <c r="D543" s="2">
        <v>0</v>
      </c>
    </row>
    <row r="544" spans="1:4">
      <c r="A544" s="3" t="s">
        <v>1169</v>
      </c>
      <c r="B544" s="2">
        <v>117.7</v>
      </c>
      <c r="C544" s="2">
        <v>128.58000000000001</v>
      </c>
      <c r="D544" s="2">
        <v>91.54</v>
      </c>
    </row>
    <row r="545" spans="1:4">
      <c r="A545" s="3" t="s">
        <v>1170</v>
      </c>
      <c r="B545" s="2">
        <v>117.7</v>
      </c>
      <c r="C545" s="2">
        <v>128.58000000000001</v>
      </c>
      <c r="D545" s="2">
        <v>91.54</v>
      </c>
    </row>
    <row r="546" spans="1:4">
      <c r="A546" s="3" t="s">
        <v>1171</v>
      </c>
      <c r="B546" s="2">
        <v>0</v>
      </c>
      <c r="C546" s="2">
        <v>89.22</v>
      </c>
      <c r="D546" s="2">
        <v>0</v>
      </c>
    </row>
    <row r="547" spans="1:4">
      <c r="A547" s="3" t="s">
        <v>1172</v>
      </c>
      <c r="B547" s="2">
        <v>0</v>
      </c>
      <c r="C547" s="2">
        <v>89.22</v>
      </c>
      <c r="D547" s="2">
        <v>0</v>
      </c>
    </row>
    <row r="548" spans="1:4">
      <c r="A548" s="3" t="s">
        <v>1173</v>
      </c>
      <c r="B548" s="2">
        <v>0</v>
      </c>
      <c r="C548" s="2">
        <v>95.75</v>
      </c>
      <c r="D548" s="2">
        <v>0</v>
      </c>
    </row>
    <row r="549" spans="1:4">
      <c r="A549" s="3" t="s">
        <v>1174</v>
      </c>
      <c r="B549" s="2">
        <v>0</v>
      </c>
      <c r="C549" s="2">
        <v>88.98</v>
      </c>
      <c r="D549" s="2">
        <v>0</v>
      </c>
    </row>
    <row r="550" spans="1:4">
      <c r="A550" s="3" t="s">
        <v>1175</v>
      </c>
      <c r="B550" s="2">
        <v>0</v>
      </c>
      <c r="C550" s="2">
        <v>174.21</v>
      </c>
      <c r="D550" s="2">
        <v>0</v>
      </c>
    </row>
    <row r="551" spans="1:4">
      <c r="A551" s="3" t="s">
        <v>1176</v>
      </c>
      <c r="B551" s="2">
        <v>0</v>
      </c>
      <c r="C551" s="2">
        <v>174.21</v>
      </c>
      <c r="D551" s="2">
        <v>0</v>
      </c>
    </row>
    <row r="552" spans="1:4">
      <c r="A552" s="3" t="s">
        <v>1177</v>
      </c>
      <c r="B552" s="2">
        <v>13.99</v>
      </c>
      <c r="C552" s="2">
        <v>167.6</v>
      </c>
      <c r="D552" s="2">
        <v>8.34</v>
      </c>
    </row>
    <row r="553" spans="1:4">
      <c r="A553" s="3" t="s">
        <v>1178</v>
      </c>
      <c r="B553" s="2">
        <v>13.99</v>
      </c>
      <c r="C553" s="2">
        <v>279.52</v>
      </c>
      <c r="D553" s="2">
        <v>5</v>
      </c>
    </row>
    <row r="554" spans="1:4">
      <c r="A554" s="3" t="s">
        <v>1179</v>
      </c>
      <c r="B554" s="2">
        <v>0</v>
      </c>
      <c r="C554" s="2">
        <v>89.22</v>
      </c>
      <c r="D554" s="2">
        <v>0</v>
      </c>
    </row>
    <row r="555" spans="1:4">
      <c r="A555" s="3" t="s">
        <v>1180</v>
      </c>
      <c r="B555" s="2">
        <v>0</v>
      </c>
      <c r="C555" s="2">
        <v>89.22</v>
      </c>
      <c r="D555" s="2">
        <v>0</v>
      </c>
    </row>
    <row r="556" spans="1:4">
      <c r="A556" s="3" t="s">
        <v>1181</v>
      </c>
      <c r="B556" s="2">
        <v>0</v>
      </c>
      <c r="C556" s="2">
        <v>169.53</v>
      </c>
      <c r="D556" s="2">
        <v>0</v>
      </c>
    </row>
    <row r="557" spans="1:4">
      <c r="A557" s="3" t="s">
        <v>1182</v>
      </c>
      <c r="B557" s="2">
        <v>0</v>
      </c>
      <c r="C557" s="2">
        <v>169.53</v>
      </c>
      <c r="D557" s="2">
        <v>0</v>
      </c>
    </row>
    <row r="558" spans="1:4">
      <c r="A558" s="3" t="s">
        <v>1183</v>
      </c>
      <c r="B558" s="2">
        <v>0</v>
      </c>
      <c r="C558" s="2">
        <v>87.13</v>
      </c>
      <c r="D558" s="2">
        <v>0</v>
      </c>
    </row>
    <row r="559" spans="1:4">
      <c r="A559" s="3" t="s">
        <v>1184</v>
      </c>
      <c r="B559" s="2">
        <v>0</v>
      </c>
      <c r="C559" s="2">
        <v>80.31</v>
      </c>
      <c r="D559" s="2">
        <v>0</v>
      </c>
    </row>
    <row r="560" spans="1:4">
      <c r="A560" s="3" t="s">
        <v>1185</v>
      </c>
      <c r="B560" s="2">
        <v>0</v>
      </c>
      <c r="C560" s="2">
        <v>80.31</v>
      </c>
      <c r="D560" s="2">
        <v>0</v>
      </c>
    </row>
    <row r="561" spans="1:4">
      <c r="A561" s="3" t="s">
        <v>1186</v>
      </c>
      <c r="B561" s="2">
        <v>0</v>
      </c>
      <c r="C561" s="2">
        <v>92.87</v>
      </c>
      <c r="D561" s="2">
        <v>0</v>
      </c>
    </row>
    <row r="562" spans="1:4">
      <c r="A562" s="3" t="s">
        <v>1187</v>
      </c>
      <c r="B562" s="2">
        <v>0</v>
      </c>
      <c r="C562" s="2">
        <v>330.29</v>
      </c>
      <c r="D562" s="2">
        <v>0</v>
      </c>
    </row>
    <row r="563" spans="1:4">
      <c r="A563" s="3" t="s">
        <v>1188</v>
      </c>
      <c r="B563" s="2">
        <v>0</v>
      </c>
      <c r="C563" s="2">
        <v>92.87</v>
      </c>
      <c r="D563" s="2">
        <v>0</v>
      </c>
    </row>
    <row r="564" spans="1:4">
      <c r="A564" s="3" t="s">
        <v>1189</v>
      </c>
      <c r="B564" s="2">
        <v>0</v>
      </c>
      <c r="C564" s="2">
        <v>330</v>
      </c>
      <c r="D564" s="2">
        <v>0</v>
      </c>
    </row>
    <row r="565" spans="1:4">
      <c r="A565" s="3" t="s">
        <v>1190</v>
      </c>
      <c r="B565" s="2">
        <v>0</v>
      </c>
      <c r="C565" s="2">
        <v>80.31</v>
      </c>
      <c r="D565" s="2">
        <v>0</v>
      </c>
    </row>
    <row r="566" spans="1:4">
      <c r="A566" s="3" t="s">
        <v>1191</v>
      </c>
      <c r="B566" s="2">
        <v>0</v>
      </c>
      <c r="C566" s="2">
        <v>91.54</v>
      </c>
      <c r="D566" s="2">
        <v>0</v>
      </c>
    </row>
    <row r="567" spans="1:4">
      <c r="A567" s="3" t="s">
        <v>1192</v>
      </c>
      <c r="B567" s="2">
        <v>0</v>
      </c>
      <c r="C567" s="2">
        <v>291.54000000000002</v>
      </c>
      <c r="D567" s="2">
        <v>0</v>
      </c>
    </row>
    <row r="568" spans="1:4">
      <c r="A568" s="3" t="s">
        <v>1193</v>
      </c>
      <c r="B568" s="2">
        <v>0</v>
      </c>
      <c r="C568" s="2">
        <v>91.54</v>
      </c>
      <c r="D568" s="2">
        <v>0</v>
      </c>
    </row>
    <row r="569" spans="1:4">
      <c r="A569" s="3" t="s">
        <v>1194</v>
      </c>
      <c r="B569" s="2">
        <v>0</v>
      </c>
      <c r="C569" s="2">
        <v>91.54</v>
      </c>
      <c r="D569" s="2">
        <v>0</v>
      </c>
    </row>
    <row r="570" spans="1:4">
      <c r="A570" s="3" t="s">
        <v>1195</v>
      </c>
      <c r="B570" s="2">
        <v>0</v>
      </c>
      <c r="C570" s="2">
        <v>91.54</v>
      </c>
      <c r="D570" s="2">
        <v>0</v>
      </c>
    </row>
    <row r="571" spans="1:4">
      <c r="A571" s="3" t="s">
        <v>1196</v>
      </c>
      <c r="B571" s="2">
        <v>0</v>
      </c>
      <c r="C571" s="2">
        <v>91.54</v>
      </c>
      <c r="D571" s="2">
        <v>0</v>
      </c>
    </row>
    <row r="572" spans="1:4">
      <c r="A572" s="3" t="s">
        <v>1197</v>
      </c>
      <c r="B572" s="2">
        <v>0</v>
      </c>
      <c r="C572" s="2">
        <v>91.54</v>
      </c>
      <c r="D572" s="2">
        <v>0</v>
      </c>
    </row>
    <row r="573" spans="1:4">
      <c r="A573" s="3" t="s">
        <v>1198</v>
      </c>
      <c r="B573" s="2">
        <v>0</v>
      </c>
      <c r="C573" s="2">
        <v>91.54</v>
      </c>
      <c r="D573" s="2">
        <v>0</v>
      </c>
    </row>
    <row r="574" spans="1:4">
      <c r="A574" s="3" t="s">
        <v>1199</v>
      </c>
      <c r="B574" s="2">
        <v>0</v>
      </c>
      <c r="C574" s="2">
        <v>91.54</v>
      </c>
      <c r="D574" s="2">
        <v>0</v>
      </c>
    </row>
    <row r="575" spans="1:4">
      <c r="A575" s="3" t="s">
        <v>1200</v>
      </c>
      <c r="B575" s="2">
        <v>0</v>
      </c>
      <c r="C575" s="2">
        <v>91.54</v>
      </c>
      <c r="D575" s="2">
        <v>0</v>
      </c>
    </row>
    <row r="576" spans="1:4">
      <c r="A576" s="3" t="s">
        <v>1201</v>
      </c>
      <c r="B576" s="2">
        <v>0</v>
      </c>
      <c r="C576" s="2">
        <v>91.54</v>
      </c>
      <c r="D576" s="2">
        <v>0</v>
      </c>
    </row>
    <row r="577" spans="1:4">
      <c r="A577" s="3" t="s">
        <v>1202</v>
      </c>
      <c r="B577" s="2">
        <v>0</v>
      </c>
      <c r="C577" s="2">
        <v>91.54</v>
      </c>
      <c r="D577" s="2">
        <v>0</v>
      </c>
    </row>
    <row r="578" spans="1:4">
      <c r="A578" s="3" t="s">
        <v>1203</v>
      </c>
      <c r="B578" s="2">
        <v>117.7</v>
      </c>
      <c r="C578" s="2">
        <v>128.58000000000001</v>
      </c>
      <c r="D578" s="2">
        <v>91.54</v>
      </c>
    </row>
    <row r="579" spans="1:4">
      <c r="A579" s="3" t="s">
        <v>1204</v>
      </c>
      <c r="B579" s="2">
        <v>117.7</v>
      </c>
      <c r="C579" s="2">
        <v>128.58000000000001</v>
      </c>
      <c r="D579" s="2">
        <v>91.54</v>
      </c>
    </row>
    <row r="580" spans="1:4">
      <c r="A580" s="3" t="s">
        <v>1205</v>
      </c>
      <c r="B580" s="2">
        <v>117.7</v>
      </c>
      <c r="C580" s="2">
        <v>128.58000000000001</v>
      </c>
      <c r="D580" s="2">
        <v>91.54</v>
      </c>
    </row>
    <row r="581" spans="1:4">
      <c r="A581" s="3" t="s">
        <v>1206</v>
      </c>
      <c r="B581" s="2">
        <v>117.7</v>
      </c>
      <c r="C581" s="2">
        <v>128.58000000000001</v>
      </c>
      <c r="D581" s="2">
        <v>91.54</v>
      </c>
    </row>
    <row r="582" spans="1:4">
      <c r="A582" s="3" t="s">
        <v>1207</v>
      </c>
      <c r="B582" s="2">
        <v>117.7</v>
      </c>
      <c r="C582" s="2">
        <v>128.58000000000001</v>
      </c>
      <c r="D582" s="2">
        <v>91.54</v>
      </c>
    </row>
    <row r="583" spans="1:4">
      <c r="A583" s="3" t="s">
        <v>1208</v>
      </c>
      <c r="B583" s="2">
        <v>117.7</v>
      </c>
      <c r="C583" s="2">
        <v>128.58000000000001</v>
      </c>
      <c r="D583" s="2">
        <v>91.54</v>
      </c>
    </row>
    <row r="584" spans="1:4">
      <c r="A584" s="3" t="s">
        <v>1209</v>
      </c>
      <c r="B584" s="2">
        <v>117.7</v>
      </c>
      <c r="C584" s="2">
        <v>128.58000000000001</v>
      </c>
      <c r="D584" s="2">
        <v>91.54</v>
      </c>
    </row>
    <row r="585" spans="1:4">
      <c r="A585" s="3" t="s">
        <v>1210</v>
      </c>
      <c r="B585" s="2">
        <v>117.7</v>
      </c>
      <c r="C585" s="2">
        <v>128.58000000000001</v>
      </c>
      <c r="D585" s="2">
        <v>91.54</v>
      </c>
    </row>
    <row r="586" spans="1:4">
      <c r="A586" s="3" t="s">
        <v>1211</v>
      </c>
      <c r="B586" s="2">
        <v>117.7</v>
      </c>
      <c r="C586" s="2">
        <v>128.58000000000001</v>
      </c>
      <c r="D586" s="2">
        <v>91.54</v>
      </c>
    </row>
    <row r="587" spans="1:4">
      <c r="A587" s="3" t="s">
        <v>1212</v>
      </c>
      <c r="B587" s="2">
        <v>117.7</v>
      </c>
      <c r="C587" s="2">
        <v>128.58000000000001</v>
      </c>
      <c r="D587" s="2">
        <v>91.54</v>
      </c>
    </row>
    <row r="588" spans="1:4">
      <c r="A588" s="3" t="s">
        <v>1213</v>
      </c>
      <c r="B588" s="2">
        <v>117.7</v>
      </c>
      <c r="C588" s="2">
        <v>128.58000000000001</v>
      </c>
      <c r="D588" s="2">
        <v>91.54</v>
      </c>
    </row>
    <row r="589" spans="1:4">
      <c r="A589" s="3" t="s">
        <v>1214</v>
      </c>
      <c r="B589" s="2">
        <v>117.7</v>
      </c>
      <c r="C589" s="2">
        <v>128.58000000000001</v>
      </c>
      <c r="D589" s="2">
        <v>91.54</v>
      </c>
    </row>
    <row r="590" spans="1:4">
      <c r="A590" s="3" t="s">
        <v>1215</v>
      </c>
      <c r="B590" s="2">
        <v>117.7</v>
      </c>
      <c r="C590" s="2">
        <v>128.58000000000001</v>
      </c>
      <c r="D590" s="2">
        <v>91.54</v>
      </c>
    </row>
    <row r="591" spans="1:4">
      <c r="A591" s="3" t="s">
        <v>1216</v>
      </c>
      <c r="B591" s="2">
        <v>117.7</v>
      </c>
      <c r="C591" s="2">
        <v>128.58000000000001</v>
      </c>
      <c r="D591" s="2">
        <v>91.54</v>
      </c>
    </row>
    <row r="592" spans="1:4">
      <c r="A592" s="3" t="s">
        <v>1217</v>
      </c>
      <c r="B592" s="2">
        <v>117.7</v>
      </c>
      <c r="C592" s="2">
        <v>128.58000000000001</v>
      </c>
      <c r="D592" s="2">
        <v>91.54</v>
      </c>
    </row>
    <row r="593" spans="1:4">
      <c r="A593" s="3" t="s">
        <v>1218</v>
      </c>
      <c r="B593" s="2">
        <v>117.7</v>
      </c>
      <c r="C593" s="2">
        <v>128.58000000000001</v>
      </c>
      <c r="D593" s="2">
        <v>91.54</v>
      </c>
    </row>
    <row r="594" spans="1:4">
      <c r="A594" s="3" t="s">
        <v>1219</v>
      </c>
      <c r="B594" s="2">
        <v>117.7</v>
      </c>
      <c r="C594" s="2">
        <v>128.58000000000001</v>
      </c>
      <c r="D594" s="2">
        <v>91.54</v>
      </c>
    </row>
    <row r="595" spans="1:4">
      <c r="A595" s="3" t="s">
        <v>1220</v>
      </c>
      <c r="B595" s="2">
        <v>117.7</v>
      </c>
      <c r="C595" s="2">
        <v>128.58000000000001</v>
      </c>
      <c r="D595" s="2">
        <v>91.54</v>
      </c>
    </row>
    <row r="596" spans="1:4">
      <c r="A596" s="3" t="s">
        <v>1221</v>
      </c>
      <c r="B596" s="2">
        <v>117.7</v>
      </c>
      <c r="C596" s="2">
        <v>128.58000000000001</v>
      </c>
      <c r="D596" s="2">
        <v>91.54</v>
      </c>
    </row>
    <row r="597" spans="1:4">
      <c r="A597" s="3" t="s">
        <v>1222</v>
      </c>
      <c r="B597" s="2">
        <v>117.7</v>
      </c>
      <c r="C597" s="2">
        <v>128.58000000000001</v>
      </c>
      <c r="D597" s="2">
        <v>91.54</v>
      </c>
    </row>
    <row r="598" spans="1:4">
      <c r="A598" s="3" t="s">
        <v>1223</v>
      </c>
      <c r="B598" s="2">
        <v>117.7</v>
      </c>
      <c r="C598" s="2">
        <v>128.58000000000001</v>
      </c>
      <c r="D598" s="2">
        <v>91.54</v>
      </c>
    </row>
    <row r="599" spans="1:4">
      <c r="A599" s="3" t="s">
        <v>1224</v>
      </c>
      <c r="B599" s="2">
        <v>117.7</v>
      </c>
      <c r="C599" s="2">
        <v>128.58000000000001</v>
      </c>
      <c r="D599" s="2">
        <v>91.54</v>
      </c>
    </row>
    <row r="600" spans="1:4">
      <c r="A600" s="3" t="s">
        <v>1225</v>
      </c>
      <c r="B600" s="2">
        <v>117.7</v>
      </c>
      <c r="C600" s="2">
        <v>128.58000000000001</v>
      </c>
      <c r="D600" s="2">
        <v>91.54</v>
      </c>
    </row>
    <row r="601" spans="1:4">
      <c r="A601" s="3" t="s">
        <v>1226</v>
      </c>
      <c r="B601" s="2">
        <v>117.7</v>
      </c>
      <c r="C601" s="2">
        <v>128.58000000000001</v>
      </c>
      <c r="D601" s="2">
        <v>91.54</v>
      </c>
    </row>
    <row r="602" spans="1:4">
      <c r="A602" s="3" t="s">
        <v>1227</v>
      </c>
      <c r="B602" s="2">
        <v>0</v>
      </c>
      <c r="C602" s="2">
        <v>439.84</v>
      </c>
      <c r="D602" s="2">
        <v>0</v>
      </c>
    </row>
    <row r="603" spans="1:4">
      <c r="A603" s="3" t="s">
        <v>1228</v>
      </c>
      <c r="B603" s="2">
        <v>0</v>
      </c>
      <c r="C603" s="2">
        <v>90.31</v>
      </c>
      <c r="D603" s="2">
        <v>0</v>
      </c>
    </row>
    <row r="604" spans="1:4">
      <c r="A604" s="3" t="s">
        <v>1229</v>
      </c>
      <c r="B604" s="2">
        <v>117.7</v>
      </c>
      <c r="C604" s="2">
        <v>128.58000000000001</v>
      </c>
      <c r="D604" s="2">
        <v>91.54</v>
      </c>
    </row>
    <row r="605" spans="1:4">
      <c r="A605" s="3" t="s">
        <v>1230</v>
      </c>
      <c r="B605" s="2">
        <v>117.7</v>
      </c>
      <c r="C605" s="2">
        <v>128.58000000000001</v>
      </c>
      <c r="D605" s="2">
        <v>91.54</v>
      </c>
    </row>
    <row r="606" spans="1:4">
      <c r="A606" s="3" t="s">
        <v>1231</v>
      </c>
      <c r="B606" s="2">
        <v>117.7</v>
      </c>
      <c r="C606" s="2">
        <v>128.58000000000001</v>
      </c>
      <c r="D606" s="2">
        <v>91.54</v>
      </c>
    </row>
    <row r="607" spans="1:4">
      <c r="A607" s="3" t="s">
        <v>1232</v>
      </c>
      <c r="B607" s="2">
        <v>117.7</v>
      </c>
      <c r="C607" s="2">
        <v>128.58000000000001</v>
      </c>
      <c r="D607" s="2">
        <v>91.54</v>
      </c>
    </row>
    <row r="608" spans="1:4">
      <c r="A608" s="3" t="s">
        <v>1233</v>
      </c>
      <c r="B608" s="2">
        <v>117.7</v>
      </c>
      <c r="C608" s="2">
        <v>128.58000000000001</v>
      </c>
      <c r="D608" s="2">
        <v>91.54</v>
      </c>
    </row>
    <row r="609" spans="1:4">
      <c r="A609" s="3" t="s">
        <v>1234</v>
      </c>
      <c r="B609" s="2">
        <v>117.7</v>
      </c>
      <c r="C609" s="2">
        <v>128.58000000000001</v>
      </c>
      <c r="D609" s="2">
        <v>91.54</v>
      </c>
    </row>
    <row r="610" spans="1:4">
      <c r="A610" s="3" t="s">
        <v>1235</v>
      </c>
      <c r="B610" s="2">
        <v>117.7</v>
      </c>
      <c r="C610" s="2">
        <v>128.58000000000001</v>
      </c>
      <c r="D610" s="2">
        <v>91.54</v>
      </c>
    </row>
    <row r="611" spans="1:4">
      <c r="A611" s="3" t="s">
        <v>1236</v>
      </c>
      <c r="B611" s="2">
        <v>117.7</v>
      </c>
      <c r="C611" s="2">
        <v>128.58000000000001</v>
      </c>
      <c r="D611" s="2">
        <v>91.54</v>
      </c>
    </row>
    <row r="612" spans="1:4">
      <c r="A612" s="3" t="s">
        <v>1237</v>
      </c>
      <c r="B612" s="2">
        <v>117.7</v>
      </c>
      <c r="C612" s="2">
        <v>128.58000000000001</v>
      </c>
      <c r="D612" s="2">
        <v>91.54</v>
      </c>
    </row>
    <row r="613" spans="1:4">
      <c r="A613" s="3" t="s">
        <v>1238</v>
      </c>
      <c r="B613" s="2">
        <v>117.7</v>
      </c>
      <c r="C613" s="2">
        <v>128.58000000000001</v>
      </c>
      <c r="D613" s="2">
        <v>91.54</v>
      </c>
    </row>
    <row r="614" spans="1:4">
      <c r="A614" s="3" t="s">
        <v>1239</v>
      </c>
      <c r="B614" s="2">
        <v>117.7</v>
      </c>
      <c r="C614" s="2">
        <v>128.58000000000001</v>
      </c>
      <c r="D614" s="2">
        <v>91.54</v>
      </c>
    </row>
    <row r="615" spans="1:4">
      <c r="A615" s="3" t="s">
        <v>1240</v>
      </c>
      <c r="B615" s="2">
        <v>117.7</v>
      </c>
      <c r="C615" s="2">
        <v>128.58000000000001</v>
      </c>
      <c r="D615" s="2">
        <v>91.54</v>
      </c>
    </row>
    <row r="616" spans="1:4">
      <c r="A616" s="3" t="s">
        <v>1241</v>
      </c>
      <c r="B616" s="2">
        <v>117.7</v>
      </c>
      <c r="C616" s="2">
        <v>128.58000000000001</v>
      </c>
      <c r="D616" s="2">
        <v>91.54</v>
      </c>
    </row>
    <row r="617" spans="1:4">
      <c r="A617" s="3" t="s">
        <v>1242</v>
      </c>
      <c r="B617" s="2">
        <v>117.7</v>
      </c>
      <c r="C617" s="2">
        <v>128.58000000000001</v>
      </c>
      <c r="D617" s="2">
        <v>91.54</v>
      </c>
    </row>
    <row r="618" spans="1:4">
      <c r="A618" s="3" t="s">
        <v>1243</v>
      </c>
      <c r="B618" s="2">
        <v>117.7</v>
      </c>
      <c r="C618" s="2">
        <v>128.58000000000001</v>
      </c>
      <c r="D618" s="2">
        <v>91.54</v>
      </c>
    </row>
    <row r="619" spans="1:4">
      <c r="A619" s="3" t="s">
        <v>1244</v>
      </c>
      <c r="B619" s="2">
        <v>117.7</v>
      </c>
      <c r="C619" s="2">
        <v>128.58000000000001</v>
      </c>
      <c r="D619" s="2">
        <v>91.54</v>
      </c>
    </row>
    <row r="620" spans="1:4">
      <c r="A620" s="3" t="s">
        <v>1245</v>
      </c>
      <c r="B620" s="2">
        <v>117.7</v>
      </c>
      <c r="C620" s="2">
        <v>128.58000000000001</v>
      </c>
      <c r="D620" s="2">
        <v>91.54</v>
      </c>
    </row>
    <row r="621" spans="1:4">
      <c r="A621" s="3" t="s">
        <v>1246</v>
      </c>
      <c r="B621" s="2">
        <v>117.7</v>
      </c>
      <c r="C621" s="2">
        <v>128.58000000000001</v>
      </c>
      <c r="D621" s="2">
        <v>91.54</v>
      </c>
    </row>
    <row r="622" spans="1:4">
      <c r="A622" s="3" t="s">
        <v>1247</v>
      </c>
      <c r="B622" s="2">
        <v>117.7</v>
      </c>
      <c r="C622" s="2">
        <v>128.58000000000001</v>
      </c>
      <c r="D622" s="2">
        <v>91.54</v>
      </c>
    </row>
    <row r="623" spans="1:4">
      <c r="A623" s="3" t="s">
        <v>1248</v>
      </c>
      <c r="B623" s="2">
        <v>117.7</v>
      </c>
      <c r="C623" s="2">
        <v>128.58000000000001</v>
      </c>
      <c r="D623" s="2">
        <v>91.54</v>
      </c>
    </row>
    <row r="624" spans="1:4">
      <c r="A624" s="3" t="s">
        <v>1249</v>
      </c>
      <c r="B624" s="2">
        <v>117.7</v>
      </c>
      <c r="C624" s="2">
        <v>128.58000000000001</v>
      </c>
      <c r="D624" s="2">
        <v>91.54</v>
      </c>
    </row>
    <row r="625" spans="1:4">
      <c r="A625" s="3" t="s">
        <v>1250</v>
      </c>
      <c r="B625" s="2">
        <v>117.7</v>
      </c>
      <c r="C625" s="2">
        <v>128.58000000000001</v>
      </c>
      <c r="D625" s="2">
        <v>91.54</v>
      </c>
    </row>
    <row r="626" spans="1:4">
      <c r="A626" s="3" t="s">
        <v>1251</v>
      </c>
      <c r="B626" s="2">
        <v>117.7</v>
      </c>
      <c r="C626" s="2">
        <v>128.58000000000001</v>
      </c>
      <c r="D626" s="2">
        <v>91.54</v>
      </c>
    </row>
    <row r="627" spans="1:4">
      <c r="A627" s="3" t="s">
        <v>1252</v>
      </c>
      <c r="B627" s="2">
        <v>117.7</v>
      </c>
      <c r="C627" s="2">
        <v>128.58000000000001</v>
      </c>
      <c r="D627" s="2">
        <v>91.54</v>
      </c>
    </row>
    <row r="628" spans="1:4">
      <c r="A628" s="3" t="s">
        <v>1253</v>
      </c>
      <c r="B628" s="2">
        <v>117.7</v>
      </c>
      <c r="C628" s="2">
        <v>128.58000000000001</v>
      </c>
      <c r="D628" s="2">
        <v>91.54</v>
      </c>
    </row>
    <row r="629" spans="1:4">
      <c r="A629" s="3" t="s">
        <v>1254</v>
      </c>
      <c r="B629" s="2">
        <v>117.7</v>
      </c>
      <c r="C629" s="2">
        <v>128.58000000000001</v>
      </c>
      <c r="D629" s="2">
        <v>91.54</v>
      </c>
    </row>
    <row r="630" spans="1:4">
      <c r="A630" s="3" t="s">
        <v>1255</v>
      </c>
      <c r="B630" s="2">
        <v>117.7</v>
      </c>
      <c r="C630" s="2">
        <v>128.58000000000001</v>
      </c>
      <c r="D630" s="2">
        <v>91.54</v>
      </c>
    </row>
    <row r="631" spans="1:4">
      <c r="A631" s="3" t="s">
        <v>1256</v>
      </c>
      <c r="B631" s="2">
        <v>117.7</v>
      </c>
      <c r="C631" s="2">
        <v>128.58000000000001</v>
      </c>
      <c r="D631" s="2">
        <v>91.54</v>
      </c>
    </row>
    <row r="632" spans="1:4">
      <c r="A632" s="3" t="s">
        <v>1257</v>
      </c>
      <c r="B632" s="2">
        <v>117.7</v>
      </c>
      <c r="C632" s="2">
        <v>128.58000000000001</v>
      </c>
      <c r="D632" s="2">
        <v>91.54</v>
      </c>
    </row>
    <row r="633" spans="1:4">
      <c r="A633" s="3" t="s">
        <v>1258</v>
      </c>
      <c r="B633" s="2">
        <v>117.7</v>
      </c>
      <c r="C633" s="2">
        <v>128.58000000000001</v>
      </c>
      <c r="D633" s="2">
        <v>91.54</v>
      </c>
    </row>
    <row r="634" spans="1:4">
      <c r="A634" s="3" t="s">
        <v>1259</v>
      </c>
      <c r="B634" s="2">
        <v>117.7</v>
      </c>
      <c r="C634" s="2">
        <v>128.58000000000001</v>
      </c>
      <c r="D634" s="2">
        <v>91.54</v>
      </c>
    </row>
    <row r="635" spans="1:4">
      <c r="A635" s="3" t="s">
        <v>1260</v>
      </c>
      <c r="B635" s="2">
        <v>117.7</v>
      </c>
      <c r="C635" s="2">
        <v>128.58000000000001</v>
      </c>
      <c r="D635" s="2">
        <v>91.54</v>
      </c>
    </row>
    <row r="636" spans="1:4">
      <c r="A636" s="3" t="s">
        <v>1261</v>
      </c>
      <c r="B636" s="2">
        <v>117.7</v>
      </c>
      <c r="C636" s="2">
        <v>128.58000000000001</v>
      </c>
      <c r="D636" s="2">
        <v>91.54</v>
      </c>
    </row>
    <row r="637" spans="1:4">
      <c r="A637" s="3" t="s">
        <v>1262</v>
      </c>
      <c r="B637" s="2">
        <v>117.7</v>
      </c>
      <c r="C637" s="2">
        <v>128.58000000000001</v>
      </c>
      <c r="D637" s="2">
        <v>91.54</v>
      </c>
    </row>
    <row r="638" spans="1:4">
      <c r="A638" s="3" t="s">
        <v>1263</v>
      </c>
      <c r="B638" s="2">
        <v>117.7</v>
      </c>
      <c r="C638" s="2">
        <v>128.58000000000001</v>
      </c>
      <c r="D638" s="2">
        <v>91.54</v>
      </c>
    </row>
    <row r="639" spans="1:4">
      <c r="A639" s="3" t="s">
        <v>1264</v>
      </c>
      <c r="B639" s="2">
        <v>117.7</v>
      </c>
      <c r="C639" s="2">
        <v>128.58000000000001</v>
      </c>
      <c r="D639" s="2">
        <v>91.54</v>
      </c>
    </row>
    <row r="640" spans="1:4">
      <c r="A640" s="3" t="s">
        <v>1265</v>
      </c>
      <c r="B640" s="2">
        <v>117.7</v>
      </c>
      <c r="C640" s="2">
        <v>128.58000000000001</v>
      </c>
      <c r="D640" s="2">
        <v>91.54</v>
      </c>
    </row>
    <row r="641" spans="1:4">
      <c r="A641" s="3" t="s">
        <v>1266</v>
      </c>
      <c r="B641" s="2">
        <v>117.7</v>
      </c>
      <c r="C641" s="2">
        <v>128.58000000000001</v>
      </c>
      <c r="D641" s="2">
        <v>91.54</v>
      </c>
    </row>
    <row r="642" spans="1:4">
      <c r="A642" s="3" t="s">
        <v>1267</v>
      </c>
      <c r="B642" s="2">
        <v>117.7</v>
      </c>
      <c r="C642" s="2">
        <v>128.58000000000001</v>
      </c>
      <c r="D642" s="2">
        <v>91.54</v>
      </c>
    </row>
    <row r="643" spans="1:4">
      <c r="A643" s="3" t="s">
        <v>1268</v>
      </c>
      <c r="B643" s="2">
        <v>117.7</v>
      </c>
      <c r="C643" s="2">
        <v>128.58000000000001</v>
      </c>
      <c r="D643" s="2">
        <v>91.54</v>
      </c>
    </row>
    <row r="644" spans="1:4">
      <c r="A644" s="3" t="s">
        <v>1269</v>
      </c>
      <c r="B644" s="2">
        <v>117.7</v>
      </c>
      <c r="C644" s="2">
        <v>128.58000000000001</v>
      </c>
      <c r="D644" s="2">
        <v>91.54</v>
      </c>
    </row>
    <row r="645" spans="1:4">
      <c r="A645" s="3" t="s">
        <v>1270</v>
      </c>
      <c r="B645" s="2">
        <v>117.7</v>
      </c>
      <c r="C645" s="2">
        <v>128.58000000000001</v>
      </c>
      <c r="D645" s="2">
        <v>91.54</v>
      </c>
    </row>
    <row r="646" spans="1:4">
      <c r="A646" s="3" t="s">
        <v>1271</v>
      </c>
      <c r="B646" s="2">
        <v>117.7</v>
      </c>
      <c r="C646" s="2">
        <v>128.58000000000001</v>
      </c>
      <c r="D646" s="2">
        <v>91.54</v>
      </c>
    </row>
    <row r="647" spans="1:4">
      <c r="A647" s="3" t="s">
        <v>1272</v>
      </c>
      <c r="B647" s="2">
        <v>117.7</v>
      </c>
      <c r="C647" s="2">
        <v>128.58000000000001</v>
      </c>
      <c r="D647" s="2">
        <v>91.54</v>
      </c>
    </row>
    <row r="648" spans="1:4">
      <c r="A648" s="3" t="s">
        <v>1273</v>
      </c>
      <c r="B648" s="2">
        <v>117.7</v>
      </c>
      <c r="C648" s="2">
        <v>128.58000000000001</v>
      </c>
      <c r="D648" s="2">
        <v>91.54</v>
      </c>
    </row>
    <row r="649" spans="1:4">
      <c r="A649" s="3" t="s">
        <v>1274</v>
      </c>
      <c r="B649" s="2">
        <v>117.7</v>
      </c>
      <c r="C649" s="2">
        <v>128.58000000000001</v>
      </c>
      <c r="D649" s="2">
        <v>91.54</v>
      </c>
    </row>
    <row r="650" spans="1:4">
      <c r="A650" s="3" t="s">
        <v>1275</v>
      </c>
      <c r="B650" s="2">
        <v>117.7</v>
      </c>
      <c r="C650" s="2">
        <v>128.58000000000001</v>
      </c>
      <c r="D650" s="2">
        <v>91.54</v>
      </c>
    </row>
    <row r="651" spans="1:4">
      <c r="A651" s="3" t="s">
        <v>1276</v>
      </c>
      <c r="B651" s="2">
        <v>117.7</v>
      </c>
      <c r="C651" s="2">
        <v>128.58000000000001</v>
      </c>
      <c r="D651" s="2">
        <v>91.54</v>
      </c>
    </row>
    <row r="652" spans="1:4">
      <c r="A652" s="3" t="s">
        <v>1277</v>
      </c>
      <c r="B652" s="2">
        <v>117.7</v>
      </c>
      <c r="C652" s="2">
        <v>128.58000000000001</v>
      </c>
      <c r="D652" s="2">
        <v>91.54</v>
      </c>
    </row>
    <row r="653" spans="1:4">
      <c r="A653" s="3" t="s">
        <v>1278</v>
      </c>
      <c r="B653" s="2">
        <v>117.7</v>
      </c>
      <c r="C653" s="2">
        <v>128.58000000000001</v>
      </c>
      <c r="D653" s="2">
        <v>91.54</v>
      </c>
    </row>
    <row r="654" spans="1:4">
      <c r="A654" s="3" t="s">
        <v>1279</v>
      </c>
      <c r="B654" s="2">
        <v>0</v>
      </c>
      <c r="C654" s="2">
        <v>128.58000000000001</v>
      </c>
      <c r="D654" s="2">
        <v>0</v>
      </c>
    </row>
    <row r="655" spans="1:4">
      <c r="A655" s="3" t="s">
        <v>1280</v>
      </c>
      <c r="B655" s="2">
        <v>117.7</v>
      </c>
      <c r="C655" s="2">
        <v>128.58000000000001</v>
      </c>
      <c r="D655" s="2">
        <v>91.54</v>
      </c>
    </row>
    <row r="656" spans="1:4">
      <c r="A656" s="3" t="s">
        <v>1281</v>
      </c>
      <c r="B656" s="2">
        <v>117.7</v>
      </c>
      <c r="C656" s="2">
        <v>128.58000000000001</v>
      </c>
      <c r="D656" s="2">
        <v>91.54</v>
      </c>
    </row>
    <row r="657" spans="1:4">
      <c r="A657" s="3" t="s">
        <v>1282</v>
      </c>
      <c r="B657" s="2">
        <v>117.7</v>
      </c>
      <c r="C657" s="2">
        <v>128.58000000000001</v>
      </c>
      <c r="D657" s="2">
        <v>91.54</v>
      </c>
    </row>
    <row r="658" spans="1:4">
      <c r="A658" s="3" t="s">
        <v>1283</v>
      </c>
      <c r="B658" s="2">
        <v>0</v>
      </c>
      <c r="C658" s="2">
        <v>89.22</v>
      </c>
      <c r="D658" s="2">
        <v>0</v>
      </c>
    </row>
    <row r="659" spans="1:4">
      <c r="A659" s="3" t="s">
        <v>1284</v>
      </c>
      <c r="B659" s="2">
        <v>0</v>
      </c>
      <c r="C659" s="2">
        <v>89.22</v>
      </c>
      <c r="D659" s="2">
        <v>0</v>
      </c>
    </row>
    <row r="660" spans="1:4">
      <c r="A660" s="3" t="s">
        <v>1285</v>
      </c>
      <c r="B660" s="2">
        <v>0</v>
      </c>
      <c r="C660" s="2">
        <v>95.75</v>
      </c>
      <c r="D660" s="2">
        <v>0</v>
      </c>
    </row>
    <row r="661" spans="1:4">
      <c r="A661" s="3" t="s">
        <v>1286</v>
      </c>
      <c r="B661" s="2">
        <v>0</v>
      </c>
      <c r="C661" s="2">
        <v>88.98</v>
      </c>
      <c r="D661" s="2">
        <v>0</v>
      </c>
    </row>
    <row r="662" spans="1:4">
      <c r="A662" s="3" t="s">
        <v>1287</v>
      </c>
      <c r="B662" s="2">
        <v>0</v>
      </c>
      <c r="C662" s="2">
        <v>174.21</v>
      </c>
      <c r="D662" s="2">
        <v>0</v>
      </c>
    </row>
    <row r="663" spans="1:4">
      <c r="A663" s="3" t="s">
        <v>1288</v>
      </c>
      <c r="B663" s="2">
        <v>0</v>
      </c>
      <c r="C663" s="2">
        <v>174.21</v>
      </c>
      <c r="D663" s="2">
        <v>0</v>
      </c>
    </row>
    <row r="664" spans="1:4">
      <c r="A664" s="3" t="s">
        <v>1289</v>
      </c>
      <c r="B664" s="2">
        <v>13.99</v>
      </c>
      <c r="C664" s="2">
        <v>167.6</v>
      </c>
      <c r="D664" s="2">
        <v>8.34</v>
      </c>
    </row>
    <row r="665" spans="1:4">
      <c r="A665" s="3" t="s">
        <v>1290</v>
      </c>
      <c r="B665" s="2">
        <v>13.99</v>
      </c>
      <c r="C665" s="2">
        <v>279.52</v>
      </c>
      <c r="D665" s="2">
        <v>5</v>
      </c>
    </row>
    <row r="666" spans="1:4">
      <c r="A666" s="3" t="s">
        <v>1291</v>
      </c>
      <c r="B666" s="2">
        <v>0</v>
      </c>
      <c r="C666" s="2">
        <v>89.22</v>
      </c>
      <c r="D666" s="2">
        <v>0</v>
      </c>
    </row>
    <row r="667" spans="1:4">
      <c r="A667" s="3" t="s">
        <v>1292</v>
      </c>
      <c r="B667" s="2">
        <v>0</v>
      </c>
      <c r="C667" s="2">
        <v>89.22</v>
      </c>
      <c r="D667" s="2">
        <v>0</v>
      </c>
    </row>
    <row r="668" spans="1:4">
      <c r="A668" s="3" t="s">
        <v>1293</v>
      </c>
      <c r="B668" s="2">
        <v>0</v>
      </c>
      <c r="C668" s="2">
        <v>169.53</v>
      </c>
      <c r="D668" s="2">
        <v>0</v>
      </c>
    </row>
    <row r="669" spans="1:4">
      <c r="A669" s="3" t="s">
        <v>1294</v>
      </c>
      <c r="B669" s="2">
        <v>0</v>
      </c>
      <c r="C669" s="2">
        <v>169.53</v>
      </c>
      <c r="D669" s="2">
        <v>0</v>
      </c>
    </row>
    <row r="670" spans="1:4">
      <c r="A670" s="3" t="s">
        <v>1295</v>
      </c>
      <c r="B670" s="2">
        <v>0</v>
      </c>
      <c r="C670" s="2">
        <v>87.13</v>
      </c>
      <c r="D670" s="2">
        <v>0</v>
      </c>
    </row>
    <row r="671" spans="1:4">
      <c r="A671" s="3" t="s">
        <v>1296</v>
      </c>
      <c r="B671" s="2">
        <v>0</v>
      </c>
      <c r="C671" s="2">
        <v>80.31</v>
      </c>
      <c r="D671" s="2">
        <v>0</v>
      </c>
    </row>
    <row r="672" spans="1:4">
      <c r="A672" s="3" t="s">
        <v>1297</v>
      </c>
      <c r="B672" s="2">
        <v>0</v>
      </c>
      <c r="C672" s="2">
        <v>80.31</v>
      </c>
      <c r="D672" s="2">
        <v>0</v>
      </c>
    </row>
    <row r="673" spans="1:4">
      <c r="A673" s="3" t="s">
        <v>1298</v>
      </c>
      <c r="B673" s="2">
        <v>0</v>
      </c>
      <c r="C673" s="2">
        <v>92.87</v>
      </c>
      <c r="D673" s="2">
        <v>0</v>
      </c>
    </row>
    <row r="674" spans="1:4">
      <c r="A674" s="3" t="s">
        <v>1299</v>
      </c>
      <c r="B674" s="2">
        <v>0</v>
      </c>
      <c r="C674" s="2">
        <v>330.29</v>
      </c>
      <c r="D674" s="2">
        <v>0</v>
      </c>
    </row>
    <row r="675" spans="1:4">
      <c r="A675" s="3" t="s">
        <v>1300</v>
      </c>
      <c r="B675" s="2">
        <v>0</v>
      </c>
      <c r="C675" s="2">
        <v>92.87</v>
      </c>
      <c r="D675" s="2">
        <v>0</v>
      </c>
    </row>
    <row r="676" spans="1:4">
      <c r="A676" s="3" t="s">
        <v>1301</v>
      </c>
      <c r="B676" s="2">
        <v>0</v>
      </c>
      <c r="C676" s="2">
        <v>330</v>
      </c>
      <c r="D676" s="2">
        <v>0</v>
      </c>
    </row>
    <row r="677" spans="1:4">
      <c r="A677" s="3" t="s">
        <v>1302</v>
      </c>
      <c r="B677" s="2">
        <v>0</v>
      </c>
      <c r="C677" s="2">
        <v>80.31</v>
      </c>
      <c r="D677" s="2">
        <v>0</v>
      </c>
    </row>
    <row r="678" spans="1:4">
      <c r="A678" s="3" t="s">
        <v>1303</v>
      </c>
      <c r="B678" s="2">
        <v>0</v>
      </c>
      <c r="C678" s="2">
        <v>91.54</v>
      </c>
      <c r="D678" s="2">
        <v>0</v>
      </c>
    </row>
    <row r="679" spans="1:4">
      <c r="A679" s="3" t="s">
        <v>1304</v>
      </c>
      <c r="B679" s="2">
        <v>0</v>
      </c>
      <c r="C679" s="2">
        <v>291.54000000000002</v>
      </c>
      <c r="D679" s="2">
        <v>0</v>
      </c>
    </row>
    <row r="680" spans="1:4">
      <c r="A680" s="3" t="s">
        <v>1305</v>
      </c>
      <c r="B680" s="2">
        <v>0</v>
      </c>
      <c r="C680" s="2">
        <v>91.54</v>
      </c>
      <c r="D680" s="2">
        <v>0</v>
      </c>
    </row>
    <row r="681" spans="1:4">
      <c r="A681" s="3" t="s">
        <v>1306</v>
      </c>
      <c r="B681" s="2">
        <v>0</v>
      </c>
      <c r="C681" s="2">
        <v>91.54</v>
      </c>
      <c r="D681" s="2">
        <v>0</v>
      </c>
    </row>
    <row r="682" spans="1:4">
      <c r="A682" s="3" t="s">
        <v>1307</v>
      </c>
      <c r="B682" s="2">
        <v>0</v>
      </c>
      <c r="C682" s="2">
        <v>91.54</v>
      </c>
      <c r="D682" s="2">
        <v>0</v>
      </c>
    </row>
    <row r="683" spans="1:4">
      <c r="A683" s="3" t="s">
        <v>1308</v>
      </c>
      <c r="B683" s="2">
        <v>0</v>
      </c>
      <c r="C683" s="2">
        <v>91.54</v>
      </c>
      <c r="D683" s="2">
        <v>0</v>
      </c>
    </row>
    <row r="684" spans="1:4">
      <c r="A684" s="3" t="s">
        <v>1309</v>
      </c>
      <c r="B684" s="2">
        <v>0</v>
      </c>
      <c r="C684" s="2">
        <v>91.54</v>
      </c>
      <c r="D684" s="2">
        <v>0</v>
      </c>
    </row>
    <row r="685" spans="1:4">
      <c r="A685" s="3" t="s">
        <v>1310</v>
      </c>
      <c r="B685" s="2">
        <v>0</v>
      </c>
      <c r="C685" s="2">
        <v>91.54</v>
      </c>
      <c r="D685" s="2">
        <v>0</v>
      </c>
    </row>
    <row r="686" spans="1:4">
      <c r="A686" s="3" t="s">
        <v>1311</v>
      </c>
      <c r="B686" s="2">
        <v>0</v>
      </c>
      <c r="C686" s="2">
        <v>91.54</v>
      </c>
      <c r="D686" s="2">
        <v>0</v>
      </c>
    </row>
    <row r="687" spans="1:4">
      <c r="A687" s="3" t="s">
        <v>1312</v>
      </c>
      <c r="B687" s="2">
        <v>0</v>
      </c>
      <c r="C687" s="2">
        <v>91.54</v>
      </c>
      <c r="D687" s="2">
        <v>0</v>
      </c>
    </row>
    <row r="688" spans="1:4">
      <c r="A688" s="3" t="s">
        <v>1313</v>
      </c>
      <c r="B688" s="2">
        <v>0</v>
      </c>
      <c r="C688" s="2">
        <v>91.54</v>
      </c>
      <c r="D688" s="2">
        <v>0</v>
      </c>
    </row>
    <row r="689" spans="1:4">
      <c r="A689" s="3" t="s">
        <v>1314</v>
      </c>
      <c r="B689" s="2">
        <v>0</v>
      </c>
      <c r="C689" s="2">
        <v>91.54</v>
      </c>
      <c r="D689" s="2">
        <v>0</v>
      </c>
    </row>
    <row r="690" spans="1:4">
      <c r="A690" s="3" t="s">
        <v>1315</v>
      </c>
      <c r="B690" s="2">
        <v>117.7</v>
      </c>
      <c r="C690" s="2">
        <v>128.58000000000001</v>
      </c>
      <c r="D690" s="2">
        <v>91.54</v>
      </c>
    </row>
    <row r="691" spans="1:4">
      <c r="A691" s="3" t="s">
        <v>1316</v>
      </c>
      <c r="B691" s="2">
        <v>117.7</v>
      </c>
      <c r="C691" s="2">
        <v>128.58000000000001</v>
      </c>
      <c r="D691" s="2">
        <v>91.54</v>
      </c>
    </row>
    <row r="692" spans="1:4">
      <c r="A692" s="3" t="s">
        <v>1317</v>
      </c>
      <c r="B692" s="2">
        <v>117.7</v>
      </c>
      <c r="C692" s="2">
        <v>128.58000000000001</v>
      </c>
      <c r="D692" s="2">
        <v>91.54</v>
      </c>
    </row>
    <row r="693" spans="1:4">
      <c r="A693" s="3" t="s">
        <v>1318</v>
      </c>
      <c r="B693" s="2">
        <v>117.7</v>
      </c>
      <c r="C693" s="2">
        <v>128.58000000000001</v>
      </c>
      <c r="D693" s="2">
        <v>91.54</v>
      </c>
    </row>
    <row r="694" spans="1:4">
      <c r="A694" s="3" t="s">
        <v>1319</v>
      </c>
      <c r="B694" s="2">
        <v>117.7</v>
      </c>
      <c r="C694" s="2">
        <v>128.58000000000001</v>
      </c>
      <c r="D694" s="2">
        <v>91.54</v>
      </c>
    </row>
    <row r="695" spans="1:4">
      <c r="A695" s="3" t="s">
        <v>1320</v>
      </c>
      <c r="B695" s="2">
        <v>117.7</v>
      </c>
      <c r="C695" s="2">
        <v>128.58000000000001</v>
      </c>
      <c r="D695" s="2">
        <v>91.54</v>
      </c>
    </row>
    <row r="696" spans="1:4">
      <c r="A696" s="3" t="s">
        <v>1321</v>
      </c>
      <c r="B696" s="2">
        <v>117.7</v>
      </c>
      <c r="C696" s="2">
        <v>128.58000000000001</v>
      </c>
      <c r="D696" s="2">
        <v>91.54</v>
      </c>
    </row>
    <row r="697" spans="1:4">
      <c r="A697" s="3" t="s">
        <v>1322</v>
      </c>
      <c r="B697" s="2">
        <v>117.7</v>
      </c>
      <c r="C697" s="2">
        <v>128.58000000000001</v>
      </c>
      <c r="D697" s="2">
        <v>91.54</v>
      </c>
    </row>
    <row r="698" spans="1:4">
      <c r="A698" s="3" t="s">
        <v>1323</v>
      </c>
      <c r="B698" s="2">
        <v>117.7</v>
      </c>
      <c r="C698" s="2">
        <v>128.58000000000001</v>
      </c>
      <c r="D698" s="2">
        <v>91.54</v>
      </c>
    </row>
    <row r="699" spans="1:4">
      <c r="A699" s="3" t="s">
        <v>1324</v>
      </c>
      <c r="B699" s="2">
        <v>117.7</v>
      </c>
      <c r="C699" s="2">
        <v>128.58000000000001</v>
      </c>
      <c r="D699" s="2">
        <v>91.54</v>
      </c>
    </row>
    <row r="700" spans="1:4">
      <c r="A700" s="3" t="s">
        <v>1325</v>
      </c>
      <c r="B700" s="2">
        <v>117.7</v>
      </c>
      <c r="C700" s="2">
        <v>128.58000000000001</v>
      </c>
      <c r="D700" s="2">
        <v>91.54</v>
      </c>
    </row>
    <row r="701" spans="1:4">
      <c r="A701" s="3" t="s">
        <v>1326</v>
      </c>
      <c r="B701" s="2">
        <v>117.7</v>
      </c>
      <c r="C701" s="2">
        <v>128.58000000000001</v>
      </c>
      <c r="D701" s="2">
        <v>91.54</v>
      </c>
    </row>
    <row r="702" spans="1:4">
      <c r="A702" s="3" t="s">
        <v>1327</v>
      </c>
      <c r="B702" s="2">
        <v>117.7</v>
      </c>
      <c r="C702" s="2">
        <v>128.58000000000001</v>
      </c>
      <c r="D702" s="2">
        <v>91.54</v>
      </c>
    </row>
    <row r="703" spans="1:4">
      <c r="A703" s="3" t="s">
        <v>1328</v>
      </c>
      <c r="B703" s="2">
        <v>117.7</v>
      </c>
      <c r="C703" s="2">
        <v>128.58000000000001</v>
      </c>
      <c r="D703" s="2">
        <v>91.54</v>
      </c>
    </row>
    <row r="704" spans="1:4">
      <c r="A704" s="3" t="s">
        <v>1329</v>
      </c>
      <c r="B704" s="2">
        <v>117.7</v>
      </c>
      <c r="C704" s="2">
        <v>128.58000000000001</v>
      </c>
      <c r="D704" s="2">
        <v>91.54</v>
      </c>
    </row>
    <row r="705" spans="1:4">
      <c r="A705" s="3" t="s">
        <v>1330</v>
      </c>
      <c r="B705" s="2">
        <v>117.7</v>
      </c>
      <c r="C705" s="2">
        <v>128.58000000000001</v>
      </c>
      <c r="D705" s="2">
        <v>91.54</v>
      </c>
    </row>
    <row r="706" spans="1:4">
      <c r="A706" s="3" t="s">
        <v>1331</v>
      </c>
      <c r="B706" s="2">
        <v>117.7</v>
      </c>
      <c r="C706" s="2">
        <v>128.58000000000001</v>
      </c>
      <c r="D706" s="2">
        <v>91.54</v>
      </c>
    </row>
    <row r="707" spans="1:4">
      <c r="A707" s="3" t="s">
        <v>1332</v>
      </c>
      <c r="B707" s="2">
        <v>117.7</v>
      </c>
      <c r="C707" s="2">
        <v>128.58000000000001</v>
      </c>
      <c r="D707" s="2">
        <v>91.54</v>
      </c>
    </row>
    <row r="708" spans="1:4">
      <c r="A708" s="3" t="s">
        <v>1333</v>
      </c>
      <c r="B708" s="2">
        <v>117.7</v>
      </c>
      <c r="C708" s="2">
        <v>128.58000000000001</v>
      </c>
      <c r="D708" s="2">
        <v>91.54</v>
      </c>
    </row>
    <row r="709" spans="1:4">
      <c r="A709" s="3" t="s">
        <v>1334</v>
      </c>
      <c r="B709" s="2">
        <v>117.7</v>
      </c>
      <c r="C709" s="2">
        <v>128.58000000000001</v>
      </c>
      <c r="D709" s="2">
        <v>91.54</v>
      </c>
    </row>
    <row r="710" spans="1:4">
      <c r="A710" s="3" t="s">
        <v>1335</v>
      </c>
      <c r="B710" s="2">
        <v>117.7</v>
      </c>
      <c r="C710" s="2">
        <v>128.58000000000001</v>
      </c>
      <c r="D710" s="2">
        <v>91.54</v>
      </c>
    </row>
    <row r="711" spans="1:4">
      <c r="A711" s="3" t="s">
        <v>1336</v>
      </c>
      <c r="B711" s="2">
        <v>117.7</v>
      </c>
      <c r="C711" s="2">
        <v>128.58000000000001</v>
      </c>
      <c r="D711" s="2">
        <v>91.54</v>
      </c>
    </row>
    <row r="712" spans="1:4">
      <c r="A712" s="3" t="s">
        <v>1337</v>
      </c>
      <c r="B712" s="2">
        <v>117.7</v>
      </c>
      <c r="C712" s="2">
        <v>128.58000000000001</v>
      </c>
      <c r="D712" s="2">
        <v>91.54</v>
      </c>
    </row>
    <row r="713" spans="1:4">
      <c r="A713" s="3" t="s">
        <v>1338</v>
      </c>
      <c r="B713" s="2">
        <v>117.7</v>
      </c>
      <c r="C713" s="2">
        <v>128.58000000000001</v>
      </c>
      <c r="D713" s="2">
        <v>91.54</v>
      </c>
    </row>
    <row r="714" spans="1:4">
      <c r="A714" s="3" t="s">
        <v>1339</v>
      </c>
      <c r="B714" s="2">
        <v>0</v>
      </c>
      <c r="C714" s="2">
        <v>439.84</v>
      </c>
      <c r="D714" s="2">
        <v>0</v>
      </c>
    </row>
    <row r="715" spans="1:4">
      <c r="A715" s="3" t="s">
        <v>1340</v>
      </c>
      <c r="B715" s="2">
        <v>0</v>
      </c>
      <c r="C715" s="2">
        <v>90.31</v>
      </c>
      <c r="D715" s="2">
        <v>0</v>
      </c>
    </row>
    <row r="716" spans="1:4">
      <c r="A716" s="3" t="s">
        <v>1341</v>
      </c>
      <c r="B716" s="2">
        <v>117.7</v>
      </c>
      <c r="C716" s="2">
        <v>128.58000000000001</v>
      </c>
      <c r="D716" s="2">
        <v>91.54</v>
      </c>
    </row>
    <row r="717" spans="1:4">
      <c r="A717" s="3" t="s">
        <v>1342</v>
      </c>
      <c r="B717" s="2">
        <v>117.7</v>
      </c>
      <c r="C717" s="2">
        <v>128.58000000000001</v>
      </c>
      <c r="D717" s="2">
        <v>91.54</v>
      </c>
    </row>
    <row r="718" spans="1:4">
      <c r="A718" s="3" t="s">
        <v>1343</v>
      </c>
      <c r="B718" s="2">
        <v>117.7</v>
      </c>
      <c r="C718" s="2">
        <v>128.58000000000001</v>
      </c>
      <c r="D718" s="2">
        <v>91.54</v>
      </c>
    </row>
    <row r="719" spans="1:4">
      <c r="A719" s="3" t="s">
        <v>1344</v>
      </c>
      <c r="B719" s="2">
        <v>117.7</v>
      </c>
      <c r="C719" s="2">
        <v>128.58000000000001</v>
      </c>
      <c r="D719" s="2">
        <v>91.54</v>
      </c>
    </row>
    <row r="720" spans="1:4">
      <c r="A720" s="3" t="s">
        <v>1345</v>
      </c>
      <c r="B720" s="2">
        <v>117.7</v>
      </c>
      <c r="C720" s="2">
        <v>128.58000000000001</v>
      </c>
      <c r="D720" s="2">
        <v>91.54</v>
      </c>
    </row>
    <row r="721" spans="1:4">
      <c r="A721" s="3" t="s">
        <v>1346</v>
      </c>
      <c r="B721" s="2">
        <v>117.7</v>
      </c>
      <c r="C721" s="2">
        <v>128.58000000000001</v>
      </c>
      <c r="D721" s="2">
        <v>91.54</v>
      </c>
    </row>
    <row r="722" spans="1:4">
      <c r="A722" s="3" t="s">
        <v>1347</v>
      </c>
      <c r="B722" s="2">
        <v>117.7</v>
      </c>
      <c r="C722" s="2">
        <v>128.58000000000001</v>
      </c>
      <c r="D722" s="2">
        <v>91.54</v>
      </c>
    </row>
    <row r="723" spans="1:4">
      <c r="A723" s="3" t="s">
        <v>1348</v>
      </c>
      <c r="B723" s="2">
        <v>117.7</v>
      </c>
      <c r="C723" s="2">
        <v>128.58000000000001</v>
      </c>
      <c r="D723" s="2">
        <v>91.54</v>
      </c>
    </row>
    <row r="724" spans="1:4">
      <c r="A724" s="3" t="s">
        <v>1349</v>
      </c>
      <c r="B724" s="2">
        <v>117.7</v>
      </c>
      <c r="C724" s="2">
        <v>128.58000000000001</v>
      </c>
      <c r="D724" s="2">
        <v>91.54</v>
      </c>
    </row>
    <row r="725" spans="1:4">
      <c r="A725" s="3" t="s">
        <v>1350</v>
      </c>
      <c r="B725" s="2">
        <v>117.7</v>
      </c>
      <c r="C725" s="2">
        <v>128.58000000000001</v>
      </c>
      <c r="D725" s="2">
        <v>91.54</v>
      </c>
    </row>
    <row r="726" spans="1:4">
      <c r="A726" s="3" t="s">
        <v>1351</v>
      </c>
      <c r="B726" s="2">
        <v>117.7</v>
      </c>
      <c r="C726" s="2">
        <v>128.58000000000001</v>
      </c>
      <c r="D726" s="2">
        <v>91.54</v>
      </c>
    </row>
    <row r="727" spans="1:4">
      <c r="A727" s="3" t="s">
        <v>1352</v>
      </c>
      <c r="B727" s="2">
        <v>117.7</v>
      </c>
      <c r="C727" s="2">
        <v>128.58000000000001</v>
      </c>
      <c r="D727" s="2">
        <v>91.54</v>
      </c>
    </row>
    <row r="728" spans="1:4">
      <c r="A728" s="3" t="s">
        <v>1353</v>
      </c>
      <c r="B728" s="2">
        <v>117.7</v>
      </c>
      <c r="C728" s="2">
        <v>128.58000000000001</v>
      </c>
      <c r="D728" s="2">
        <v>91.54</v>
      </c>
    </row>
    <row r="729" spans="1:4">
      <c r="A729" s="3" t="s">
        <v>1354</v>
      </c>
      <c r="B729" s="2">
        <v>117.7</v>
      </c>
      <c r="C729" s="2">
        <v>128.58000000000001</v>
      </c>
      <c r="D729" s="2">
        <v>91.54</v>
      </c>
    </row>
    <row r="730" spans="1:4">
      <c r="A730" s="3" t="s">
        <v>1355</v>
      </c>
      <c r="B730" s="2">
        <v>117.7</v>
      </c>
      <c r="C730" s="2">
        <v>128.58000000000001</v>
      </c>
      <c r="D730" s="2">
        <v>91.54</v>
      </c>
    </row>
    <row r="731" spans="1:4">
      <c r="A731" s="3" t="s">
        <v>1356</v>
      </c>
      <c r="B731" s="2">
        <v>117.7</v>
      </c>
      <c r="C731" s="2">
        <v>128.58000000000001</v>
      </c>
      <c r="D731" s="2">
        <v>91.54</v>
      </c>
    </row>
    <row r="732" spans="1:4">
      <c r="A732" s="3" t="s">
        <v>1357</v>
      </c>
      <c r="B732" s="2">
        <v>117.7</v>
      </c>
      <c r="C732" s="2">
        <v>128.58000000000001</v>
      </c>
      <c r="D732" s="2">
        <v>91.54</v>
      </c>
    </row>
    <row r="733" spans="1:4">
      <c r="A733" s="3" t="s">
        <v>1358</v>
      </c>
      <c r="B733" s="2">
        <v>117.7</v>
      </c>
      <c r="C733" s="2">
        <v>128.58000000000001</v>
      </c>
      <c r="D733" s="2">
        <v>91.54</v>
      </c>
    </row>
    <row r="734" spans="1:4">
      <c r="A734" s="3" t="s">
        <v>1359</v>
      </c>
      <c r="B734" s="2">
        <v>117.7</v>
      </c>
      <c r="C734" s="2">
        <v>128.58000000000001</v>
      </c>
      <c r="D734" s="2">
        <v>91.54</v>
      </c>
    </row>
    <row r="735" spans="1:4">
      <c r="A735" s="3" t="s">
        <v>1360</v>
      </c>
      <c r="B735" s="2">
        <v>117.7</v>
      </c>
      <c r="C735" s="2">
        <v>128.58000000000001</v>
      </c>
      <c r="D735" s="2">
        <v>91.54</v>
      </c>
    </row>
    <row r="736" spans="1:4">
      <c r="A736" s="3" t="s">
        <v>1361</v>
      </c>
      <c r="B736" s="2">
        <v>117.7</v>
      </c>
      <c r="C736" s="2">
        <v>128.58000000000001</v>
      </c>
      <c r="D736" s="2">
        <v>91.54</v>
      </c>
    </row>
    <row r="737" spans="1:4">
      <c r="A737" s="3" t="s">
        <v>1362</v>
      </c>
      <c r="B737" s="2">
        <v>117.7</v>
      </c>
      <c r="C737" s="2">
        <v>128.58000000000001</v>
      </c>
      <c r="D737" s="2">
        <v>91.54</v>
      </c>
    </row>
    <row r="738" spans="1:4">
      <c r="A738" s="3" t="s">
        <v>1363</v>
      </c>
      <c r="B738" s="2">
        <v>117.7</v>
      </c>
      <c r="C738" s="2">
        <v>128.58000000000001</v>
      </c>
      <c r="D738" s="2">
        <v>91.54</v>
      </c>
    </row>
    <row r="739" spans="1:4">
      <c r="A739" s="3" t="s">
        <v>1364</v>
      </c>
      <c r="B739" s="2">
        <v>117.7</v>
      </c>
      <c r="C739" s="2">
        <v>128.58000000000001</v>
      </c>
      <c r="D739" s="2">
        <v>91.54</v>
      </c>
    </row>
    <row r="740" spans="1:4">
      <c r="A740" s="3" t="s">
        <v>1365</v>
      </c>
      <c r="B740" s="2">
        <v>117.7</v>
      </c>
      <c r="C740" s="2">
        <v>128.58000000000001</v>
      </c>
      <c r="D740" s="2">
        <v>91.54</v>
      </c>
    </row>
    <row r="741" spans="1:4">
      <c r="A741" s="3" t="s">
        <v>1366</v>
      </c>
      <c r="B741" s="2">
        <v>117.7</v>
      </c>
      <c r="C741" s="2">
        <v>128.58000000000001</v>
      </c>
      <c r="D741" s="2">
        <v>91.54</v>
      </c>
    </row>
    <row r="742" spans="1:4">
      <c r="A742" s="3" t="s">
        <v>1367</v>
      </c>
      <c r="B742" s="2">
        <v>117.7</v>
      </c>
      <c r="C742" s="2">
        <v>128.58000000000001</v>
      </c>
      <c r="D742" s="2">
        <v>91.54</v>
      </c>
    </row>
    <row r="743" spans="1:4">
      <c r="A743" s="3" t="s">
        <v>1368</v>
      </c>
      <c r="B743" s="2">
        <v>117.7</v>
      </c>
      <c r="C743" s="2">
        <v>128.58000000000001</v>
      </c>
      <c r="D743" s="2">
        <v>91.54</v>
      </c>
    </row>
    <row r="744" spans="1:4">
      <c r="A744" s="3" t="s">
        <v>1369</v>
      </c>
      <c r="B744" s="2">
        <v>117.7</v>
      </c>
      <c r="C744" s="2">
        <v>128.58000000000001</v>
      </c>
      <c r="D744" s="2">
        <v>91.54</v>
      </c>
    </row>
    <row r="745" spans="1:4">
      <c r="A745" s="3" t="s">
        <v>1370</v>
      </c>
      <c r="B745" s="2">
        <v>117.7</v>
      </c>
      <c r="C745" s="2">
        <v>128.58000000000001</v>
      </c>
      <c r="D745" s="2">
        <v>91.54</v>
      </c>
    </row>
    <row r="746" spans="1:4">
      <c r="A746" s="3" t="s">
        <v>1371</v>
      </c>
      <c r="B746" s="2">
        <v>117.7</v>
      </c>
      <c r="C746" s="2">
        <v>128.58000000000001</v>
      </c>
      <c r="D746" s="2">
        <v>91.54</v>
      </c>
    </row>
    <row r="747" spans="1:4">
      <c r="A747" s="3" t="s">
        <v>1372</v>
      </c>
      <c r="B747" s="2">
        <v>117.7</v>
      </c>
      <c r="C747" s="2">
        <v>128.58000000000001</v>
      </c>
      <c r="D747" s="2">
        <v>91.54</v>
      </c>
    </row>
    <row r="748" spans="1:4">
      <c r="A748" s="3" t="s">
        <v>1373</v>
      </c>
      <c r="B748" s="2">
        <v>117.7</v>
      </c>
      <c r="C748" s="2">
        <v>128.58000000000001</v>
      </c>
      <c r="D748" s="2">
        <v>91.54</v>
      </c>
    </row>
    <row r="749" spans="1:4">
      <c r="A749" s="3" t="s">
        <v>1374</v>
      </c>
      <c r="B749" s="2">
        <v>117.7</v>
      </c>
      <c r="C749" s="2">
        <v>128.58000000000001</v>
      </c>
      <c r="D749" s="2">
        <v>91.54</v>
      </c>
    </row>
    <row r="750" spans="1:4">
      <c r="A750" s="3" t="s">
        <v>1375</v>
      </c>
      <c r="B750" s="2">
        <v>117.7</v>
      </c>
      <c r="C750" s="2">
        <v>128.58000000000001</v>
      </c>
      <c r="D750" s="2">
        <v>91.54</v>
      </c>
    </row>
    <row r="751" spans="1:4">
      <c r="A751" s="3" t="s">
        <v>1376</v>
      </c>
      <c r="B751" s="2">
        <v>117.7</v>
      </c>
      <c r="C751" s="2">
        <v>128.58000000000001</v>
      </c>
      <c r="D751" s="2">
        <v>91.54</v>
      </c>
    </row>
    <row r="752" spans="1:4">
      <c r="A752" s="3" t="s">
        <v>1377</v>
      </c>
      <c r="B752" s="2">
        <v>117.7</v>
      </c>
      <c r="C752" s="2">
        <v>128.58000000000001</v>
      </c>
      <c r="D752" s="2">
        <v>91.54</v>
      </c>
    </row>
    <row r="753" spans="1:4">
      <c r="A753" s="3" t="s">
        <v>1378</v>
      </c>
      <c r="B753" s="2">
        <v>117.7</v>
      </c>
      <c r="C753" s="2">
        <v>128.58000000000001</v>
      </c>
      <c r="D753" s="2">
        <v>91.54</v>
      </c>
    </row>
    <row r="754" spans="1:4">
      <c r="A754" s="3" t="s">
        <v>1379</v>
      </c>
      <c r="B754" s="2">
        <v>117.7</v>
      </c>
      <c r="C754" s="2">
        <v>128.58000000000001</v>
      </c>
      <c r="D754" s="2">
        <v>91.54</v>
      </c>
    </row>
    <row r="755" spans="1:4">
      <c r="A755" s="3" t="s">
        <v>1380</v>
      </c>
      <c r="B755" s="2">
        <v>117.7</v>
      </c>
      <c r="C755" s="2">
        <v>128.58000000000001</v>
      </c>
      <c r="D755" s="2">
        <v>91.54</v>
      </c>
    </row>
    <row r="756" spans="1:4">
      <c r="A756" s="3" t="s">
        <v>1381</v>
      </c>
      <c r="B756" s="2">
        <v>117.7</v>
      </c>
      <c r="C756" s="2">
        <v>128.58000000000001</v>
      </c>
      <c r="D756" s="2">
        <v>91.54</v>
      </c>
    </row>
    <row r="757" spans="1:4">
      <c r="A757" s="3" t="s">
        <v>1382</v>
      </c>
      <c r="B757" s="2">
        <v>117.7</v>
      </c>
      <c r="C757" s="2">
        <v>128.58000000000001</v>
      </c>
      <c r="D757" s="2">
        <v>91.54</v>
      </c>
    </row>
    <row r="758" spans="1:4">
      <c r="A758" s="3" t="s">
        <v>1383</v>
      </c>
      <c r="B758" s="2">
        <v>117.7</v>
      </c>
      <c r="C758" s="2">
        <v>128.58000000000001</v>
      </c>
      <c r="D758" s="2">
        <v>91.54</v>
      </c>
    </row>
    <row r="759" spans="1:4">
      <c r="A759" s="3" t="s">
        <v>1384</v>
      </c>
      <c r="B759" s="2">
        <v>117.7</v>
      </c>
      <c r="C759" s="2">
        <v>128.58000000000001</v>
      </c>
      <c r="D759" s="2">
        <v>91.54</v>
      </c>
    </row>
    <row r="760" spans="1:4">
      <c r="A760" s="3" t="s">
        <v>1385</v>
      </c>
      <c r="B760" s="2">
        <v>117.7</v>
      </c>
      <c r="C760" s="2">
        <v>128.58000000000001</v>
      </c>
      <c r="D760" s="2">
        <v>91.54</v>
      </c>
    </row>
    <row r="761" spans="1:4">
      <c r="A761" s="3" t="s">
        <v>1386</v>
      </c>
      <c r="B761" s="2">
        <v>117.7</v>
      </c>
      <c r="C761" s="2">
        <v>128.58000000000001</v>
      </c>
      <c r="D761" s="2">
        <v>91.54</v>
      </c>
    </row>
    <row r="762" spans="1:4">
      <c r="A762" s="3" t="s">
        <v>1387</v>
      </c>
      <c r="B762" s="2">
        <v>117.7</v>
      </c>
      <c r="C762" s="2">
        <v>128.58000000000001</v>
      </c>
      <c r="D762" s="2">
        <v>91.54</v>
      </c>
    </row>
    <row r="763" spans="1:4">
      <c r="A763" s="3" t="s">
        <v>1388</v>
      </c>
      <c r="B763" s="2">
        <v>117.7</v>
      </c>
      <c r="C763" s="2">
        <v>128.58000000000001</v>
      </c>
      <c r="D763" s="2">
        <v>91.54</v>
      </c>
    </row>
    <row r="764" spans="1:4">
      <c r="A764" s="3" t="s">
        <v>1389</v>
      </c>
      <c r="B764" s="2">
        <v>117.7</v>
      </c>
      <c r="C764" s="2">
        <v>128.58000000000001</v>
      </c>
      <c r="D764" s="2">
        <v>91.54</v>
      </c>
    </row>
    <row r="765" spans="1:4">
      <c r="A765" s="3" t="s">
        <v>1390</v>
      </c>
      <c r="B765" s="2">
        <v>117.7</v>
      </c>
      <c r="C765" s="2">
        <v>128.58000000000001</v>
      </c>
      <c r="D765" s="2">
        <v>91.54</v>
      </c>
    </row>
    <row r="766" spans="1:4">
      <c r="A766" s="3" t="s">
        <v>1391</v>
      </c>
      <c r="B766" s="2">
        <v>117.7</v>
      </c>
      <c r="C766" s="2">
        <v>128.58000000000001</v>
      </c>
      <c r="D766" s="2">
        <v>91.54</v>
      </c>
    </row>
    <row r="767" spans="1:4">
      <c r="A767" s="3" t="s">
        <v>1392</v>
      </c>
      <c r="B767" s="2">
        <v>117.7</v>
      </c>
      <c r="C767" s="2">
        <v>128.58000000000001</v>
      </c>
      <c r="D767" s="2">
        <v>91.54</v>
      </c>
    </row>
    <row r="768" spans="1:4">
      <c r="A768" s="3" t="s">
        <v>1393</v>
      </c>
      <c r="B768" s="2">
        <v>117.7</v>
      </c>
      <c r="C768" s="2">
        <v>128.58000000000001</v>
      </c>
      <c r="D768" s="2">
        <v>91.54</v>
      </c>
    </row>
    <row r="769" spans="1:4">
      <c r="A769" s="3" t="s">
        <v>1394</v>
      </c>
      <c r="B769" s="2">
        <v>117.7</v>
      </c>
      <c r="C769" s="2">
        <v>128.58000000000001</v>
      </c>
      <c r="D769" s="2">
        <v>91.54</v>
      </c>
    </row>
    <row r="770" spans="1:4">
      <c r="A770" s="3" t="s">
        <v>1395</v>
      </c>
      <c r="B770" s="2">
        <v>0</v>
      </c>
      <c r="C770" s="2">
        <v>89.22</v>
      </c>
      <c r="D770" s="2">
        <v>0</v>
      </c>
    </row>
    <row r="771" spans="1:4">
      <c r="A771" s="3" t="s">
        <v>1396</v>
      </c>
      <c r="B771" s="2">
        <v>0</v>
      </c>
      <c r="C771" s="2">
        <v>89.22</v>
      </c>
      <c r="D771" s="2">
        <v>0</v>
      </c>
    </row>
    <row r="772" spans="1:4">
      <c r="A772" s="3" t="s">
        <v>1397</v>
      </c>
      <c r="B772" s="2">
        <v>0</v>
      </c>
      <c r="C772" s="2">
        <v>95.75</v>
      </c>
      <c r="D772" s="2">
        <v>0</v>
      </c>
    </row>
    <row r="773" spans="1:4">
      <c r="A773" s="3" t="s">
        <v>1398</v>
      </c>
      <c r="B773" s="2">
        <v>0</v>
      </c>
      <c r="C773" s="2">
        <v>88.98</v>
      </c>
      <c r="D773" s="2">
        <v>0</v>
      </c>
    </row>
    <row r="774" spans="1:4">
      <c r="A774" s="3" t="s">
        <v>1399</v>
      </c>
      <c r="B774" s="2">
        <v>0</v>
      </c>
      <c r="C774" s="2">
        <v>174.21</v>
      </c>
      <c r="D774" s="2">
        <v>0</v>
      </c>
    </row>
    <row r="775" spans="1:4">
      <c r="A775" s="3" t="s">
        <v>1400</v>
      </c>
      <c r="B775" s="2">
        <v>0</v>
      </c>
      <c r="C775" s="2">
        <v>174.21</v>
      </c>
      <c r="D775" s="2">
        <v>0</v>
      </c>
    </row>
    <row r="776" spans="1:4">
      <c r="A776" s="3" t="s">
        <v>1401</v>
      </c>
      <c r="B776" s="2">
        <v>13.99</v>
      </c>
      <c r="C776" s="2">
        <v>167.6</v>
      </c>
      <c r="D776" s="2">
        <v>8.34</v>
      </c>
    </row>
    <row r="777" spans="1:4">
      <c r="A777" s="3" t="s">
        <v>1402</v>
      </c>
      <c r="B777" s="2">
        <v>13.99</v>
      </c>
      <c r="C777" s="2">
        <v>279.52</v>
      </c>
      <c r="D777" s="2">
        <v>5</v>
      </c>
    </row>
    <row r="778" spans="1:4">
      <c r="A778" s="3" t="s">
        <v>1403</v>
      </c>
      <c r="B778" s="2">
        <v>0</v>
      </c>
      <c r="C778" s="2">
        <v>89.22</v>
      </c>
      <c r="D778" s="2">
        <v>0</v>
      </c>
    </row>
    <row r="779" spans="1:4">
      <c r="A779" s="3" t="s">
        <v>1404</v>
      </c>
      <c r="B779" s="2">
        <v>0</v>
      </c>
      <c r="C779" s="2">
        <v>89.22</v>
      </c>
      <c r="D779" s="2">
        <v>0</v>
      </c>
    </row>
    <row r="780" spans="1:4">
      <c r="A780" s="3" t="s">
        <v>1405</v>
      </c>
      <c r="B780" s="2">
        <v>0</v>
      </c>
      <c r="C780" s="2">
        <v>169.53</v>
      </c>
      <c r="D780" s="2">
        <v>0</v>
      </c>
    </row>
    <row r="781" spans="1:4">
      <c r="A781" s="3" t="s">
        <v>1406</v>
      </c>
      <c r="B781" s="2">
        <v>0</v>
      </c>
      <c r="C781" s="2">
        <v>169.53</v>
      </c>
      <c r="D781" s="2">
        <v>0</v>
      </c>
    </row>
    <row r="782" spans="1:4">
      <c r="A782" s="3" t="s">
        <v>1407</v>
      </c>
      <c r="B782" s="2">
        <v>0</v>
      </c>
      <c r="C782" s="2">
        <v>87.13</v>
      </c>
      <c r="D782" s="2">
        <v>0</v>
      </c>
    </row>
    <row r="783" spans="1:4">
      <c r="A783" s="3" t="s">
        <v>1408</v>
      </c>
      <c r="B783" s="2">
        <v>0</v>
      </c>
      <c r="C783" s="2">
        <v>80.31</v>
      </c>
      <c r="D783" s="2">
        <v>0</v>
      </c>
    </row>
    <row r="784" spans="1:4">
      <c r="A784" s="3" t="s">
        <v>1409</v>
      </c>
      <c r="B784" s="2">
        <v>0</v>
      </c>
      <c r="C784" s="2">
        <v>80.31</v>
      </c>
      <c r="D784" s="2">
        <v>0</v>
      </c>
    </row>
    <row r="785" spans="1:4">
      <c r="A785" s="3" t="s">
        <v>1410</v>
      </c>
      <c r="B785" s="2">
        <v>0</v>
      </c>
      <c r="C785" s="2">
        <v>92.87</v>
      </c>
      <c r="D785" s="2">
        <v>0</v>
      </c>
    </row>
    <row r="786" spans="1:4">
      <c r="A786" s="3" t="s">
        <v>1411</v>
      </c>
      <c r="B786" s="2">
        <v>0</v>
      </c>
      <c r="C786" s="2">
        <v>330.29</v>
      </c>
      <c r="D786" s="2">
        <v>0</v>
      </c>
    </row>
    <row r="787" spans="1:4">
      <c r="A787" s="3" t="s">
        <v>1412</v>
      </c>
      <c r="B787" s="2">
        <v>0</v>
      </c>
      <c r="C787" s="2">
        <v>92.87</v>
      </c>
      <c r="D787" s="2">
        <v>0</v>
      </c>
    </row>
    <row r="788" spans="1:4">
      <c r="A788" s="3" t="s">
        <v>1413</v>
      </c>
      <c r="B788" s="2">
        <v>0</v>
      </c>
      <c r="C788" s="2">
        <v>330</v>
      </c>
      <c r="D788" s="2">
        <v>0</v>
      </c>
    </row>
    <row r="789" spans="1:4">
      <c r="A789" s="3" t="s">
        <v>1414</v>
      </c>
      <c r="B789" s="2">
        <v>0</v>
      </c>
      <c r="C789" s="2">
        <v>80.31</v>
      </c>
      <c r="D789" s="2">
        <v>0</v>
      </c>
    </row>
    <row r="790" spans="1:4">
      <c r="A790" s="3" t="s">
        <v>1415</v>
      </c>
      <c r="B790" s="2">
        <v>0</v>
      </c>
      <c r="C790" s="2">
        <v>91.54</v>
      </c>
      <c r="D790" s="2">
        <v>0</v>
      </c>
    </row>
    <row r="791" spans="1:4">
      <c r="A791" s="3" t="s">
        <v>1416</v>
      </c>
      <c r="B791" s="2">
        <v>0</v>
      </c>
      <c r="C791" s="2">
        <v>291.54000000000002</v>
      </c>
      <c r="D791" s="2">
        <v>0</v>
      </c>
    </row>
    <row r="792" spans="1:4">
      <c r="A792" s="3" t="s">
        <v>1417</v>
      </c>
      <c r="B792" s="2">
        <v>0</v>
      </c>
      <c r="C792" s="2">
        <v>91.54</v>
      </c>
      <c r="D792" s="2">
        <v>0</v>
      </c>
    </row>
    <row r="793" spans="1:4">
      <c r="A793" s="3" t="s">
        <v>1418</v>
      </c>
      <c r="B793" s="2">
        <v>0</v>
      </c>
      <c r="C793" s="2">
        <v>91.54</v>
      </c>
      <c r="D793" s="2">
        <v>0</v>
      </c>
    </row>
    <row r="794" spans="1:4">
      <c r="A794" s="3" t="s">
        <v>1419</v>
      </c>
      <c r="B794" s="2">
        <v>0</v>
      </c>
      <c r="C794" s="2">
        <v>91.54</v>
      </c>
      <c r="D794" s="2">
        <v>0</v>
      </c>
    </row>
    <row r="795" spans="1:4">
      <c r="A795" s="3" t="s">
        <v>1420</v>
      </c>
      <c r="B795" s="2">
        <v>0</v>
      </c>
      <c r="C795" s="2">
        <v>91.54</v>
      </c>
      <c r="D795" s="2">
        <v>0</v>
      </c>
    </row>
    <row r="796" spans="1:4">
      <c r="A796" s="3" t="s">
        <v>1421</v>
      </c>
      <c r="B796" s="2">
        <v>0</v>
      </c>
      <c r="C796" s="2">
        <v>91.54</v>
      </c>
      <c r="D796" s="2">
        <v>0</v>
      </c>
    </row>
    <row r="797" spans="1:4">
      <c r="A797" s="3" t="s">
        <v>1422</v>
      </c>
      <c r="B797" s="2">
        <v>0</v>
      </c>
      <c r="C797" s="2">
        <v>91.54</v>
      </c>
      <c r="D797" s="2">
        <v>0</v>
      </c>
    </row>
    <row r="798" spans="1:4">
      <c r="A798" s="3" t="s">
        <v>1423</v>
      </c>
      <c r="B798" s="2">
        <v>0</v>
      </c>
      <c r="C798" s="2">
        <v>91.54</v>
      </c>
      <c r="D798" s="2">
        <v>0</v>
      </c>
    </row>
    <row r="799" spans="1:4">
      <c r="A799" s="3" t="s">
        <v>1424</v>
      </c>
      <c r="B799" s="2">
        <v>0</v>
      </c>
      <c r="C799" s="2">
        <v>91.54</v>
      </c>
      <c r="D799" s="2">
        <v>0</v>
      </c>
    </row>
    <row r="800" spans="1:4">
      <c r="A800" s="3" t="s">
        <v>1425</v>
      </c>
      <c r="B800" s="2">
        <v>0</v>
      </c>
      <c r="C800" s="2">
        <v>91.54</v>
      </c>
      <c r="D800" s="2">
        <v>0</v>
      </c>
    </row>
    <row r="801" spans="1:4">
      <c r="A801" s="3" t="s">
        <v>1426</v>
      </c>
      <c r="B801" s="2">
        <v>0</v>
      </c>
      <c r="C801" s="2">
        <v>91.54</v>
      </c>
      <c r="D801" s="2">
        <v>0</v>
      </c>
    </row>
    <row r="802" spans="1:4">
      <c r="A802" s="3" t="s">
        <v>145</v>
      </c>
      <c r="B802" s="2">
        <v>0</v>
      </c>
      <c r="C802" s="2">
        <v>99.22</v>
      </c>
      <c r="D802" s="2">
        <v>0</v>
      </c>
    </row>
    <row r="803" spans="1:4">
      <c r="A803" s="3" t="s">
        <v>146</v>
      </c>
      <c r="B803" s="2">
        <v>0</v>
      </c>
      <c r="C803" s="2">
        <v>95.82</v>
      </c>
      <c r="D803" s="2">
        <v>0</v>
      </c>
    </row>
    <row r="804" spans="1:4">
      <c r="A804" s="3" t="s">
        <v>1427</v>
      </c>
      <c r="B804" s="2">
        <v>0</v>
      </c>
      <c r="C804" s="2">
        <v>561.24</v>
      </c>
      <c r="D804" s="2">
        <v>0</v>
      </c>
    </row>
    <row r="805" spans="1:4">
      <c r="A805" s="3" t="s">
        <v>1428</v>
      </c>
      <c r="B805" s="2">
        <v>0</v>
      </c>
      <c r="C805" s="2">
        <v>561.24</v>
      </c>
      <c r="D805" s="2">
        <v>0</v>
      </c>
    </row>
    <row r="806" spans="1:4">
      <c r="A806" s="3" t="s">
        <v>1429</v>
      </c>
      <c r="B806" s="2">
        <v>0</v>
      </c>
      <c r="C806" s="2">
        <v>383.39</v>
      </c>
      <c r="D806" s="2">
        <v>0</v>
      </c>
    </row>
    <row r="807" spans="1:4">
      <c r="A807" s="3" t="s">
        <v>1430</v>
      </c>
      <c r="B807" s="2">
        <v>0</v>
      </c>
      <c r="C807" s="2">
        <v>383.39</v>
      </c>
      <c r="D807" s="2">
        <v>0</v>
      </c>
    </row>
    <row r="808" spans="1:4">
      <c r="A808" s="3" t="s">
        <v>147</v>
      </c>
      <c r="B808" s="2">
        <v>0</v>
      </c>
      <c r="C808" s="2">
        <v>5280.62</v>
      </c>
      <c r="D808" s="2">
        <v>0</v>
      </c>
    </row>
    <row r="809" spans="1:4">
      <c r="A809" s="3" t="s">
        <v>148</v>
      </c>
      <c r="B809" s="2">
        <v>0</v>
      </c>
      <c r="C809" s="2">
        <v>5369.38</v>
      </c>
      <c r="D809" s="2">
        <v>0</v>
      </c>
    </row>
    <row r="810" spans="1:4">
      <c r="A810" s="3" t="s">
        <v>46</v>
      </c>
      <c r="B810" s="2">
        <v>944.9</v>
      </c>
      <c r="C810" s="2">
        <v>1599.38</v>
      </c>
      <c r="D810" s="2">
        <v>59.08</v>
      </c>
    </row>
    <row r="811" spans="1:4">
      <c r="A811" s="3" t="s">
        <v>48</v>
      </c>
      <c r="B811" s="2">
        <v>944.89</v>
      </c>
      <c r="C811" s="2">
        <v>1709.61</v>
      </c>
      <c r="D811" s="2">
        <v>55.27</v>
      </c>
    </row>
    <row r="812" spans="1:4">
      <c r="A812" s="3" t="s">
        <v>1431</v>
      </c>
      <c r="B812" s="2">
        <v>341.01</v>
      </c>
      <c r="C812" s="2">
        <v>6692.95</v>
      </c>
      <c r="D812" s="2">
        <v>5.0999999999999996</v>
      </c>
    </row>
    <row r="813" spans="1:4">
      <c r="A813" s="3" t="s">
        <v>1432</v>
      </c>
      <c r="B813" s="2">
        <v>356.39</v>
      </c>
      <c r="C813" s="2">
        <v>3068.27</v>
      </c>
      <c r="D813" s="2">
        <v>11.62</v>
      </c>
    </row>
    <row r="814" spans="1:4">
      <c r="A814" s="3" t="s">
        <v>1433</v>
      </c>
      <c r="B814" s="2">
        <v>312.16000000000003</v>
      </c>
      <c r="C814" s="2">
        <v>6199</v>
      </c>
      <c r="D814" s="2">
        <v>5.04</v>
      </c>
    </row>
    <row r="815" spans="1:4">
      <c r="A815" s="3" t="s">
        <v>1434</v>
      </c>
      <c r="B815" s="2">
        <v>0</v>
      </c>
      <c r="C815" s="2">
        <v>10978.43</v>
      </c>
      <c r="D815" s="2">
        <v>0</v>
      </c>
    </row>
    <row r="816" spans="1:4">
      <c r="A816" s="3" t="s">
        <v>1435</v>
      </c>
      <c r="B816" s="2">
        <v>408.5</v>
      </c>
      <c r="C816" s="2">
        <v>5472.49</v>
      </c>
      <c r="D816" s="2">
        <v>7.46</v>
      </c>
    </row>
    <row r="817" spans="1:4">
      <c r="A817" s="3" t="s">
        <v>1436</v>
      </c>
      <c r="B817" s="2">
        <v>2554.38</v>
      </c>
      <c r="C817" s="2">
        <v>14281.6</v>
      </c>
      <c r="D817" s="2">
        <v>17.89</v>
      </c>
    </row>
    <row r="818" spans="1:4">
      <c r="A818" s="3" t="s">
        <v>1437</v>
      </c>
      <c r="B818" s="2">
        <v>401.49</v>
      </c>
      <c r="C818" s="2">
        <v>5529.58</v>
      </c>
      <c r="D818" s="2">
        <v>7.26</v>
      </c>
    </row>
    <row r="819" spans="1:4">
      <c r="A819" s="3" t="s">
        <v>1438</v>
      </c>
      <c r="B819" s="2">
        <v>779.88</v>
      </c>
      <c r="C819" s="2">
        <v>4987.5200000000004</v>
      </c>
      <c r="D819" s="2">
        <v>15.64</v>
      </c>
    </row>
    <row r="820" spans="1:4">
      <c r="A820" s="3" t="s">
        <v>1439</v>
      </c>
      <c r="B820" s="2">
        <v>355.18</v>
      </c>
      <c r="C820" s="2">
        <v>3725.25</v>
      </c>
      <c r="D820" s="2">
        <v>9.5299999999999994</v>
      </c>
    </row>
    <row r="821" spans="1:4">
      <c r="A821" s="3" t="s">
        <v>1440</v>
      </c>
      <c r="B821" s="2">
        <v>346.84</v>
      </c>
      <c r="C821" s="2">
        <v>4044.1</v>
      </c>
      <c r="D821" s="2">
        <v>8.58</v>
      </c>
    </row>
    <row r="822" spans="1:4">
      <c r="A822" s="3" t="s">
        <v>1441</v>
      </c>
      <c r="B822" s="2">
        <v>719.72</v>
      </c>
      <c r="C822" s="2">
        <v>4582.99</v>
      </c>
      <c r="D822" s="2">
        <v>15.7</v>
      </c>
    </row>
    <row r="823" spans="1:4">
      <c r="A823" s="3" t="s">
        <v>1442</v>
      </c>
      <c r="B823" s="2">
        <v>330.03</v>
      </c>
      <c r="C823" s="2">
        <v>4371.66</v>
      </c>
      <c r="D823" s="2">
        <v>7.55</v>
      </c>
    </row>
    <row r="824" spans="1:4">
      <c r="A824" s="3" t="s">
        <v>1443</v>
      </c>
      <c r="B824" s="2">
        <v>0</v>
      </c>
      <c r="C824" s="2">
        <v>5507.48</v>
      </c>
      <c r="D824" s="2">
        <v>0</v>
      </c>
    </row>
    <row r="825" spans="1:4">
      <c r="A825" s="3" t="s">
        <v>1444</v>
      </c>
      <c r="B825" s="2">
        <v>2867.74</v>
      </c>
      <c r="C825" s="2">
        <v>1597.71</v>
      </c>
      <c r="D825" s="2">
        <v>179.49</v>
      </c>
    </row>
    <row r="826" spans="1:4">
      <c r="A826" s="3" t="s">
        <v>209</v>
      </c>
      <c r="B826" s="2">
        <v>2867.9</v>
      </c>
      <c r="C826" s="2">
        <v>1267</v>
      </c>
      <c r="D826" s="2">
        <v>226.35</v>
      </c>
    </row>
    <row r="827" spans="1:4">
      <c r="A827" s="3" t="s">
        <v>1445</v>
      </c>
      <c r="B827" s="2">
        <v>2867.66</v>
      </c>
      <c r="C827" s="2">
        <v>1550.47</v>
      </c>
      <c r="D827" s="2">
        <v>184.95</v>
      </c>
    </row>
    <row r="828" spans="1:4">
      <c r="A828" s="3" t="s">
        <v>238</v>
      </c>
      <c r="B828" s="2">
        <v>2867.99</v>
      </c>
      <c r="C828" s="2">
        <v>1251.26</v>
      </c>
      <c r="D828" s="2">
        <v>229.21</v>
      </c>
    </row>
    <row r="829" spans="1:4">
      <c r="A829" s="3" t="s">
        <v>1446</v>
      </c>
      <c r="B829" s="2">
        <v>0</v>
      </c>
      <c r="C829" s="2">
        <v>4368.49</v>
      </c>
      <c r="D829" s="2">
        <v>0</v>
      </c>
    </row>
    <row r="830" spans="1:4">
      <c r="A830" s="3" t="s">
        <v>1447</v>
      </c>
      <c r="B830" s="2">
        <v>1824.24</v>
      </c>
      <c r="C830" s="2">
        <v>11206.24</v>
      </c>
      <c r="D830" s="2">
        <v>16.28</v>
      </c>
    </row>
    <row r="831" spans="1:4">
      <c r="A831" s="3" t="s">
        <v>1448</v>
      </c>
      <c r="B831" s="2">
        <v>85.99</v>
      </c>
      <c r="C831" s="2">
        <v>5646.3</v>
      </c>
      <c r="D831" s="2">
        <v>1.52</v>
      </c>
    </row>
    <row r="832" spans="1:4">
      <c r="A832" s="3" t="s">
        <v>1449</v>
      </c>
      <c r="B832" s="2">
        <v>147.51</v>
      </c>
      <c r="C832" s="2">
        <v>9010.9599999999991</v>
      </c>
      <c r="D832" s="2">
        <v>1.64</v>
      </c>
    </row>
    <row r="833" spans="1:4">
      <c r="A833" s="3" t="s">
        <v>1450</v>
      </c>
      <c r="B833" s="2">
        <v>209.03</v>
      </c>
      <c r="C833" s="2">
        <v>9114.81</v>
      </c>
      <c r="D833" s="2">
        <v>2.29</v>
      </c>
    </row>
    <row r="834" spans="1:4">
      <c r="A834" s="3" t="s">
        <v>1451</v>
      </c>
      <c r="B834" s="2">
        <v>361.64</v>
      </c>
      <c r="C834" s="2">
        <v>404.17</v>
      </c>
      <c r="D834" s="2">
        <v>89.48</v>
      </c>
    </row>
    <row r="835" spans="1:4">
      <c r="A835" s="3" t="s">
        <v>1452</v>
      </c>
      <c r="B835" s="2">
        <v>0</v>
      </c>
      <c r="C835" s="2">
        <v>1860</v>
      </c>
      <c r="D835" s="2">
        <v>0</v>
      </c>
    </row>
    <row r="836" spans="1:4">
      <c r="A836" s="3" t="s">
        <v>1453</v>
      </c>
      <c r="B836" s="2">
        <v>0</v>
      </c>
      <c r="C836" s="2">
        <v>520</v>
      </c>
      <c r="D836" s="2">
        <v>0</v>
      </c>
    </row>
    <row r="837" spans="1:4">
      <c r="A837" s="3" t="s">
        <v>1454</v>
      </c>
      <c r="B837" s="2">
        <v>0</v>
      </c>
      <c r="C837" s="2">
        <v>530</v>
      </c>
      <c r="D837" s="2">
        <v>0</v>
      </c>
    </row>
    <row r="838" spans="1:4">
      <c r="A838" s="3" t="s">
        <v>1455</v>
      </c>
      <c r="B838" s="2">
        <v>0</v>
      </c>
      <c r="C838" s="2">
        <v>1510.32</v>
      </c>
      <c r="D838" s="2">
        <v>0</v>
      </c>
    </row>
    <row r="839" spans="1:4">
      <c r="A839" s="3" t="s">
        <v>1456</v>
      </c>
      <c r="B839" s="2">
        <v>0</v>
      </c>
      <c r="C839" s="2">
        <v>529.67999999999995</v>
      </c>
      <c r="D839" s="2">
        <v>0</v>
      </c>
    </row>
    <row r="840" spans="1:4">
      <c r="A840" s="3" t="s">
        <v>1457</v>
      </c>
      <c r="B840" s="2">
        <v>0</v>
      </c>
      <c r="C840" s="2">
        <v>5284.72</v>
      </c>
      <c r="D840" s="2">
        <v>0</v>
      </c>
    </row>
    <row r="841" spans="1:4">
      <c r="A841" s="3" t="s">
        <v>1458</v>
      </c>
      <c r="B841" s="2">
        <v>0</v>
      </c>
      <c r="C841" s="2">
        <v>1860</v>
      </c>
      <c r="D841" s="2">
        <v>0</v>
      </c>
    </row>
    <row r="842" spans="1:4">
      <c r="A842" s="3" t="s">
        <v>1459</v>
      </c>
      <c r="B842" s="2">
        <v>0</v>
      </c>
      <c r="C842" s="2">
        <v>1850</v>
      </c>
      <c r="D842" s="2">
        <v>0</v>
      </c>
    </row>
    <row r="843" spans="1:4">
      <c r="A843" s="3" t="s">
        <v>292</v>
      </c>
      <c r="B843" s="2">
        <v>85.99</v>
      </c>
      <c r="C843" s="2">
        <v>5923.07</v>
      </c>
      <c r="D843" s="2">
        <v>1.45</v>
      </c>
    </row>
    <row r="844" spans="1:4">
      <c r="A844" s="3" t="s">
        <v>293</v>
      </c>
      <c r="B844" s="2">
        <v>147.51</v>
      </c>
      <c r="C844" s="2">
        <v>6064.8</v>
      </c>
      <c r="D844" s="2">
        <v>2.4300000000000002</v>
      </c>
    </row>
    <row r="845" spans="1:4">
      <c r="A845" s="3" t="s">
        <v>1460</v>
      </c>
      <c r="B845" s="2">
        <v>0</v>
      </c>
      <c r="C845" s="2">
        <v>1336.56</v>
      </c>
      <c r="D845" s="2">
        <v>0</v>
      </c>
    </row>
    <row r="846" spans="1:4">
      <c r="A846" s="3" t="s">
        <v>1461</v>
      </c>
      <c r="B846" s="2">
        <v>0</v>
      </c>
      <c r="C846" s="2">
        <v>1459.43</v>
      </c>
      <c r="D846" s="2">
        <v>0</v>
      </c>
    </row>
    <row r="847" spans="1:4">
      <c r="A847" s="3" t="s">
        <v>1462</v>
      </c>
      <c r="B847" s="2">
        <v>0</v>
      </c>
      <c r="C847" s="2">
        <v>597.51</v>
      </c>
      <c r="D847" s="2">
        <v>0</v>
      </c>
    </row>
    <row r="848" spans="1:4">
      <c r="A848" s="3" t="s">
        <v>1463</v>
      </c>
      <c r="B848" s="2">
        <v>0</v>
      </c>
      <c r="C848" s="2">
        <v>598.67999999999995</v>
      </c>
      <c r="D848" s="2">
        <v>0</v>
      </c>
    </row>
    <row r="849" spans="1:4">
      <c r="A849" s="3" t="s">
        <v>1464</v>
      </c>
      <c r="B849" s="2">
        <v>0</v>
      </c>
      <c r="C849" s="2">
        <v>91.57</v>
      </c>
      <c r="D849" s="2">
        <v>0</v>
      </c>
    </row>
    <row r="850" spans="1:4">
      <c r="A850" s="3" t="s">
        <v>1465</v>
      </c>
      <c r="B850" s="2">
        <v>0</v>
      </c>
      <c r="C850" s="2">
        <v>92.45</v>
      </c>
      <c r="D850" s="2">
        <v>0</v>
      </c>
    </row>
    <row r="851" spans="1:4">
      <c r="A851" s="3" t="s">
        <v>140</v>
      </c>
      <c r="B851" s="2">
        <v>0</v>
      </c>
      <c r="C851" s="2">
        <v>1065.72</v>
      </c>
      <c r="D851" s="2">
        <v>0</v>
      </c>
    </row>
    <row r="852" spans="1:4">
      <c r="A852" s="3" t="s">
        <v>141</v>
      </c>
      <c r="B852" s="2">
        <v>0</v>
      </c>
      <c r="C852" s="2">
        <v>1346.51</v>
      </c>
      <c r="D852" s="2">
        <v>0</v>
      </c>
    </row>
    <row r="853" spans="1:4">
      <c r="A853" s="3" t="s">
        <v>136</v>
      </c>
      <c r="B853" s="2">
        <v>0</v>
      </c>
      <c r="C853" s="2">
        <v>823.18</v>
      </c>
      <c r="D853" s="2">
        <v>0</v>
      </c>
    </row>
    <row r="854" spans="1:4">
      <c r="A854" s="3" t="s">
        <v>137</v>
      </c>
      <c r="B854" s="2">
        <v>0</v>
      </c>
      <c r="C854" s="2">
        <v>1210.69</v>
      </c>
      <c r="D854" s="2">
        <v>0</v>
      </c>
    </row>
    <row r="855" spans="1:4">
      <c r="A855" s="3" t="s">
        <v>132</v>
      </c>
      <c r="B855" s="2">
        <v>0</v>
      </c>
      <c r="C855" s="2">
        <v>89.22</v>
      </c>
      <c r="D855" s="2">
        <v>0</v>
      </c>
    </row>
    <row r="856" spans="1:4">
      <c r="A856" s="3" t="s">
        <v>133</v>
      </c>
      <c r="B856" s="2">
        <v>0</v>
      </c>
      <c r="C856" s="2">
        <v>94.8</v>
      </c>
      <c r="D856" s="2">
        <v>0</v>
      </c>
    </row>
    <row r="857" spans="1:4">
      <c r="A857" s="3" t="s">
        <v>86</v>
      </c>
      <c r="B857" s="2">
        <v>1018.74</v>
      </c>
      <c r="C857" s="2">
        <v>6093.86</v>
      </c>
      <c r="D857" s="2">
        <v>16.72</v>
      </c>
    </row>
    <row r="858" spans="1:4">
      <c r="A858" s="3" t="s">
        <v>88</v>
      </c>
      <c r="B858" s="2">
        <v>996.97</v>
      </c>
      <c r="C858" s="2">
        <v>5952.14</v>
      </c>
      <c r="D858" s="2">
        <v>16.75</v>
      </c>
    </row>
    <row r="859" spans="1:4">
      <c r="A859" s="3" t="s">
        <v>90</v>
      </c>
      <c r="B859" s="2">
        <v>1082.53</v>
      </c>
      <c r="C859" s="2">
        <v>6284.24</v>
      </c>
      <c r="D859" s="2">
        <v>17.23</v>
      </c>
    </row>
    <row r="860" spans="1:4">
      <c r="A860" s="3" t="s">
        <v>92</v>
      </c>
      <c r="B860" s="2">
        <v>1145.3699999999999</v>
      </c>
      <c r="C860" s="2">
        <v>6111.02</v>
      </c>
      <c r="D860" s="2">
        <v>18.739999999999998</v>
      </c>
    </row>
    <row r="861" spans="1:4">
      <c r="A861" s="3" t="s">
        <v>1466</v>
      </c>
      <c r="B861" s="2">
        <v>85.98</v>
      </c>
      <c r="C861" s="2">
        <v>1579.32</v>
      </c>
      <c r="D861" s="2">
        <v>5.44</v>
      </c>
    </row>
    <row r="862" spans="1:4">
      <c r="A862" s="3" t="s">
        <v>1467</v>
      </c>
      <c r="B862" s="2">
        <v>147.51</v>
      </c>
      <c r="C862" s="2">
        <v>1772.23</v>
      </c>
      <c r="D862" s="2">
        <v>8.32</v>
      </c>
    </row>
    <row r="863" spans="1:4">
      <c r="A863" s="3" t="s">
        <v>149</v>
      </c>
      <c r="B863" s="2">
        <v>0</v>
      </c>
      <c r="C863" s="2">
        <v>99.22</v>
      </c>
      <c r="D863" s="2">
        <v>0</v>
      </c>
    </row>
    <row r="864" spans="1:4">
      <c r="A864" s="3" t="s">
        <v>150</v>
      </c>
      <c r="B864" s="2">
        <v>0</v>
      </c>
      <c r="C864" s="2">
        <v>95.82</v>
      </c>
      <c r="D864" s="2">
        <v>0</v>
      </c>
    </row>
    <row r="865" spans="1:4">
      <c r="A865" s="3" t="s">
        <v>122</v>
      </c>
      <c r="B865" s="2">
        <v>0</v>
      </c>
      <c r="C865" s="2">
        <v>561.24</v>
      </c>
      <c r="D865" s="2">
        <v>0</v>
      </c>
    </row>
    <row r="866" spans="1:4">
      <c r="A866" s="3" t="s">
        <v>124</v>
      </c>
      <c r="B866" s="2">
        <v>0</v>
      </c>
      <c r="C866" s="2">
        <v>561.24</v>
      </c>
      <c r="D866" s="2">
        <v>0</v>
      </c>
    </row>
    <row r="867" spans="1:4">
      <c r="A867" s="3" t="s">
        <v>126</v>
      </c>
      <c r="B867" s="2">
        <v>0</v>
      </c>
      <c r="C867" s="2">
        <v>383.39</v>
      </c>
      <c r="D867" s="2">
        <v>0</v>
      </c>
    </row>
    <row r="868" spans="1:4">
      <c r="A868" s="3" t="s">
        <v>129</v>
      </c>
      <c r="B868" s="2">
        <v>0</v>
      </c>
      <c r="C868" s="2">
        <v>383.39</v>
      </c>
      <c r="D868" s="2">
        <v>0</v>
      </c>
    </row>
    <row r="869" spans="1:4">
      <c r="A869" s="3" t="s">
        <v>151</v>
      </c>
      <c r="B869" s="2">
        <v>0</v>
      </c>
      <c r="C869" s="2">
        <v>4280.22</v>
      </c>
      <c r="D869" s="2">
        <v>0</v>
      </c>
    </row>
    <row r="870" spans="1:4">
      <c r="A870" s="3" t="s">
        <v>152</v>
      </c>
      <c r="B870" s="2">
        <v>0</v>
      </c>
      <c r="C870" s="2">
        <v>4368.9799999999996</v>
      </c>
      <c r="D870" s="2">
        <v>0</v>
      </c>
    </row>
    <row r="871" spans="1:4">
      <c r="A871" s="3" t="s">
        <v>50</v>
      </c>
      <c r="B871" s="2">
        <v>1270.93</v>
      </c>
      <c r="C871" s="2">
        <v>1599.38</v>
      </c>
      <c r="D871" s="2">
        <v>79.459999999999994</v>
      </c>
    </row>
    <row r="872" spans="1:4">
      <c r="A872" s="3" t="s">
        <v>51</v>
      </c>
      <c r="B872" s="2">
        <v>1261.97</v>
      </c>
      <c r="C872" s="2">
        <v>1709.61</v>
      </c>
      <c r="D872" s="2">
        <v>73.819999999999993</v>
      </c>
    </row>
    <row r="873" spans="1:4">
      <c r="A873" s="3" t="s">
        <v>1468</v>
      </c>
      <c r="B873" s="2">
        <v>341.01</v>
      </c>
      <c r="C873" s="2">
        <v>7004.56</v>
      </c>
      <c r="D873" s="2">
        <v>4.87</v>
      </c>
    </row>
    <row r="874" spans="1:4">
      <c r="A874" s="3" t="s">
        <v>1469</v>
      </c>
      <c r="B874" s="2">
        <v>356.39</v>
      </c>
      <c r="C874" s="2">
        <v>8646.1200000000008</v>
      </c>
      <c r="D874" s="2">
        <v>4.12</v>
      </c>
    </row>
    <row r="875" spans="1:4">
      <c r="A875" s="3" t="s">
        <v>1470</v>
      </c>
      <c r="B875" s="2">
        <v>312.16000000000003</v>
      </c>
      <c r="C875" s="2">
        <v>7395.79</v>
      </c>
      <c r="D875" s="2">
        <v>4.22</v>
      </c>
    </row>
    <row r="876" spans="1:4">
      <c r="A876" s="3" t="s">
        <v>1471</v>
      </c>
      <c r="B876" s="2">
        <v>0</v>
      </c>
      <c r="C876" s="2">
        <v>13503.33</v>
      </c>
      <c r="D876" s="2">
        <v>0</v>
      </c>
    </row>
    <row r="877" spans="1:4">
      <c r="A877" s="3" t="s">
        <v>1472</v>
      </c>
      <c r="B877" s="2">
        <v>406.72</v>
      </c>
      <c r="C877" s="2">
        <v>8662.2000000000007</v>
      </c>
      <c r="D877" s="2">
        <v>4.7</v>
      </c>
    </row>
    <row r="878" spans="1:4">
      <c r="A878" s="3" t="s">
        <v>1473</v>
      </c>
      <c r="B878" s="2">
        <v>2544.12</v>
      </c>
      <c r="C878" s="2">
        <v>13006.74</v>
      </c>
      <c r="D878" s="2">
        <v>19.559999999999999</v>
      </c>
    </row>
    <row r="879" spans="1:4">
      <c r="A879" s="3" t="s">
        <v>1474</v>
      </c>
      <c r="B879" s="2">
        <v>393.73</v>
      </c>
      <c r="C879" s="2">
        <v>6971.21</v>
      </c>
      <c r="D879" s="2">
        <v>5.65</v>
      </c>
    </row>
    <row r="880" spans="1:4">
      <c r="A880" s="3" t="s">
        <v>1475</v>
      </c>
      <c r="B880" s="2">
        <v>775.38</v>
      </c>
      <c r="C880" s="2">
        <v>8168.61</v>
      </c>
      <c r="D880" s="2">
        <v>9.49</v>
      </c>
    </row>
    <row r="881" spans="1:4">
      <c r="A881" s="3" t="s">
        <v>1476</v>
      </c>
      <c r="B881" s="2">
        <v>355.18</v>
      </c>
      <c r="C881" s="2">
        <v>7361.86</v>
      </c>
      <c r="D881" s="2">
        <v>4.82</v>
      </c>
    </row>
    <row r="882" spans="1:4">
      <c r="A882" s="3" t="s">
        <v>1477</v>
      </c>
      <c r="B882" s="2">
        <v>358.33</v>
      </c>
      <c r="C882" s="2">
        <v>7185.75</v>
      </c>
      <c r="D882" s="2">
        <v>4.99</v>
      </c>
    </row>
    <row r="883" spans="1:4">
      <c r="A883" s="3" t="s">
        <v>1478</v>
      </c>
      <c r="B883" s="2">
        <v>719.72</v>
      </c>
      <c r="C883" s="2">
        <v>8226.94</v>
      </c>
      <c r="D883" s="2">
        <v>8.75</v>
      </c>
    </row>
    <row r="884" spans="1:4">
      <c r="A884" s="3" t="s">
        <v>1479</v>
      </c>
      <c r="B884" s="2">
        <v>330.03</v>
      </c>
      <c r="C884" s="2">
        <v>7557.4</v>
      </c>
      <c r="D884" s="2">
        <v>4.37</v>
      </c>
    </row>
    <row r="885" spans="1:4">
      <c r="A885" s="3" t="s">
        <v>1480</v>
      </c>
      <c r="B885" s="2">
        <v>0</v>
      </c>
      <c r="C885" s="2">
        <v>19964.810000000001</v>
      </c>
      <c r="D885" s="2">
        <v>0</v>
      </c>
    </row>
    <row r="886" spans="1:4">
      <c r="A886" s="3" t="s">
        <v>337</v>
      </c>
      <c r="B886" s="2">
        <v>6105.93</v>
      </c>
      <c r="C886" s="2">
        <v>2119.85</v>
      </c>
      <c r="D886" s="2">
        <v>288.04000000000002</v>
      </c>
    </row>
    <row r="887" spans="1:4">
      <c r="A887" s="3" t="s">
        <v>339</v>
      </c>
      <c r="B887" s="2">
        <v>6105.68</v>
      </c>
      <c r="C887" s="2">
        <v>2419.06</v>
      </c>
      <c r="D887" s="2">
        <v>252.4</v>
      </c>
    </row>
    <row r="888" spans="1:4">
      <c r="A888" s="3" t="s">
        <v>367</v>
      </c>
      <c r="B888" s="2">
        <v>6105.68</v>
      </c>
      <c r="C888" s="2">
        <v>2419.0500000000002</v>
      </c>
      <c r="D888" s="2">
        <v>252.4</v>
      </c>
    </row>
    <row r="889" spans="1:4">
      <c r="A889" s="3" t="s">
        <v>368</v>
      </c>
      <c r="B889" s="2">
        <v>6105.81</v>
      </c>
      <c r="C889" s="2">
        <v>2749.76</v>
      </c>
      <c r="D889" s="2">
        <v>222.05</v>
      </c>
    </row>
    <row r="890" spans="1:4">
      <c r="A890" s="3" t="s">
        <v>1481</v>
      </c>
      <c r="B890" s="2">
        <v>0</v>
      </c>
      <c r="C890" s="2">
        <v>6031.89</v>
      </c>
      <c r="D890" s="2">
        <v>0</v>
      </c>
    </row>
    <row r="891" spans="1:4">
      <c r="A891" s="3" t="s">
        <v>1482</v>
      </c>
      <c r="B891" s="2">
        <v>1824.24</v>
      </c>
      <c r="C891" s="2">
        <v>12296.13</v>
      </c>
      <c r="D891" s="2">
        <v>14.84</v>
      </c>
    </row>
    <row r="892" spans="1:4">
      <c r="A892" s="3" t="s">
        <v>1483</v>
      </c>
      <c r="B892" s="2">
        <v>85.99</v>
      </c>
      <c r="C892" s="2">
        <v>5629.86</v>
      </c>
      <c r="D892" s="2">
        <v>1.53</v>
      </c>
    </row>
    <row r="893" spans="1:4">
      <c r="A893" s="3" t="s">
        <v>1484</v>
      </c>
      <c r="B893" s="2">
        <v>147.51</v>
      </c>
      <c r="C893" s="2">
        <v>7725.04</v>
      </c>
      <c r="D893" s="2">
        <v>1.91</v>
      </c>
    </row>
    <row r="894" spans="1:4">
      <c r="A894" s="3" t="s">
        <v>1485</v>
      </c>
      <c r="B894" s="2">
        <v>209.03</v>
      </c>
      <c r="C894" s="2">
        <v>7601.19</v>
      </c>
      <c r="D894" s="2">
        <v>2.75</v>
      </c>
    </row>
    <row r="895" spans="1:4">
      <c r="A895" s="3" t="s">
        <v>1486</v>
      </c>
      <c r="B895" s="2">
        <v>361.64</v>
      </c>
      <c r="C895" s="2">
        <v>404.17</v>
      </c>
      <c r="D895" s="2">
        <v>89.48</v>
      </c>
    </row>
    <row r="896" spans="1:4">
      <c r="A896" s="3" t="s">
        <v>1487</v>
      </c>
      <c r="B896" s="2">
        <v>0</v>
      </c>
      <c r="C896" s="2">
        <v>620</v>
      </c>
      <c r="D896" s="2">
        <v>0</v>
      </c>
    </row>
    <row r="897" spans="1:4">
      <c r="A897" s="3" t="s">
        <v>1488</v>
      </c>
      <c r="B897" s="2">
        <v>0</v>
      </c>
      <c r="C897" s="2">
        <v>2320</v>
      </c>
      <c r="D897" s="2">
        <v>0</v>
      </c>
    </row>
    <row r="898" spans="1:4">
      <c r="A898" s="3" t="s">
        <v>1489</v>
      </c>
      <c r="B898" s="2">
        <v>0</v>
      </c>
      <c r="C898" s="2">
        <v>620</v>
      </c>
      <c r="D898" s="2">
        <v>0</v>
      </c>
    </row>
    <row r="899" spans="1:4">
      <c r="A899" s="3" t="s">
        <v>1490</v>
      </c>
      <c r="B899" s="2">
        <v>0</v>
      </c>
      <c r="C899" s="2">
        <v>2320</v>
      </c>
      <c r="D899" s="2">
        <v>0</v>
      </c>
    </row>
    <row r="900" spans="1:4">
      <c r="A900" s="3" t="s">
        <v>1491</v>
      </c>
      <c r="B900" s="2">
        <v>0</v>
      </c>
      <c r="C900" s="2">
        <v>1270</v>
      </c>
      <c r="D900" s="2">
        <v>0</v>
      </c>
    </row>
    <row r="901" spans="1:4">
      <c r="A901" s="3" t="s">
        <v>1492</v>
      </c>
      <c r="B901" s="2">
        <v>0</v>
      </c>
      <c r="C901" s="2">
        <v>2960</v>
      </c>
      <c r="D901" s="2">
        <v>0</v>
      </c>
    </row>
    <row r="902" spans="1:4">
      <c r="A902" s="3" t="s">
        <v>1493</v>
      </c>
      <c r="B902" s="2">
        <v>0</v>
      </c>
      <c r="C902" s="2">
        <v>1190</v>
      </c>
      <c r="D902" s="2">
        <v>0</v>
      </c>
    </row>
    <row r="903" spans="1:4">
      <c r="A903" s="3" t="s">
        <v>1494</v>
      </c>
      <c r="B903" s="2">
        <v>0</v>
      </c>
      <c r="C903" s="2">
        <v>1430</v>
      </c>
      <c r="D903" s="2">
        <v>0</v>
      </c>
    </row>
    <row r="904" spans="1:4">
      <c r="A904" s="3" t="s">
        <v>661</v>
      </c>
      <c r="B904" s="2">
        <v>85.99</v>
      </c>
      <c r="C904" s="2">
        <v>5093.53</v>
      </c>
      <c r="D904" s="2">
        <v>1.69</v>
      </c>
    </row>
    <row r="905" spans="1:4">
      <c r="A905" s="3" t="s">
        <v>662</v>
      </c>
      <c r="B905" s="2">
        <v>147.51</v>
      </c>
      <c r="C905" s="2">
        <v>4983.3</v>
      </c>
      <c r="D905" s="2">
        <v>2.96</v>
      </c>
    </row>
    <row r="906" spans="1:4">
      <c r="A906" s="3" t="s">
        <v>128</v>
      </c>
      <c r="B906" s="2">
        <v>0</v>
      </c>
      <c r="C906" s="2">
        <v>1336.56</v>
      </c>
      <c r="D906" s="2">
        <v>0</v>
      </c>
    </row>
    <row r="907" spans="1:4">
      <c r="A907" s="3" t="s">
        <v>131</v>
      </c>
      <c r="B907" s="2">
        <v>0</v>
      </c>
      <c r="C907" s="2">
        <v>1459.43</v>
      </c>
      <c r="D907" s="2">
        <v>0</v>
      </c>
    </row>
    <row r="908" spans="1:4">
      <c r="A908" s="3" t="s">
        <v>123</v>
      </c>
      <c r="B908" s="2">
        <v>0</v>
      </c>
      <c r="C908" s="2">
        <v>597.51</v>
      </c>
      <c r="D908" s="2">
        <v>0</v>
      </c>
    </row>
    <row r="909" spans="1:4">
      <c r="A909" s="3" t="s">
        <v>125</v>
      </c>
      <c r="B909" s="2">
        <v>0</v>
      </c>
      <c r="C909" s="2">
        <v>598.67999999999995</v>
      </c>
      <c r="D909" s="2">
        <v>0</v>
      </c>
    </row>
    <row r="910" spans="1:4">
      <c r="A910" s="3" t="s">
        <v>127</v>
      </c>
      <c r="B910" s="2">
        <v>0</v>
      </c>
      <c r="C910" s="2">
        <v>91.57</v>
      </c>
      <c r="D910" s="2">
        <v>0</v>
      </c>
    </row>
    <row r="911" spans="1:4">
      <c r="A911" s="3" t="s">
        <v>130</v>
      </c>
      <c r="B911" s="2">
        <v>0</v>
      </c>
      <c r="C911" s="2">
        <v>92.45</v>
      </c>
      <c r="D911" s="2">
        <v>0</v>
      </c>
    </row>
    <row r="912" spans="1:4">
      <c r="A912" s="3" t="s">
        <v>142</v>
      </c>
      <c r="B912" s="2">
        <v>0</v>
      </c>
      <c r="C912" s="2">
        <v>1065.72</v>
      </c>
      <c r="D912" s="2">
        <v>0</v>
      </c>
    </row>
    <row r="913" spans="1:4">
      <c r="A913" s="3" t="s">
        <v>143</v>
      </c>
      <c r="B913" s="2">
        <v>0</v>
      </c>
      <c r="C913" s="2">
        <v>1346.51</v>
      </c>
      <c r="D913" s="2">
        <v>0</v>
      </c>
    </row>
    <row r="914" spans="1:4">
      <c r="A914" s="3" t="s">
        <v>138</v>
      </c>
      <c r="B914" s="2">
        <v>0</v>
      </c>
      <c r="C914" s="2">
        <v>823.18</v>
      </c>
      <c r="D914" s="2">
        <v>0</v>
      </c>
    </row>
    <row r="915" spans="1:4">
      <c r="A915" s="3" t="s">
        <v>139</v>
      </c>
      <c r="B915" s="2">
        <v>0</v>
      </c>
      <c r="C915" s="2">
        <v>1210.69</v>
      </c>
      <c r="D915" s="2">
        <v>0</v>
      </c>
    </row>
    <row r="916" spans="1:4">
      <c r="A916" s="3" t="s">
        <v>134</v>
      </c>
      <c r="B916" s="2">
        <v>0</v>
      </c>
      <c r="C916" s="2">
        <v>89.22</v>
      </c>
      <c r="D916" s="2">
        <v>0</v>
      </c>
    </row>
    <row r="917" spans="1:4">
      <c r="A917" s="3" t="s">
        <v>135</v>
      </c>
      <c r="B917" s="2">
        <v>0</v>
      </c>
      <c r="C917" s="2">
        <v>94.8</v>
      </c>
      <c r="D917" s="2">
        <v>0</v>
      </c>
    </row>
    <row r="918" spans="1:4">
      <c r="A918" s="3" t="s">
        <v>103</v>
      </c>
      <c r="B918" s="2">
        <v>1018.74</v>
      </c>
      <c r="C918" s="2">
        <v>4938.82</v>
      </c>
      <c r="D918" s="2">
        <v>20.63</v>
      </c>
    </row>
    <row r="919" spans="1:4">
      <c r="A919" s="3" t="s">
        <v>104</v>
      </c>
      <c r="B919" s="2">
        <v>996.97</v>
      </c>
      <c r="C919" s="2">
        <v>5080.54</v>
      </c>
      <c r="D919" s="2">
        <v>19.62</v>
      </c>
    </row>
    <row r="920" spans="1:4">
      <c r="A920" s="3" t="s">
        <v>105</v>
      </c>
      <c r="B920" s="2">
        <v>1344.39</v>
      </c>
      <c r="C920" s="2">
        <v>5691.1</v>
      </c>
      <c r="D920" s="2">
        <v>23.62</v>
      </c>
    </row>
    <row r="921" spans="1:4">
      <c r="A921" s="3" t="s">
        <v>106</v>
      </c>
      <c r="B921" s="2">
        <v>1455.19</v>
      </c>
      <c r="C921" s="2">
        <v>5864.32</v>
      </c>
      <c r="D921" s="2">
        <v>24.81</v>
      </c>
    </row>
    <row r="922" spans="1:4">
      <c r="A922" s="3" t="s">
        <v>1495</v>
      </c>
      <c r="B922" s="2">
        <v>1114.8499999999999</v>
      </c>
      <c r="C922" s="2">
        <v>1579.32</v>
      </c>
      <c r="D922" s="2">
        <v>70.59</v>
      </c>
    </row>
    <row r="923" spans="1:4">
      <c r="A923" s="3" t="s">
        <v>1496</v>
      </c>
      <c r="B923" s="2">
        <v>1056.78</v>
      </c>
      <c r="C923" s="2">
        <v>1772.23</v>
      </c>
      <c r="D923" s="2">
        <v>59.63</v>
      </c>
    </row>
    <row r="924" spans="1:4">
      <c r="A924" s="3" t="s">
        <v>605</v>
      </c>
      <c r="B924" s="2">
        <v>0</v>
      </c>
      <c r="C924" s="2">
        <v>99.22</v>
      </c>
      <c r="D924" s="2">
        <v>0</v>
      </c>
    </row>
    <row r="925" spans="1:4">
      <c r="A925" s="3" t="s">
        <v>608</v>
      </c>
      <c r="B925" s="2">
        <v>0</v>
      </c>
      <c r="C925" s="2">
        <v>95.82</v>
      </c>
      <c r="D925" s="2">
        <v>0</v>
      </c>
    </row>
    <row r="926" spans="1:4">
      <c r="A926" s="3" t="s">
        <v>616</v>
      </c>
      <c r="B926" s="2">
        <v>0</v>
      </c>
      <c r="C926" s="2">
        <v>561.24</v>
      </c>
      <c r="D926" s="2">
        <v>0</v>
      </c>
    </row>
    <row r="927" spans="1:4">
      <c r="A927" s="3" t="s">
        <v>619</v>
      </c>
      <c r="B927" s="2">
        <v>0</v>
      </c>
      <c r="C927" s="2">
        <v>561.24</v>
      </c>
      <c r="D927" s="2">
        <v>0</v>
      </c>
    </row>
    <row r="928" spans="1:4">
      <c r="A928" s="3" t="s">
        <v>622</v>
      </c>
      <c r="B928" s="2">
        <v>0</v>
      </c>
      <c r="C928" s="2">
        <v>383.39</v>
      </c>
      <c r="D928" s="2">
        <v>0</v>
      </c>
    </row>
    <row r="929" spans="1:4">
      <c r="A929" s="3" t="s">
        <v>626</v>
      </c>
      <c r="B929" s="2">
        <v>0</v>
      </c>
      <c r="C929" s="2">
        <v>383.39</v>
      </c>
      <c r="D929" s="2">
        <v>0</v>
      </c>
    </row>
    <row r="930" spans="1:4">
      <c r="A930" s="3" t="s">
        <v>606</v>
      </c>
      <c r="B930" s="2">
        <v>0</v>
      </c>
      <c r="C930" s="2">
        <v>2598.42</v>
      </c>
      <c r="D930" s="2">
        <v>0</v>
      </c>
    </row>
    <row r="931" spans="1:4">
      <c r="A931" s="3" t="s">
        <v>609</v>
      </c>
      <c r="B931" s="2">
        <v>0</v>
      </c>
      <c r="C931" s="2">
        <v>2687.18</v>
      </c>
      <c r="D931" s="2">
        <v>0</v>
      </c>
    </row>
    <row r="932" spans="1:4">
      <c r="A932" s="3" t="s">
        <v>588</v>
      </c>
      <c r="B932" s="2">
        <v>1270.93</v>
      </c>
      <c r="C932" s="2">
        <v>1599.38</v>
      </c>
      <c r="D932" s="2">
        <v>79.459999999999994</v>
      </c>
    </row>
    <row r="933" spans="1:4">
      <c r="A933" s="3" t="s">
        <v>590</v>
      </c>
      <c r="B933" s="2">
        <v>1261.97</v>
      </c>
      <c r="C933" s="2">
        <v>1709.61</v>
      </c>
      <c r="D933" s="2">
        <v>73.819999999999993</v>
      </c>
    </row>
    <row r="934" spans="1:4">
      <c r="A934" s="3" t="s">
        <v>1497</v>
      </c>
      <c r="B934" s="2">
        <v>341.01</v>
      </c>
      <c r="C934" s="2">
        <v>9955.15</v>
      </c>
      <c r="D934" s="2">
        <v>3.43</v>
      </c>
    </row>
    <row r="935" spans="1:4">
      <c r="A935" s="3" t="s">
        <v>1498</v>
      </c>
      <c r="B935" s="2">
        <v>356.39</v>
      </c>
      <c r="C935" s="2">
        <v>9610.4699999999993</v>
      </c>
      <c r="D935" s="2">
        <v>3.71</v>
      </c>
    </row>
    <row r="936" spans="1:4">
      <c r="A936" s="3" t="s">
        <v>1499</v>
      </c>
      <c r="B936" s="2">
        <v>312.16000000000003</v>
      </c>
      <c r="C936" s="2">
        <v>9461.2000000000007</v>
      </c>
      <c r="D936" s="2">
        <v>3.3</v>
      </c>
    </row>
    <row r="937" spans="1:4">
      <c r="A937" s="3" t="s">
        <v>1500</v>
      </c>
      <c r="B937" s="2">
        <v>0</v>
      </c>
      <c r="C937" s="2">
        <v>10219.77</v>
      </c>
      <c r="D937" s="2">
        <v>0</v>
      </c>
    </row>
    <row r="938" spans="1:4">
      <c r="A938" s="3" t="s">
        <v>1501</v>
      </c>
      <c r="B938" s="2">
        <v>406.72</v>
      </c>
      <c r="C938" s="2">
        <v>10684.69</v>
      </c>
      <c r="D938" s="2">
        <v>3.81</v>
      </c>
    </row>
    <row r="939" spans="1:4">
      <c r="A939" s="3" t="s">
        <v>1502</v>
      </c>
      <c r="B939" s="2">
        <v>2548.62</v>
      </c>
      <c r="C939" s="2">
        <v>14841.48</v>
      </c>
      <c r="D939" s="2">
        <v>17.170000000000002</v>
      </c>
    </row>
    <row r="940" spans="1:4">
      <c r="A940" s="3" t="s">
        <v>1503</v>
      </c>
      <c r="B940" s="2">
        <v>393.73</v>
      </c>
      <c r="C940" s="2">
        <v>11491.78</v>
      </c>
      <c r="D940" s="2">
        <v>3.43</v>
      </c>
    </row>
    <row r="941" spans="1:4">
      <c r="A941" s="3" t="s">
        <v>1504</v>
      </c>
      <c r="B941" s="2">
        <v>775.38</v>
      </c>
      <c r="C941" s="2">
        <v>12249.72</v>
      </c>
      <c r="D941" s="2">
        <v>6.33</v>
      </c>
    </row>
    <row r="942" spans="1:4">
      <c r="A942" s="3" t="s">
        <v>1505</v>
      </c>
      <c r="B942" s="2">
        <v>355.18</v>
      </c>
      <c r="C942" s="2">
        <v>10267.450000000001</v>
      </c>
      <c r="D942" s="2">
        <v>3.46</v>
      </c>
    </row>
    <row r="943" spans="1:4">
      <c r="A943" s="3" t="s">
        <v>1506</v>
      </c>
      <c r="B943" s="2">
        <v>346.84</v>
      </c>
      <c r="C943" s="2">
        <v>10586.3</v>
      </c>
      <c r="D943" s="2">
        <v>3.28</v>
      </c>
    </row>
    <row r="944" spans="1:4">
      <c r="A944" s="3" t="s">
        <v>1507</v>
      </c>
      <c r="B944" s="2">
        <v>719.72</v>
      </c>
      <c r="C944" s="2">
        <v>11845.19</v>
      </c>
      <c r="D944" s="2">
        <v>6.08</v>
      </c>
    </row>
    <row r="945" spans="1:4">
      <c r="A945" s="3" t="s">
        <v>1508</v>
      </c>
      <c r="B945" s="2">
        <v>330.03</v>
      </c>
      <c r="C945" s="2">
        <v>10333.86</v>
      </c>
      <c r="D945" s="2">
        <v>3.19</v>
      </c>
    </row>
    <row r="946" spans="1:4">
      <c r="A946" s="3" t="s">
        <v>1509</v>
      </c>
      <c r="B946" s="2">
        <v>0</v>
      </c>
      <c r="C946" s="2">
        <v>7546.28</v>
      </c>
      <c r="D946" s="2">
        <v>0</v>
      </c>
    </row>
    <row r="947" spans="1:4">
      <c r="A947" s="3" t="s">
        <v>395</v>
      </c>
      <c r="B947" s="2">
        <v>19138.63</v>
      </c>
      <c r="C947" s="2">
        <v>3395.05</v>
      </c>
      <c r="D947" s="2">
        <v>563.72</v>
      </c>
    </row>
    <row r="948" spans="1:4">
      <c r="A948" s="3" t="s">
        <v>397</v>
      </c>
      <c r="B948" s="2">
        <v>19138.919999999998</v>
      </c>
      <c r="C948" s="2">
        <v>3095.84</v>
      </c>
      <c r="D948" s="2">
        <v>618.21</v>
      </c>
    </row>
    <row r="949" spans="1:4">
      <c r="A949" s="3" t="s">
        <v>425</v>
      </c>
      <c r="B949" s="2">
        <v>19138.580000000002</v>
      </c>
      <c r="C949" s="2">
        <v>3442.29</v>
      </c>
      <c r="D949" s="2">
        <v>555.98</v>
      </c>
    </row>
    <row r="950" spans="1:4">
      <c r="A950" s="3" t="s">
        <v>426</v>
      </c>
      <c r="B950" s="2">
        <v>19138.88</v>
      </c>
      <c r="C950" s="2">
        <v>3111.58</v>
      </c>
      <c r="D950" s="2">
        <v>615.09</v>
      </c>
    </row>
    <row r="951" spans="1:4">
      <c r="A951" s="3" t="s">
        <v>1510</v>
      </c>
      <c r="B951" s="2">
        <v>0</v>
      </c>
      <c r="C951" s="2">
        <v>4484.95</v>
      </c>
      <c r="D951" s="2">
        <v>0</v>
      </c>
    </row>
    <row r="952" spans="1:4">
      <c r="A952" s="3" t="s">
        <v>1511</v>
      </c>
      <c r="B952" s="2">
        <v>1824.24</v>
      </c>
      <c r="C952" s="2">
        <v>13568.44</v>
      </c>
      <c r="D952" s="2">
        <v>13.44</v>
      </c>
    </row>
    <row r="953" spans="1:4">
      <c r="A953" s="3" t="s">
        <v>1512</v>
      </c>
      <c r="B953" s="2">
        <v>85.99</v>
      </c>
      <c r="C953" s="2">
        <v>6221.82</v>
      </c>
      <c r="D953" s="2">
        <v>1.38</v>
      </c>
    </row>
    <row r="954" spans="1:4">
      <c r="A954" s="3" t="s">
        <v>1513</v>
      </c>
      <c r="B954" s="2">
        <v>147.51</v>
      </c>
      <c r="C954" s="2">
        <v>8568.9</v>
      </c>
      <c r="D954" s="2">
        <v>1.72</v>
      </c>
    </row>
    <row r="955" spans="1:4">
      <c r="A955" s="3" t="s">
        <v>1514</v>
      </c>
      <c r="B955" s="2">
        <v>209.03</v>
      </c>
      <c r="C955" s="2">
        <v>8474.89</v>
      </c>
      <c r="D955" s="2">
        <v>2.4700000000000002</v>
      </c>
    </row>
    <row r="956" spans="1:4">
      <c r="A956" s="3" t="s">
        <v>1515</v>
      </c>
      <c r="B956" s="2">
        <v>361.64</v>
      </c>
      <c r="C956" s="2">
        <v>404.17</v>
      </c>
      <c r="D956" s="2">
        <v>89.48</v>
      </c>
    </row>
    <row r="957" spans="1:4">
      <c r="A957" s="3" t="s">
        <v>1516</v>
      </c>
      <c r="B957" s="2">
        <v>0</v>
      </c>
      <c r="C957" s="2">
        <v>1630</v>
      </c>
      <c r="D957" s="2">
        <v>0</v>
      </c>
    </row>
    <row r="958" spans="1:4">
      <c r="A958" s="3" t="s">
        <v>1517</v>
      </c>
      <c r="B958" s="2">
        <v>0</v>
      </c>
      <c r="C958" s="2">
        <v>5555.28</v>
      </c>
      <c r="D958" s="2">
        <v>0</v>
      </c>
    </row>
    <row r="959" spans="1:4">
      <c r="A959" s="3" t="s">
        <v>1518</v>
      </c>
      <c r="B959" s="2">
        <v>0</v>
      </c>
      <c r="C959" s="2">
        <v>660</v>
      </c>
      <c r="D959" s="2">
        <v>0</v>
      </c>
    </row>
    <row r="960" spans="1:4">
      <c r="A960" s="3" t="s">
        <v>1519</v>
      </c>
      <c r="B960" s="2">
        <v>0</v>
      </c>
      <c r="C960" s="2">
        <v>1210</v>
      </c>
      <c r="D960" s="2">
        <v>0</v>
      </c>
    </row>
    <row r="961" spans="1:4">
      <c r="A961" s="3" t="s">
        <v>1520</v>
      </c>
      <c r="B961" s="2">
        <v>0</v>
      </c>
      <c r="C961" s="2">
        <v>1870</v>
      </c>
      <c r="D961" s="2">
        <v>0</v>
      </c>
    </row>
    <row r="962" spans="1:4">
      <c r="A962" s="3" t="s">
        <v>1521</v>
      </c>
      <c r="B962" s="2">
        <v>0</v>
      </c>
      <c r="C962" s="2">
        <v>2380</v>
      </c>
      <c r="D962" s="2">
        <v>0</v>
      </c>
    </row>
    <row r="963" spans="1:4">
      <c r="A963" s="3" t="s">
        <v>1522</v>
      </c>
      <c r="B963" s="2">
        <v>0</v>
      </c>
      <c r="C963" s="2">
        <v>680</v>
      </c>
      <c r="D963" s="2">
        <v>0</v>
      </c>
    </row>
    <row r="964" spans="1:4">
      <c r="A964" s="3" t="s">
        <v>1523</v>
      </c>
      <c r="B964" s="2">
        <v>0</v>
      </c>
      <c r="C964" s="2">
        <v>530</v>
      </c>
      <c r="D964" s="2">
        <v>0</v>
      </c>
    </row>
    <row r="965" spans="1:4">
      <c r="A965" s="3" t="s">
        <v>681</v>
      </c>
      <c r="B965" s="2">
        <v>85.99</v>
      </c>
      <c r="C965" s="2">
        <v>5483.31</v>
      </c>
      <c r="D965" s="2">
        <v>1.57</v>
      </c>
    </row>
    <row r="966" spans="1:4">
      <c r="A966" s="3" t="s">
        <v>682</v>
      </c>
      <c r="B966" s="2">
        <v>147.51</v>
      </c>
      <c r="C966" s="2">
        <v>5412.6</v>
      </c>
      <c r="D966" s="2">
        <v>2.73</v>
      </c>
    </row>
    <row r="967" spans="1:4">
      <c r="A967" s="3" t="s">
        <v>624</v>
      </c>
      <c r="B967" s="2">
        <v>0</v>
      </c>
      <c r="C967" s="2">
        <v>1336.56</v>
      </c>
      <c r="D967" s="2">
        <v>0</v>
      </c>
    </row>
    <row r="968" spans="1:4">
      <c r="A968" s="3" t="s">
        <v>628</v>
      </c>
      <c r="B968" s="2">
        <v>0</v>
      </c>
      <c r="C968" s="2">
        <v>1459.43</v>
      </c>
      <c r="D968" s="2">
        <v>0</v>
      </c>
    </row>
    <row r="969" spans="1:4">
      <c r="A969" s="3" t="s">
        <v>617</v>
      </c>
      <c r="B969" s="2">
        <v>0</v>
      </c>
      <c r="C969" s="2">
        <v>597.51</v>
      </c>
      <c r="D969" s="2">
        <v>0</v>
      </c>
    </row>
    <row r="970" spans="1:4">
      <c r="A970" s="3" t="s">
        <v>620</v>
      </c>
      <c r="B970" s="2">
        <v>0</v>
      </c>
      <c r="C970" s="2">
        <v>598.67999999999995</v>
      </c>
      <c r="D970" s="2">
        <v>0</v>
      </c>
    </row>
    <row r="971" spans="1:4">
      <c r="A971" s="3" t="s">
        <v>623</v>
      </c>
      <c r="B971" s="2">
        <v>0</v>
      </c>
      <c r="C971" s="2">
        <v>91.57</v>
      </c>
      <c r="D971" s="2">
        <v>0</v>
      </c>
    </row>
    <row r="972" spans="1:4">
      <c r="A972" s="3" t="s">
        <v>627</v>
      </c>
      <c r="B972" s="2">
        <v>0</v>
      </c>
      <c r="C972" s="2">
        <v>92.45</v>
      </c>
      <c r="D972" s="2">
        <v>0</v>
      </c>
    </row>
    <row r="973" spans="1:4">
      <c r="A973" s="3" t="s">
        <v>652</v>
      </c>
      <c r="B973" s="2">
        <v>0</v>
      </c>
      <c r="C973" s="2">
        <v>1065.72</v>
      </c>
      <c r="D973" s="2">
        <v>0</v>
      </c>
    </row>
    <row r="974" spans="1:4">
      <c r="A974" s="3" t="s">
        <v>654</v>
      </c>
      <c r="B974" s="2">
        <v>0</v>
      </c>
      <c r="C974" s="2">
        <v>1346.51</v>
      </c>
      <c r="D974" s="2">
        <v>0</v>
      </c>
    </row>
    <row r="975" spans="1:4">
      <c r="A975" s="3" t="s">
        <v>649</v>
      </c>
      <c r="B975" s="2">
        <v>0</v>
      </c>
      <c r="C975" s="2">
        <v>823.18</v>
      </c>
      <c r="D975" s="2">
        <v>0</v>
      </c>
    </row>
    <row r="976" spans="1:4">
      <c r="A976" s="3" t="s">
        <v>650</v>
      </c>
      <c r="B976" s="2">
        <v>0</v>
      </c>
      <c r="C976" s="2">
        <v>1210.69</v>
      </c>
      <c r="D976" s="2">
        <v>0</v>
      </c>
    </row>
    <row r="977" spans="1:4">
      <c r="A977" s="3" t="s">
        <v>651</v>
      </c>
      <c r="B977" s="2">
        <v>0</v>
      </c>
      <c r="C977" s="2">
        <v>89.22</v>
      </c>
      <c r="D977" s="2">
        <v>0</v>
      </c>
    </row>
    <row r="978" spans="1:4">
      <c r="A978" s="3" t="s">
        <v>653</v>
      </c>
      <c r="B978" s="2">
        <v>0</v>
      </c>
      <c r="C978" s="2">
        <v>94.8</v>
      </c>
      <c r="D978" s="2">
        <v>0</v>
      </c>
    </row>
    <row r="979" spans="1:4">
      <c r="A979" s="3" t="s">
        <v>615</v>
      </c>
      <c r="B979" s="2">
        <v>1018.74</v>
      </c>
      <c r="C979" s="2">
        <v>5441.66</v>
      </c>
      <c r="D979" s="2">
        <v>18.72</v>
      </c>
    </row>
    <row r="980" spans="1:4">
      <c r="A980" s="3" t="s">
        <v>618</v>
      </c>
      <c r="B980" s="2">
        <v>996.97</v>
      </c>
      <c r="C980" s="2">
        <v>5299.94</v>
      </c>
      <c r="D980" s="2">
        <v>18.809999999999999</v>
      </c>
    </row>
    <row r="981" spans="1:4">
      <c r="A981" s="3" t="s">
        <v>621</v>
      </c>
      <c r="B981" s="2">
        <v>1344.39</v>
      </c>
      <c r="C981" s="2">
        <v>5813.78</v>
      </c>
      <c r="D981" s="2">
        <v>23.12</v>
      </c>
    </row>
    <row r="982" spans="1:4">
      <c r="A982" s="3" t="s">
        <v>625</v>
      </c>
      <c r="B982" s="2">
        <v>1455.19</v>
      </c>
      <c r="C982" s="2">
        <v>5892.52</v>
      </c>
      <c r="D982" s="2">
        <v>24.7</v>
      </c>
    </row>
    <row r="983" spans="1:4">
      <c r="A983" s="3" t="s">
        <v>1524</v>
      </c>
      <c r="B983" s="2">
        <v>0</v>
      </c>
      <c r="C983" s="2">
        <v>1579.32</v>
      </c>
      <c r="D983" s="2">
        <v>0</v>
      </c>
    </row>
    <row r="984" spans="1:4">
      <c r="A984" s="3" t="s">
        <v>1525</v>
      </c>
      <c r="B984" s="2">
        <v>147.51</v>
      </c>
      <c r="C984" s="2">
        <v>1772.23</v>
      </c>
      <c r="D984" s="2">
        <v>8.32</v>
      </c>
    </row>
    <row r="985" spans="1:4">
      <c r="A985" s="3" t="s">
        <v>599</v>
      </c>
      <c r="B985" s="2">
        <v>0</v>
      </c>
      <c r="C985" s="2">
        <v>99.22</v>
      </c>
      <c r="D985" s="2">
        <v>0</v>
      </c>
    </row>
    <row r="986" spans="1:4">
      <c r="A986" s="3" t="s">
        <v>602</v>
      </c>
      <c r="B986" s="2">
        <v>0</v>
      </c>
      <c r="C986" s="2">
        <v>95.82</v>
      </c>
      <c r="D986" s="2">
        <v>0</v>
      </c>
    </row>
    <row r="987" spans="1:4">
      <c r="A987" s="3" t="s">
        <v>630</v>
      </c>
      <c r="B987" s="2">
        <v>0</v>
      </c>
      <c r="C987" s="2">
        <v>561.24</v>
      </c>
      <c r="D987" s="2">
        <v>0</v>
      </c>
    </row>
    <row r="988" spans="1:4">
      <c r="A988" s="3" t="s">
        <v>633</v>
      </c>
      <c r="B988" s="2">
        <v>0</v>
      </c>
      <c r="C988" s="2">
        <v>561.24</v>
      </c>
      <c r="D988" s="2">
        <v>0</v>
      </c>
    </row>
    <row r="989" spans="1:4">
      <c r="A989" s="3" t="s">
        <v>636</v>
      </c>
      <c r="B989" s="2">
        <v>0</v>
      </c>
      <c r="C989" s="2">
        <v>383.39</v>
      </c>
      <c r="D989" s="2">
        <v>0</v>
      </c>
    </row>
    <row r="990" spans="1:4">
      <c r="A990" s="3" t="s">
        <v>640</v>
      </c>
      <c r="B990" s="2">
        <v>0</v>
      </c>
      <c r="C990" s="2">
        <v>383.39</v>
      </c>
      <c r="D990" s="2">
        <v>0</v>
      </c>
    </row>
    <row r="991" spans="1:4">
      <c r="A991" s="3" t="s">
        <v>600</v>
      </c>
      <c r="B991" s="2">
        <v>0</v>
      </c>
      <c r="C991" s="2">
        <v>1528.02</v>
      </c>
      <c r="D991" s="2">
        <v>0</v>
      </c>
    </row>
    <row r="992" spans="1:4">
      <c r="A992" s="3" t="s">
        <v>603</v>
      </c>
      <c r="B992" s="2">
        <v>0</v>
      </c>
      <c r="C992" s="2">
        <v>1616.78</v>
      </c>
      <c r="D992" s="2">
        <v>0</v>
      </c>
    </row>
    <row r="993" spans="1:4">
      <c r="A993" s="3" t="s">
        <v>592</v>
      </c>
      <c r="B993" s="2">
        <v>1270.93</v>
      </c>
      <c r="C993" s="2">
        <v>1599.38</v>
      </c>
      <c r="D993" s="2">
        <v>79.459999999999994</v>
      </c>
    </row>
    <row r="994" spans="1:4">
      <c r="A994" s="3" t="s">
        <v>594</v>
      </c>
      <c r="B994" s="2">
        <v>1261.97</v>
      </c>
      <c r="C994" s="2">
        <v>1709.61</v>
      </c>
      <c r="D994" s="2">
        <v>73.819999999999993</v>
      </c>
    </row>
    <row r="995" spans="1:4">
      <c r="A995" s="3" t="s">
        <v>1526</v>
      </c>
      <c r="B995" s="2">
        <v>341.01</v>
      </c>
      <c r="C995" s="2">
        <v>11966.76</v>
      </c>
      <c r="D995" s="2">
        <v>2.85</v>
      </c>
    </row>
    <row r="996" spans="1:4">
      <c r="A996" s="3" t="s">
        <v>1527</v>
      </c>
      <c r="B996" s="2">
        <v>356.39</v>
      </c>
      <c r="C996" s="2">
        <v>9708.32</v>
      </c>
      <c r="D996" s="2">
        <v>3.67</v>
      </c>
    </row>
    <row r="997" spans="1:4">
      <c r="A997" s="3" t="s">
        <v>1528</v>
      </c>
      <c r="B997" s="2">
        <v>312.16000000000003</v>
      </c>
      <c r="C997" s="2">
        <v>12357.99</v>
      </c>
      <c r="D997" s="2">
        <v>2.5299999999999998</v>
      </c>
    </row>
    <row r="998" spans="1:4">
      <c r="A998" s="3" t="s">
        <v>1529</v>
      </c>
      <c r="B998" s="2">
        <v>0</v>
      </c>
      <c r="C998" s="2">
        <v>11920.19</v>
      </c>
      <c r="D998" s="2">
        <v>0</v>
      </c>
    </row>
    <row r="999" spans="1:4">
      <c r="A999" s="3" t="s">
        <v>1530</v>
      </c>
      <c r="B999" s="2">
        <v>406.72</v>
      </c>
      <c r="C999" s="2">
        <v>12324.4</v>
      </c>
      <c r="D999" s="2">
        <v>3.3</v>
      </c>
    </row>
    <row r="1000" spans="1:4">
      <c r="A1000" s="3" t="s">
        <v>1531</v>
      </c>
      <c r="B1000" s="2">
        <v>2548.62</v>
      </c>
      <c r="C1000" s="2">
        <v>15171.97</v>
      </c>
      <c r="D1000" s="2">
        <v>16.8</v>
      </c>
    </row>
    <row r="1001" spans="1:4">
      <c r="A1001" s="3" t="s">
        <v>1532</v>
      </c>
      <c r="B1001" s="2">
        <v>393.73</v>
      </c>
      <c r="C1001" s="2">
        <v>8683.41</v>
      </c>
      <c r="D1001" s="2">
        <v>4.53</v>
      </c>
    </row>
    <row r="1002" spans="1:4">
      <c r="A1002" s="3" t="s">
        <v>1533</v>
      </c>
      <c r="B1002" s="2">
        <v>775.38</v>
      </c>
      <c r="C1002" s="2">
        <v>11180.81</v>
      </c>
      <c r="D1002" s="2">
        <v>6.93</v>
      </c>
    </row>
    <row r="1003" spans="1:4">
      <c r="A1003" s="3" t="s">
        <v>1534</v>
      </c>
      <c r="B1003" s="2">
        <v>355.18</v>
      </c>
      <c r="C1003" s="2">
        <v>9074.06</v>
      </c>
      <c r="D1003" s="2">
        <v>3.91</v>
      </c>
    </row>
    <row r="1004" spans="1:4">
      <c r="A1004" s="3" t="s">
        <v>1535</v>
      </c>
      <c r="B1004" s="2">
        <v>358.33</v>
      </c>
      <c r="C1004" s="2">
        <v>8897.9500000000007</v>
      </c>
      <c r="D1004" s="2">
        <v>4.03</v>
      </c>
    </row>
    <row r="1005" spans="1:4">
      <c r="A1005" s="3" t="s">
        <v>1536</v>
      </c>
      <c r="B1005" s="2">
        <v>719.72</v>
      </c>
      <c r="C1005" s="2">
        <v>11239.14</v>
      </c>
      <c r="D1005" s="2">
        <v>6.4</v>
      </c>
    </row>
    <row r="1006" spans="1:4">
      <c r="A1006" s="3" t="s">
        <v>1537</v>
      </c>
      <c r="B1006" s="2">
        <v>330.03</v>
      </c>
      <c r="C1006" s="2">
        <v>9269.6</v>
      </c>
      <c r="D1006" s="2">
        <v>3.56</v>
      </c>
    </row>
    <row r="1007" spans="1:4">
      <c r="A1007" s="3" t="s">
        <v>1538</v>
      </c>
      <c r="B1007" s="2">
        <v>0</v>
      </c>
      <c r="C1007" s="2">
        <v>20481.669999999998</v>
      </c>
      <c r="D1007" s="2">
        <v>0</v>
      </c>
    </row>
    <row r="1008" spans="1:4">
      <c r="A1008" s="3" t="s">
        <v>453</v>
      </c>
      <c r="B1008" s="2">
        <v>9401.6299999999992</v>
      </c>
      <c r="C1008" s="2">
        <v>3547.95</v>
      </c>
      <c r="D1008" s="2">
        <v>264.99</v>
      </c>
    </row>
    <row r="1009" spans="1:4">
      <c r="A1009" s="3" t="s">
        <v>455</v>
      </c>
      <c r="B1009" s="2">
        <v>9401.76</v>
      </c>
      <c r="C1009" s="2">
        <v>3248.74</v>
      </c>
      <c r="D1009" s="2">
        <v>289.39999999999998</v>
      </c>
    </row>
    <row r="1010" spans="1:4">
      <c r="A1010" s="3" t="s">
        <v>483</v>
      </c>
      <c r="B1010" s="2">
        <v>9401.94</v>
      </c>
      <c r="C1010" s="2">
        <v>3248.75</v>
      </c>
      <c r="D1010" s="2">
        <v>289.39999999999998</v>
      </c>
    </row>
    <row r="1011" spans="1:4">
      <c r="A1011" s="3" t="s">
        <v>484</v>
      </c>
      <c r="B1011" s="2">
        <v>9401.5400000000009</v>
      </c>
      <c r="C1011" s="2">
        <v>2918.04</v>
      </c>
      <c r="D1011" s="2">
        <v>322.19</v>
      </c>
    </row>
    <row r="1012" spans="1:4">
      <c r="A1012" s="3" t="s">
        <v>1539</v>
      </c>
      <c r="B1012" s="2">
        <v>0</v>
      </c>
      <c r="C1012" s="2">
        <v>5956.39</v>
      </c>
      <c r="D1012" s="2">
        <v>0</v>
      </c>
    </row>
    <row r="1013" spans="1:4">
      <c r="A1013" s="3" t="s">
        <v>1540</v>
      </c>
      <c r="B1013" s="2">
        <v>1824.24</v>
      </c>
      <c r="C1013" s="2">
        <v>15958.33</v>
      </c>
      <c r="D1013" s="2">
        <v>11.43</v>
      </c>
    </row>
    <row r="1014" spans="1:4">
      <c r="A1014" s="3" t="s">
        <v>1541</v>
      </c>
      <c r="B1014" s="2">
        <v>85.99</v>
      </c>
      <c r="C1014" s="2">
        <v>6282.06</v>
      </c>
      <c r="D1014" s="2">
        <v>1.37</v>
      </c>
    </row>
    <row r="1015" spans="1:4">
      <c r="A1015" s="3" t="s">
        <v>1542</v>
      </c>
      <c r="B1015" s="2">
        <v>147.51</v>
      </c>
      <c r="C1015" s="2">
        <v>7675.12</v>
      </c>
      <c r="D1015" s="2">
        <v>1.92</v>
      </c>
    </row>
    <row r="1016" spans="1:4">
      <c r="A1016" s="3" t="s">
        <v>1543</v>
      </c>
      <c r="B1016" s="2">
        <v>209.03</v>
      </c>
      <c r="C1016" s="2">
        <v>7737.63</v>
      </c>
      <c r="D1016" s="2">
        <v>2.7</v>
      </c>
    </row>
    <row r="1017" spans="1:4">
      <c r="A1017" s="3" t="s">
        <v>1544</v>
      </c>
      <c r="B1017" s="2">
        <v>361.64</v>
      </c>
      <c r="C1017" s="2">
        <v>404.17</v>
      </c>
      <c r="D1017" s="2">
        <v>89.48</v>
      </c>
    </row>
    <row r="1018" spans="1:4">
      <c r="A1018" s="3" t="s">
        <v>1545</v>
      </c>
      <c r="B1018" s="2">
        <v>0</v>
      </c>
      <c r="C1018" s="2">
        <v>1170</v>
      </c>
      <c r="D1018" s="2">
        <v>0</v>
      </c>
    </row>
    <row r="1019" spans="1:4">
      <c r="A1019" s="3" t="s">
        <v>1546</v>
      </c>
      <c r="B1019" s="2">
        <v>0</v>
      </c>
      <c r="C1019" s="2">
        <v>6420</v>
      </c>
      <c r="D1019" s="2">
        <v>0</v>
      </c>
    </row>
    <row r="1020" spans="1:4">
      <c r="A1020" s="3" t="s">
        <v>1547</v>
      </c>
      <c r="B1020" s="2">
        <v>0</v>
      </c>
      <c r="C1020" s="2">
        <v>1070</v>
      </c>
      <c r="D1020" s="2">
        <v>0</v>
      </c>
    </row>
    <row r="1021" spans="1:4">
      <c r="A1021" s="3" t="s">
        <v>1548</v>
      </c>
      <c r="B1021" s="2">
        <v>0</v>
      </c>
      <c r="C1021" s="2">
        <v>2780</v>
      </c>
      <c r="D1021" s="2">
        <v>0</v>
      </c>
    </row>
    <row r="1022" spans="1:4">
      <c r="A1022" s="3" t="s">
        <v>1549</v>
      </c>
      <c r="B1022" s="2">
        <v>0</v>
      </c>
      <c r="C1022" s="2">
        <v>2130</v>
      </c>
      <c r="D1022" s="2">
        <v>0</v>
      </c>
    </row>
    <row r="1023" spans="1:4">
      <c r="A1023" s="3" t="s">
        <v>1550</v>
      </c>
      <c r="B1023" s="2">
        <v>0</v>
      </c>
      <c r="C1023" s="2">
        <v>1940</v>
      </c>
      <c r="D1023" s="2">
        <v>0</v>
      </c>
    </row>
    <row r="1024" spans="1:4">
      <c r="A1024" s="3" t="s">
        <v>1551</v>
      </c>
      <c r="B1024" s="2">
        <v>0</v>
      </c>
      <c r="C1024" s="2">
        <v>3680</v>
      </c>
      <c r="D1024" s="2">
        <v>0</v>
      </c>
    </row>
    <row r="1025" spans="1:4">
      <c r="A1025" s="3" t="s">
        <v>1552</v>
      </c>
      <c r="B1025" s="2">
        <v>0</v>
      </c>
      <c r="C1025" s="2">
        <v>1180</v>
      </c>
      <c r="D1025" s="2">
        <v>0</v>
      </c>
    </row>
    <row r="1026" spans="1:4">
      <c r="A1026" s="3" t="s">
        <v>701</v>
      </c>
      <c r="B1026" s="2">
        <v>85.99</v>
      </c>
      <c r="C1026" s="2">
        <v>4441.33</v>
      </c>
      <c r="D1026" s="2">
        <v>1.94</v>
      </c>
    </row>
    <row r="1027" spans="1:4">
      <c r="A1027" s="3" t="s">
        <v>702</v>
      </c>
      <c r="B1027" s="2">
        <v>147.51</v>
      </c>
      <c r="C1027" s="2">
        <v>4452.04</v>
      </c>
      <c r="D1027" s="2">
        <v>3.31</v>
      </c>
    </row>
    <row r="1028" spans="1:4">
      <c r="A1028" s="3" t="s">
        <v>638</v>
      </c>
      <c r="B1028" s="2">
        <v>0</v>
      </c>
      <c r="C1028" s="2">
        <v>1336.56</v>
      </c>
      <c r="D1028" s="2">
        <v>0</v>
      </c>
    </row>
    <row r="1029" spans="1:4">
      <c r="A1029" s="3" t="s">
        <v>642</v>
      </c>
      <c r="B1029" s="2">
        <v>0</v>
      </c>
      <c r="C1029" s="2">
        <v>1459.43</v>
      </c>
      <c r="D1029" s="2">
        <v>0</v>
      </c>
    </row>
    <row r="1030" spans="1:4">
      <c r="A1030" s="3" t="s">
        <v>631</v>
      </c>
      <c r="B1030" s="2">
        <v>0</v>
      </c>
      <c r="C1030" s="2">
        <v>597.51</v>
      </c>
      <c r="D1030" s="2">
        <v>0</v>
      </c>
    </row>
    <row r="1031" spans="1:4">
      <c r="A1031" s="3" t="s">
        <v>634</v>
      </c>
      <c r="B1031" s="2">
        <v>0</v>
      </c>
      <c r="C1031" s="2">
        <v>598.67999999999995</v>
      </c>
      <c r="D1031" s="2">
        <v>0</v>
      </c>
    </row>
    <row r="1032" spans="1:4">
      <c r="A1032" s="3" t="s">
        <v>637</v>
      </c>
      <c r="B1032" s="2">
        <v>0</v>
      </c>
      <c r="C1032" s="2">
        <v>91.57</v>
      </c>
      <c r="D1032" s="2">
        <v>0</v>
      </c>
    </row>
    <row r="1033" spans="1:4">
      <c r="A1033" s="3" t="s">
        <v>641</v>
      </c>
      <c r="B1033" s="2">
        <v>0</v>
      </c>
      <c r="C1033" s="2">
        <v>92.45</v>
      </c>
      <c r="D1033" s="2">
        <v>0</v>
      </c>
    </row>
    <row r="1034" spans="1:4">
      <c r="A1034" s="3" t="s">
        <v>646</v>
      </c>
      <c r="B1034" s="2">
        <v>0</v>
      </c>
      <c r="C1034" s="2">
        <v>1065.72</v>
      </c>
      <c r="D1034" s="2">
        <v>0</v>
      </c>
    </row>
    <row r="1035" spans="1:4">
      <c r="A1035" s="3" t="s">
        <v>648</v>
      </c>
      <c r="B1035" s="2">
        <v>0</v>
      </c>
      <c r="C1035" s="2">
        <v>1346.51</v>
      </c>
      <c r="D1035" s="2">
        <v>0</v>
      </c>
    </row>
    <row r="1036" spans="1:4">
      <c r="A1036" s="3" t="s">
        <v>643</v>
      </c>
      <c r="B1036" s="2">
        <v>0</v>
      </c>
      <c r="C1036" s="2">
        <v>823.18</v>
      </c>
      <c r="D1036" s="2">
        <v>0</v>
      </c>
    </row>
    <row r="1037" spans="1:4">
      <c r="A1037" s="3" t="s">
        <v>644</v>
      </c>
      <c r="B1037" s="2">
        <v>0</v>
      </c>
      <c r="C1037" s="2">
        <v>1210.69</v>
      </c>
      <c r="D1037" s="2">
        <v>0</v>
      </c>
    </row>
    <row r="1038" spans="1:4">
      <c r="A1038" s="3" t="s">
        <v>645</v>
      </c>
      <c r="B1038" s="2">
        <v>0</v>
      </c>
      <c r="C1038" s="2">
        <v>89.22</v>
      </c>
      <c r="D1038" s="2">
        <v>0</v>
      </c>
    </row>
    <row r="1039" spans="1:4">
      <c r="A1039" s="3" t="s">
        <v>647</v>
      </c>
      <c r="B1039" s="2">
        <v>0</v>
      </c>
      <c r="C1039" s="2">
        <v>94.8</v>
      </c>
      <c r="D1039" s="2">
        <v>0</v>
      </c>
    </row>
    <row r="1040" spans="1:4">
      <c r="A1040" s="3" t="s">
        <v>629</v>
      </c>
      <c r="B1040" s="2">
        <v>1018.74</v>
      </c>
      <c r="C1040" s="2">
        <v>4753.72</v>
      </c>
      <c r="D1040" s="2">
        <v>21.43</v>
      </c>
    </row>
    <row r="1041" spans="1:4">
      <c r="A1041" s="3" t="s">
        <v>632</v>
      </c>
      <c r="B1041" s="2">
        <v>996.97</v>
      </c>
      <c r="C1041" s="2">
        <v>4643.4799999999996</v>
      </c>
      <c r="D1041" s="2">
        <v>21.47</v>
      </c>
    </row>
    <row r="1042" spans="1:4">
      <c r="A1042" s="3" t="s">
        <v>635</v>
      </c>
      <c r="B1042" s="2">
        <v>147.47999999999999</v>
      </c>
      <c r="C1042" s="2">
        <v>5038.8999999999996</v>
      </c>
      <c r="D1042" s="2">
        <v>2.93</v>
      </c>
    </row>
    <row r="1043" spans="1:4">
      <c r="A1043" s="3" t="s">
        <v>639</v>
      </c>
      <c r="B1043" s="2">
        <v>1455.19</v>
      </c>
      <c r="C1043" s="2">
        <v>5212.12</v>
      </c>
      <c r="D1043" s="2">
        <v>27.92</v>
      </c>
    </row>
    <row r="1044" spans="1:4">
      <c r="A1044" s="3" t="s">
        <v>1553</v>
      </c>
      <c r="B1044" s="2">
        <v>1114.8499999999999</v>
      </c>
      <c r="C1044" s="2">
        <v>1579.32</v>
      </c>
      <c r="D1044" s="2">
        <v>70.59</v>
      </c>
    </row>
    <row r="1045" spans="1:4">
      <c r="A1045" s="3" t="s">
        <v>1554</v>
      </c>
      <c r="B1045" s="2">
        <v>1056.78</v>
      </c>
      <c r="C1045" s="2">
        <v>1772.23</v>
      </c>
      <c r="D1045" s="2">
        <v>59.63</v>
      </c>
    </row>
    <row r="1046" spans="1:4">
      <c r="A1046" s="3" t="s">
        <v>1555</v>
      </c>
      <c r="B1046" s="2">
        <v>0</v>
      </c>
      <c r="C1046" s="2">
        <v>86845.21</v>
      </c>
      <c r="D1046" s="2">
        <v>0</v>
      </c>
    </row>
    <row r="1047" spans="1:4">
      <c r="A1047" s="3" t="s">
        <v>1556</v>
      </c>
      <c r="B1047" s="2">
        <v>0</v>
      </c>
      <c r="C1047" s="2">
        <v>150510.15</v>
      </c>
      <c r="D1047" s="2">
        <v>0</v>
      </c>
    </row>
    <row r="1048" spans="1:4">
      <c r="A1048" s="3" t="s">
        <v>1557</v>
      </c>
      <c r="B1048" s="2">
        <v>0</v>
      </c>
      <c r="C1048" s="2">
        <v>1067.5</v>
      </c>
      <c r="D1048" s="2">
        <v>0</v>
      </c>
    </row>
    <row r="1049" spans="1:4">
      <c r="A1049" s="3" t="s">
        <v>1558</v>
      </c>
      <c r="B1049" s="2">
        <v>0</v>
      </c>
      <c r="C1049" s="2">
        <v>1122.5</v>
      </c>
      <c r="D1049" s="2">
        <v>0</v>
      </c>
    </row>
    <row r="1050" spans="1:4">
      <c r="A1050" s="3"/>
      <c r="B1050" s="2"/>
      <c r="C1050" s="2"/>
      <c r="D1050" s="2"/>
    </row>
    <row r="1051" spans="1:4">
      <c r="A1051" s="3"/>
      <c r="B1051" s="2"/>
      <c r="C1051" s="2"/>
      <c r="D1051" s="2"/>
    </row>
    <row r="1052" spans="1:4">
      <c r="A1052" s="3"/>
      <c r="B1052" s="2"/>
      <c r="C1052" s="2"/>
      <c r="D1052" s="2"/>
    </row>
    <row r="1053" spans="1:4">
      <c r="A1053" s="3"/>
      <c r="B1053" s="2"/>
      <c r="C1053" s="2"/>
      <c r="D1053" s="2"/>
    </row>
    <row r="1054" spans="1:4">
      <c r="A1054" s="3"/>
      <c r="B1054" s="2"/>
      <c r="C1054" s="2"/>
      <c r="D1054" s="2"/>
    </row>
    <row r="1055" spans="1:4">
      <c r="A1055" s="3"/>
      <c r="B1055" s="2"/>
      <c r="C1055" s="2"/>
      <c r="D1055" s="2"/>
    </row>
    <row r="1056" spans="1:4">
      <c r="A1056" s="3"/>
      <c r="B1056" s="2"/>
      <c r="C1056" s="2"/>
      <c r="D1056" s="2"/>
    </row>
    <row r="1057" spans="1:4">
      <c r="A1057" s="3"/>
      <c r="B1057" s="2"/>
      <c r="C1057" s="2"/>
      <c r="D1057" s="2"/>
    </row>
    <row r="1058" spans="1:4">
      <c r="A1058" s="3"/>
      <c r="B1058" s="2"/>
      <c r="C1058" s="2"/>
      <c r="D1058" s="2"/>
    </row>
    <row r="1059" spans="1:4">
      <c r="A1059" s="3"/>
      <c r="B1059" s="2"/>
      <c r="C1059" s="2"/>
      <c r="D1059" s="2"/>
    </row>
    <row r="1060" spans="1:4">
      <c r="A1060" s="3"/>
      <c r="B1060" s="2"/>
      <c r="C1060" s="2"/>
      <c r="D1060" s="2"/>
    </row>
    <row r="1061" spans="1:4">
      <c r="A1061" s="3"/>
      <c r="B1061" s="2"/>
      <c r="C1061" s="2"/>
      <c r="D1061" s="2"/>
    </row>
    <row r="1062" spans="1:4">
      <c r="A1062" s="3"/>
      <c r="B1062" s="2"/>
      <c r="C1062" s="2"/>
      <c r="D1062" s="2"/>
    </row>
    <row r="1063" spans="1:4">
      <c r="A1063" s="3"/>
      <c r="B1063" s="2"/>
      <c r="C1063" s="2"/>
      <c r="D1063" s="2"/>
    </row>
    <row r="1064" spans="1:4">
      <c r="A1064" s="3"/>
      <c r="B1064" s="2"/>
      <c r="C1064" s="2"/>
      <c r="D1064" s="2"/>
    </row>
    <row r="1065" spans="1:4">
      <c r="A1065" s="3"/>
      <c r="B1065" s="2"/>
      <c r="C1065" s="2"/>
      <c r="D1065" s="2"/>
    </row>
    <row r="1066" spans="1:4">
      <c r="A1066" s="3"/>
      <c r="B1066" s="2"/>
      <c r="C1066" s="2"/>
      <c r="D1066" s="2"/>
    </row>
    <row r="1067" spans="1:4">
      <c r="A1067" s="3"/>
      <c r="B1067" s="2"/>
      <c r="C1067" s="2"/>
      <c r="D1067" s="2"/>
    </row>
    <row r="1068" spans="1:4">
      <c r="A1068" s="3"/>
      <c r="B1068" s="2"/>
      <c r="C1068" s="2"/>
      <c r="D1068" s="2"/>
    </row>
    <row r="1069" spans="1:4">
      <c r="A1069" s="3"/>
      <c r="B1069" s="2"/>
      <c r="C1069" s="2"/>
      <c r="D1069" s="2"/>
    </row>
    <row r="1070" spans="1:4">
      <c r="A1070" s="3"/>
      <c r="B1070" s="2"/>
      <c r="C1070" s="2"/>
      <c r="D1070" s="2"/>
    </row>
    <row r="1071" spans="1:4">
      <c r="A1071" s="3"/>
      <c r="B1071" s="2"/>
      <c r="C1071" s="2"/>
      <c r="D1071" s="2"/>
    </row>
    <row r="1072" spans="1:4">
      <c r="A1072" s="3"/>
      <c r="B1072" s="2"/>
      <c r="C1072" s="2"/>
      <c r="D1072" s="2"/>
    </row>
    <row r="1073" spans="1:4">
      <c r="A1073" s="3"/>
      <c r="B1073" s="2"/>
      <c r="C1073" s="2"/>
      <c r="D1073" s="2"/>
    </row>
    <row r="1074" spans="1:4">
      <c r="A1074" s="3"/>
      <c r="B1074" s="2"/>
      <c r="C1074" s="2"/>
      <c r="D1074" s="2"/>
    </row>
    <row r="1075" spans="1:4">
      <c r="A1075" s="3"/>
      <c r="B1075" s="2"/>
      <c r="C1075" s="2"/>
      <c r="D1075" s="2"/>
    </row>
    <row r="1076" spans="1:4">
      <c r="A1076" s="3"/>
      <c r="B1076" s="2"/>
      <c r="C1076" s="2"/>
      <c r="D1076" s="2"/>
    </row>
    <row r="1077" spans="1:4">
      <c r="A1077" s="3"/>
      <c r="B1077" s="2"/>
      <c r="C1077" s="2"/>
      <c r="D1077" s="2"/>
    </row>
    <row r="1078" spans="1:4">
      <c r="A1078" s="3"/>
      <c r="B1078" s="2"/>
      <c r="C1078" s="2"/>
      <c r="D1078" s="2"/>
    </row>
    <row r="1079" spans="1:4">
      <c r="A1079" s="3"/>
      <c r="B1079" s="2"/>
      <c r="C1079" s="2"/>
      <c r="D1079" s="2"/>
    </row>
    <row r="1080" spans="1:4">
      <c r="A1080" s="3"/>
      <c r="B1080" s="2"/>
      <c r="C1080" s="2"/>
      <c r="D1080" s="2"/>
    </row>
    <row r="1081" spans="1:4">
      <c r="A1081" s="3"/>
      <c r="B1081" s="2"/>
      <c r="C1081" s="2"/>
      <c r="D1081" s="2"/>
    </row>
    <row r="1082" spans="1:4">
      <c r="A1082" s="3"/>
      <c r="B1082" s="2"/>
      <c r="C1082" s="2"/>
      <c r="D1082" s="2"/>
    </row>
    <row r="1083" spans="1:4">
      <c r="A1083" s="3"/>
      <c r="B1083" s="2"/>
      <c r="C1083" s="2"/>
      <c r="D1083" s="2"/>
    </row>
    <row r="1084" spans="1:4">
      <c r="A1084" s="3"/>
      <c r="B1084" s="2"/>
      <c r="C1084" s="2"/>
      <c r="D1084" s="2"/>
    </row>
    <row r="1085" spans="1:4">
      <c r="A1085" s="3"/>
      <c r="B1085" s="2"/>
      <c r="C1085" s="2"/>
      <c r="D1085" s="2"/>
    </row>
    <row r="1086" spans="1:4">
      <c r="A1086" s="3"/>
      <c r="B1086" s="2"/>
      <c r="C1086" s="2"/>
      <c r="D1086" s="2"/>
    </row>
    <row r="1087" spans="1:4">
      <c r="A1087" s="3"/>
      <c r="B1087" s="2"/>
      <c r="C1087" s="2"/>
      <c r="D1087" s="2"/>
    </row>
    <row r="1088" spans="1:4">
      <c r="A1088" s="3"/>
      <c r="B1088" s="2"/>
      <c r="C1088" s="2"/>
      <c r="D1088" s="2"/>
    </row>
    <row r="1089" spans="1:4">
      <c r="A1089" s="3"/>
      <c r="B1089" s="2"/>
      <c r="C1089" s="2"/>
      <c r="D1089" s="2"/>
    </row>
    <row r="1090" spans="1:4">
      <c r="A1090" s="3"/>
      <c r="B1090" s="2"/>
      <c r="C1090" s="2"/>
      <c r="D1090" s="2"/>
    </row>
    <row r="1091" spans="1:4">
      <c r="A1091" s="3"/>
      <c r="B1091" s="2"/>
      <c r="C1091" s="2"/>
      <c r="D1091" s="2"/>
    </row>
    <row r="1092" spans="1:4">
      <c r="A1092" s="3"/>
      <c r="B1092" s="2"/>
      <c r="C1092" s="2"/>
      <c r="D1092" s="2"/>
    </row>
    <row r="1093" spans="1:4">
      <c r="A1093" s="3"/>
      <c r="B1093" s="2"/>
      <c r="C1093" s="2"/>
      <c r="D1093" s="2"/>
    </row>
    <row r="1094" spans="1:4">
      <c r="A1094" s="3"/>
      <c r="B1094" s="2"/>
      <c r="C1094" s="2"/>
      <c r="D1094" s="2"/>
    </row>
    <row r="1095" spans="1:4">
      <c r="A1095" s="3"/>
      <c r="B1095" s="2"/>
      <c r="C1095" s="2"/>
      <c r="D1095" s="2"/>
    </row>
    <row r="1096" spans="1:4">
      <c r="A1096" s="3"/>
      <c r="B1096" s="2"/>
      <c r="C1096" s="2"/>
      <c r="D1096" s="2"/>
    </row>
    <row r="1097" spans="1:4">
      <c r="A1097" s="3"/>
      <c r="B1097" s="2"/>
      <c r="C1097" s="2"/>
      <c r="D1097" s="2"/>
    </row>
    <row r="1098" spans="1:4">
      <c r="A1098" s="3"/>
      <c r="B1098" s="2"/>
      <c r="C1098" s="2"/>
      <c r="D1098" s="2"/>
    </row>
    <row r="1099" spans="1:4">
      <c r="A1099" s="3"/>
      <c r="B1099" s="2"/>
      <c r="C1099" s="2"/>
      <c r="D1099" s="2"/>
    </row>
    <row r="1100" spans="1:4">
      <c r="A1100" s="3"/>
      <c r="B1100" s="2"/>
      <c r="C1100" s="2"/>
      <c r="D1100" s="2"/>
    </row>
    <row r="1101" spans="1:4">
      <c r="A1101" s="3"/>
      <c r="B1101" s="2"/>
      <c r="C1101" s="2"/>
      <c r="D1101" s="2"/>
    </row>
    <row r="1102" spans="1:4">
      <c r="A1102" s="3"/>
      <c r="B1102" s="2"/>
      <c r="C1102" s="2"/>
      <c r="D1102" s="2"/>
    </row>
    <row r="1103" spans="1:4">
      <c r="A1103" s="3"/>
      <c r="B1103" s="2"/>
      <c r="C1103" s="2"/>
      <c r="D1103" s="2"/>
    </row>
    <row r="1104" spans="1:4">
      <c r="A1104" s="3"/>
      <c r="B1104" s="2"/>
      <c r="C1104" s="2"/>
      <c r="D1104" s="2"/>
    </row>
    <row r="1105" spans="1:4">
      <c r="A1105" s="3"/>
      <c r="B1105" s="2"/>
      <c r="C1105" s="2"/>
      <c r="D1105" s="2"/>
    </row>
    <row r="1106" spans="1:4">
      <c r="A1106" s="3"/>
      <c r="B1106" s="2"/>
      <c r="C1106" s="2"/>
      <c r="D1106" s="2"/>
    </row>
    <row r="1107" spans="1:4">
      <c r="A1107" s="3"/>
      <c r="B1107" s="2"/>
      <c r="C1107" s="2"/>
      <c r="D1107" s="2"/>
    </row>
    <row r="1108" spans="1:4">
      <c r="A1108" s="3"/>
      <c r="B1108" s="2"/>
      <c r="C1108" s="2"/>
      <c r="D1108" s="2"/>
    </row>
    <row r="1109" spans="1:4">
      <c r="A1109" s="3"/>
      <c r="B1109" s="2"/>
      <c r="C1109" s="2"/>
      <c r="D1109" s="2"/>
    </row>
    <row r="1110" spans="1:4">
      <c r="A1110" s="3"/>
      <c r="B1110" s="2"/>
      <c r="C1110" s="2"/>
      <c r="D1110" s="2"/>
    </row>
    <row r="1111" spans="1:4">
      <c r="A1111" s="3"/>
      <c r="B1111" s="2"/>
      <c r="C1111" s="2"/>
      <c r="D1111" s="2"/>
    </row>
    <row r="1112" spans="1:4">
      <c r="A1112" s="3"/>
      <c r="B1112" s="2"/>
      <c r="C1112" s="2"/>
      <c r="D1112" s="2"/>
    </row>
    <row r="1113" spans="1:4">
      <c r="A1113" s="3"/>
      <c r="B1113" s="2"/>
      <c r="C1113" s="2"/>
      <c r="D1113" s="2"/>
    </row>
    <row r="1114" spans="1:4">
      <c r="A1114" s="3"/>
      <c r="B1114" s="2"/>
      <c r="C1114" s="2"/>
      <c r="D1114" s="2"/>
    </row>
    <row r="1115" spans="1:4">
      <c r="A1115" s="3"/>
      <c r="B1115" s="2"/>
      <c r="C1115" s="2"/>
      <c r="D1115" s="2"/>
    </row>
    <row r="1116" spans="1:4">
      <c r="A1116" s="3"/>
      <c r="B1116" s="2"/>
      <c r="C1116" s="2"/>
      <c r="D1116" s="2"/>
    </row>
    <row r="1117" spans="1:4">
      <c r="A1117" s="3"/>
      <c r="B1117" s="2"/>
      <c r="C1117" s="2"/>
      <c r="D1117" s="2"/>
    </row>
    <row r="1118" spans="1:4">
      <c r="A1118" s="3"/>
      <c r="B1118" s="2"/>
      <c r="C1118" s="2"/>
      <c r="D1118" s="2"/>
    </row>
    <row r="1119" spans="1:4">
      <c r="A1119" s="3"/>
      <c r="B1119" s="2"/>
      <c r="C1119" s="2"/>
      <c r="D1119" s="2"/>
    </row>
    <row r="1120" spans="1:4">
      <c r="A1120" s="3"/>
      <c r="B1120" s="2"/>
      <c r="C1120" s="2"/>
      <c r="D1120" s="2"/>
    </row>
    <row r="1121" spans="1:4">
      <c r="A1121" s="3"/>
      <c r="B1121" s="2"/>
      <c r="C1121" s="2"/>
      <c r="D1121" s="2"/>
    </row>
    <row r="1122" spans="1:4">
      <c r="A1122" s="3"/>
      <c r="B1122" s="2"/>
      <c r="C1122" s="2"/>
      <c r="D1122" s="2"/>
    </row>
    <row r="1123" spans="1:4">
      <c r="A1123" s="3"/>
      <c r="B1123" s="2"/>
      <c r="C1123" s="2"/>
      <c r="D1123" s="2"/>
    </row>
    <row r="1124" spans="1:4">
      <c r="A1124" s="3"/>
      <c r="B1124" s="2"/>
      <c r="C1124" s="2"/>
      <c r="D1124" s="2"/>
    </row>
    <row r="1125" spans="1:4">
      <c r="A1125" s="3"/>
      <c r="B1125" s="2"/>
      <c r="C1125" s="2"/>
      <c r="D1125" s="2"/>
    </row>
    <row r="1126" spans="1:4">
      <c r="A1126" s="3"/>
      <c r="B1126" s="2"/>
      <c r="C1126" s="2"/>
      <c r="D1126" s="2"/>
    </row>
    <row r="1127" spans="1:4">
      <c r="A1127" s="3"/>
      <c r="B1127" s="2"/>
      <c r="C1127" s="2"/>
      <c r="D1127" s="2"/>
    </row>
    <row r="1128" spans="1:4">
      <c r="A1128" s="3"/>
      <c r="B1128" s="2"/>
      <c r="C1128" s="2"/>
      <c r="D1128" s="2"/>
    </row>
    <row r="1129" spans="1:4">
      <c r="A1129" s="3"/>
      <c r="B1129" s="2"/>
      <c r="C1129" s="2"/>
      <c r="D1129" s="2"/>
    </row>
    <row r="1130" spans="1:4">
      <c r="A1130" s="3"/>
      <c r="B1130" s="2"/>
      <c r="C1130" s="2"/>
      <c r="D1130" s="2"/>
    </row>
    <row r="1131" spans="1:4">
      <c r="A1131" s="3"/>
      <c r="B1131" s="2"/>
      <c r="C1131" s="2"/>
      <c r="D1131" s="2"/>
    </row>
    <row r="1132" spans="1:4">
      <c r="A1132" s="3"/>
      <c r="B1132" s="2"/>
      <c r="C1132" s="2"/>
      <c r="D1132" s="2"/>
    </row>
    <row r="1133" spans="1:4">
      <c r="A1133" s="3"/>
      <c r="B1133" s="2"/>
      <c r="C1133" s="2"/>
      <c r="D1133" s="2"/>
    </row>
    <row r="1134" spans="1:4">
      <c r="A1134" s="3"/>
      <c r="B1134" s="2"/>
      <c r="C1134" s="2"/>
      <c r="D1134" s="2"/>
    </row>
    <row r="1135" spans="1:4">
      <c r="A1135" s="3"/>
      <c r="B1135" s="2"/>
      <c r="C1135" s="2"/>
      <c r="D1135" s="2"/>
    </row>
    <row r="1136" spans="1:4">
      <c r="A1136" s="3"/>
      <c r="B1136" s="2"/>
      <c r="C1136" s="2"/>
      <c r="D1136" s="2"/>
    </row>
    <row r="1137" spans="1:4">
      <c r="A1137" s="3"/>
      <c r="B1137" s="2"/>
      <c r="C1137" s="2"/>
      <c r="D1137" s="2"/>
    </row>
    <row r="1138" spans="1:4">
      <c r="A1138" s="3"/>
      <c r="B1138" s="2"/>
      <c r="C1138" s="2"/>
      <c r="D1138" s="2"/>
    </row>
    <row r="1139" spans="1:4">
      <c r="A1139" s="3"/>
      <c r="B1139" s="2"/>
      <c r="C1139" s="2"/>
      <c r="D1139" s="2"/>
    </row>
    <row r="1140" spans="1:4">
      <c r="A1140" s="3"/>
      <c r="B1140" s="2"/>
      <c r="C1140" s="2"/>
      <c r="D1140" s="2"/>
    </row>
    <row r="1141" spans="1:4">
      <c r="A1141" s="3"/>
      <c r="B1141" s="2"/>
      <c r="C1141" s="2"/>
      <c r="D1141" s="2"/>
    </row>
    <row r="1142" spans="1:4">
      <c r="A1142" s="3"/>
      <c r="B1142" s="2"/>
      <c r="C1142" s="2"/>
      <c r="D1142" s="2"/>
    </row>
    <row r="1143" spans="1:4">
      <c r="A1143" s="3"/>
      <c r="B1143" s="2"/>
      <c r="C1143" s="2"/>
      <c r="D1143" s="2"/>
    </row>
    <row r="1144" spans="1:4">
      <c r="A1144" s="3"/>
      <c r="B1144" s="2"/>
      <c r="C1144" s="2"/>
      <c r="D1144" s="2"/>
    </row>
    <row r="1145" spans="1:4">
      <c r="A1145" s="3"/>
      <c r="B1145" s="2"/>
      <c r="C1145" s="2"/>
      <c r="D1145" s="2"/>
    </row>
    <row r="1146" spans="1:4">
      <c r="A1146" s="3"/>
      <c r="B1146" s="2"/>
      <c r="C1146" s="2"/>
      <c r="D1146" s="2"/>
    </row>
    <row r="1147" spans="1:4">
      <c r="A1147" s="3"/>
      <c r="B1147" s="2"/>
      <c r="C1147" s="2"/>
      <c r="D1147" s="2"/>
    </row>
    <row r="1148" spans="1:4">
      <c r="A1148" s="3"/>
      <c r="B1148" s="2"/>
      <c r="C1148" s="2"/>
      <c r="D1148" s="2"/>
    </row>
    <row r="1149" spans="1:4">
      <c r="A1149" s="3"/>
      <c r="B1149" s="2"/>
      <c r="C1149" s="2"/>
      <c r="D1149" s="2"/>
    </row>
    <row r="1150" spans="1:4">
      <c r="A1150" s="3"/>
      <c r="B1150" s="2"/>
      <c r="C1150" s="2"/>
      <c r="D1150" s="2"/>
    </row>
    <row r="1151" spans="1:4">
      <c r="A1151" s="3"/>
      <c r="B1151" s="2"/>
      <c r="C1151" s="2"/>
      <c r="D1151" s="2"/>
    </row>
    <row r="1152" spans="1:4">
      <c r="A1152" s="3"/>
      <c r="B1152" s="2"/>
      <c r="C1152" s="2"/>
      <c r="D1152" s="2"/>
    </row>
    <row r="1153" spans="1:4">
      <c r="A1153" s="3"/>
      <c r="B1153" s="2"/>
      <c r="C1153" s="2"/>
      <c r="D1153" s="2"/>
    </row>
    <row r="1154" spans="1:4">
      <c r="A1154" s="3"/>
      <c r="B1154" s="2"/>
      <c r="C1154" s="2"/>
      <c r="D1154" s="2"/>
    </row>
    <row r="1155" spans="1:4">
      <c r="A1155" s="3"/>
      <c r="B1155" s="2"/>
      <c r="C1155" s="2"/>
      <c r="D1155" s="2"/>
    </row>
    <row r="1156" spans="1:4">
      <c r="A1156" s="3"/>
      <c r="B1156" s="2"/>
      <c r="C1156" s="2"/>
      <c r="D1156" s="2"/>
    </row>
    <row r="1157" spans="1:4">
      <c r="A1157" s="3"/>
      <c r="B1157" s="2"/>
      <c r="C1157" s="2"/>
      <c r="D1157" s="2"/>
    </row>
    <row r="1158" spans="1:4">
      <c r="A1158" s="3"/>
      <c r="B1158" s="2"/>
      <c r="C1158" s="2"/>
      <c r="D1158" s="2"/>
    </row>
    <row r="1159" spans="1:4">
      <c r="A1159" s="3"/>
      <c r="B1159" s="2"/>
      <c r="C1159" s="2"/>
      <c r="D1159" s="2"/>
    </row>
    <row r="1160" spans="1:4">
      <c r="A1160" s="3"/>
      <c r="B1160" s="2"/>
      <c r="C1160" s="2"/>
      <c r="D1160" s="2"/>
    </row>
    <row r="1161" spans="1:4">
      <c r="A1161" s="3"/>
      <c r="B1161" s="2"/>
      <c r="C1161" s="2"/>
      <c r="D1161" s="2"/>
    </row>
    <row r="1162" spans="1:4">
      <c r="A1162" s="3"/>
      <c r="B1162" s="2"/>
      <c r="C1162" s="2"/>
      <c r="D1162" s="2"/>
    </row>
    <row r="1163" spans="1:4">
      <c r="A1163" s="3"/>
      <c r="B1163" s="2"/>
      <c r="C1163" s="2"/>
      <c r="D1163" s="2"/>
    </row>
    <row r="1164" spans="1:4">
      <c r="A1164" s="3"/>
      <c r="B1164" s="2"/>
      <c r="C1164" s="2"/>
      <c r="D1164" s="2"/>
    </row>
    <row r="1165" spans="1:4">
      <c r="A1165" s="3"/>
      <c r="B1165" s="2"/>
      <c r="C1165" s="2"/>
      <c r="D1165" s="2"/>
    </row>
    <row r="1166" spans="1:4">
      <c r="A1166" s="3"/>
      <c r="B1166" s="2"/>
      <c r="C1166" s="2"/>
      <c r="D1166" s="2"/>
    </row>
    <row r="1167" spans="1:4">
      <c r="A1167" s="3"/>
      <c r="B1167" s="2"/>
      <c r="C1167" s="2"/>
      <c r="D1167" s="2"/>
    </row>
    <row r="1168" spans="1:4">
      <c r="A1168" s="3"/>
      <c r="B1168" s="2"/>
      <c r="C1168" s="2"/>
      <c r="D1168" s="2"/>
    </row>
    <row r="1169" spans="1:4">
      <c r="A1169" s="3"/>
      <c r="B1169" s="2"/>
      <c r="C1169" s="2"/>
      <c r="D1169" s="2"/>
    </row>
    <row r="1170" spans="1:4">
      <c r="A1170" s="3"/>
      <c r="B1170" s="2"/>
      <c r="C1170" s="2"/>
      <c r="D1170" s="2"/>
    </row>
    <row r="1171" spans="1:4">
      <c r="A1171" s="3"/>
      <c r="B1171" s="2"/>
      <c r="C1171" s="2"/>
      <c r="D1171" s="2"/>
    </row>
    <row r="1172" spans="1:4">
      <c r="A1172" s="3"/>
      <c r="B1172" s="2"/>
      <c r="C1172" s="2"/>
      <c r="D1172" s="2"/>
    </row>
    <row r="1173" spans="1:4">
      <c r="A1173" s="3"/>
      <c r="B1173" s="2"/>
      <c r="C1173" s="2"/>
      <c r="D1173" s="2"/>
    </row>
    <row r="1174" spans="1:4">
      <c r="A1174" s="3"/>
      <c r="B1174" s="2"/>
      <c r="C1174" s="2"/>
      <c r="D1174" s="2"/>
    </row>
    <row r="1175" spans="1:4">
      <c r="A1175" s="3"/>
      <c r="B1175" s="2"/>
      <c r="C1175" s="2"/>
      <c r="D1175" s="2"/>
    </row>
    <row r="1176" spans="1:4">
      <c r="A1176" s="3"/>
      <c r="B1176" s="2"/>
      <c r="C1176" s="2"/>
      <c r="D1176" s="2"/>
    </row>
    <row r="1177" spans="1:4">
      <c r="A1177" s="3"/>
      <c r="B1177" s="2"/>
      <c r="C1177" s="2"/>
      <c r="D1177" s="2"/>
    </row>
    <row r="1178" spans="1:4">
      <c r="A1178" s="3"/>
      <c r="B1178" s="2"/>
      <c r="C1178" s="2"/>
      <c r="D1178" s="2"/>
    </row>
    <row r="1179" spans="1:4">
      <c r="A1179" s="3"/>
      <c r="B1179" s="2"/>
      <c r="C1179" s="2"/>
      <c r="D1179" s="2"/>
    </row>
    <row r="1180" spans="1:4">
      <c r="A1180" s="3"/>
      <c r="B1180" s="2"/>
      <c r="C1180" s="2"/>
      <c r="D1180" s="2"/>
    </row>
    <row r="1181" spans="1:4">
      <c r="A1181" s="3"/>
      <c r="B1181" s="2"/>
      <c r="C1181" s="2"/>
      <c r="D1181" s="2"/>
    </row>
    <row r="1182" spans="1:4">
      <c r="A1182" s="3"/>
      <c r="B1182" s="2"/>
      <c r="C1182" s="2"/>
      <c r="D1182" s="2"/>
    </row>
    <row r="1183" spans="1:4">
      <c r="A1183" s="3"/>
      <c r="B1183" s="2"/>
      <c r="C1183" s="2"/>
      <c r="D1183" s="2"/>
    </row>
    <row r="1184" spans="1:4">
      <c r="A1184" s="3"/>
      <c r="B1184" s="2"/>
      <c r="C1184" s="2"/>
      <c r="D1184" s="2"/>
    </row>
    <row r="1185" spans="1:4">
      <c r="A1185" s="3"/>
      <c r="B1185" s="2"/>
      <c r="C1185" s="2"/>
      <c r="D1185" s="2"/>
    </row>
    <row r="1186" spans="1:4">
      <c r="A1186" s="3"/>
      <c r="B1186" s="2"/>
      <c r="C1186" s="2"/>
      <c r="D1186" s="2"/>
    </row>
    <row r="1187" spans="1:4">
      <c r="A1187" s="3"/>
      <c r="B1187" s="2"/>
      <c r="C1187" s="2"/>
      <c r="D1187" s="2"/>
    </row>
    <row r="1188" spans="1:4">
      <c r="A1188" s="3"/>
      <c r="B1188" s="2"/>
      <c r="C1188" s="2"/>
      <c r="D1188" s="2"/>
    </row>
    <row r="1189" spans="1:4">
      <c r="A1189" s="3"/>
      <c r="B1189" s="2"/>
      <c r="C1189" s="2"/>
      <c r="D1189" s="2"/>
    </row>
    <row r="1190" spans="1:4">
      <c r="A1190" s="3"/>
      <c r="B1190" s="2"/>
      <c r="C1190" s="2"/>
      <c r="D1190" s="2"/>
    </row>
    <row r="1191" spans="1:4">
      <c r="A1191" s="3"/>
      <c r="B1191" s="2"/>
      <c r="C1191" s="2"/>
      <c r="D1191" s="2"/>
    </row>
    <row r="1192" spans="1:4">
      <c r="A1192" s="3"/>
      <c r="B1192" s="2"/>
      <c r="C1192" s="2"/>
      <c r="D1192" s="2"/>
    </row>
    <row r="1193" spans="1:4">
      <c r="A1193" s="3"/>
      <c r="B1193" s="2"/>
      <c r="C1193" s="2"/>
      <c r="D1193" s="2"/>
    </row>
    <row r="1194" spans="1:4">
      <c r="A1194" s="3"/>
      <c r="B1194" s="2"/>
      <c r="C1194" s="2"/>
      <c r="D1194" s="2"/>
    </row>
    <row r="1195" spans="1:4">
      <c r="A1195" s="3"/>
      <c r="B1195" s="2"/>
      <c r="C1195" s="2"/>
      <c r="D1195" s="2"/>
    </row>
    <row r="1196" spans="1:4">
      <c r="A1196" s="3"/>
      <c r="B1196" s="2"/>
      <c r="C1196" s="2"/>
      <c r="D1196" s="2"/>
    </row>
    <row r="1197" spans="1:4">
      <c r="A1197" s="3"/>
      <c r="B1197" s="2"/>
      <c r="C1197" s="2"/>
      <c r="D1197" s="2"/>
    </row>
    <row r="1198" spans="1:4">
      <c r="A1198" s="3"/>
      <c r="B1198" s="2"/>
      <c r="C1198" s="2"/>
      <c r="D1198" s="2"/>
    </row>
    <row r="1199" spans="1:4">
      <c r="A1199" s="3"/>
      <c r="B1199" s="2"/>
      <c r="C1199" s="2"/>
      <c r="D1199" s="2"/>
    </row>
    <row r="1200" spans="1:4">
      <c r="A1200" s="3"/>
      <c r="B1200" s="2"/>
      <c r="C1200" s="2"/>
      <c r="D1200" s="2"/>
    </row>
    <row r="1201" spans="1:4">
      <c r="A1201" s="3"/>
      <c r="B1201" s="2"/>
      <c r="C1201" s="2"/>
      <c r="D1201" s="2"/>
    </row>
    <row r="1202" spans="1:4">
      <c r="A1202" s="3"/>
      <c r="B1202" s="2"/>
      <c r="C1202" s="2"/>
      <c r="D1202" s="2"/>
    </row>
    <row r="1203" spans="1:4">
      <c r="A1203" s="3"/>
      <c r="B1203" s="2"/>
      <c r="C1203" s="2"/>
      <c r="D1203" s="2"/>
    </row>
    <row r="1204" spans="1:4">
      <c r="A1204" s="3"/>
      <c r="B1204" s="2"/>
      <c r="C1204" s="2"/>
      <c r="D1204" s="2"/>
    </row>
    <row r="1205" spans="1:4">
      <c r="A1205" s="3"/>
      <c r="B1205" s="2"/>
      <c r="C1205" s="2"/>
      <c r="D1205" s="2"/>
    </row>
    <row r="1206" spans="1:4">
      <c r="A1206" s="3"/>
      <c r="B1206" s="2"/>
      <c r="C1206" s="2"/>
      <c r="D1206" s="2"/>
    </row>
    <row r="1207" spans="1:4">
      <c r="A1207" s="3"/>
      <c r="B1207" s="2"/>
      <c r="C1207" s="2"/>
      <c r="D1207" s="2"/>
    </row>
    <row r="1208" spans="1:4">
      <c r="A1208" s="3"/>
      <c r="B1208" s="2"/>
      <c r="C1208" s="2"/>
      <c r="D1208" s="2"/>
    </row>
    <row r="1209" spans="1:4">
      <c r="A1209" s="3"/>
      <c r="B1209" s="2"/>
      <c r="C1209" s="2"/>
      <c r="D1209" s="2"/>
    </row>
    <row r="1210" spans="1:4">
      <c r="A1210" s="3"/>
      <c r="B1210" s="2"/>
      <c r="C1210" s="2"/>
      <c r="D1210" s="2"/>
    </row>
    <row r="1211" spans="1:4">
      <c r="A1211" s="3"/>
      <c r="B1211" s="2"/>
      <c r="C1211" s="2"/>
      <c r="D1211" s="2"/>
    </row>
    <row r="1212" spans="1:4">
      <c r="A1212" s="3"/>
      <c r="B1212" s="2"/>
      <c r="C1212" s="2"/>
      <c r="D1212" s="2"/>
    </row>
    <row r="1213" spans="1:4">
      <c r="A1213" s="3"/>
      <c r="B1213" s="2"/>
      <c r="C1213" s="2"/>
      <c r="D1213" s="2"/>
    </row>
    <row r="1214" spans="1:4">
      <c r="A1214" s="3"/>
      <c r="B1214" s="2"/>
      <c r="C1214" s="2"/>
      <c r="D1214" s="2"/>
    </row>
    <row r="1215" spans="1:4">
      <c r="A1215" s="3"/>
      <c r="B1215" s="2"/>
      <c r="C1215" s="2"/>
      <c r="D1215" s="2"/>
    </row>
    <row r="1216" spans="1:4">
      <c r="A1216" s="3"/>
      <c r="B1216" s="2"/>
      <c r="C1216" s="2"/>
      <c r="D1216" s="2"/>
    </row>
    <row r="1217" spans="1:4">
      <c r="A1217" s="3"/>
      <c r="B1217" s="2"/>
      <c r="C1217" s="2"/>
      <c r="D1217" s="2"/>
    </row>
    <row r="1218" spans="1:4">
      <c r="A1218" s="3"/>
      <c r="B1218" s="2"/>
      <c r="C1218" s="2"/>
      <c r="D1218" s="2"/>
    </row>
    <row r="1219" spans="1:4">
      <c r="A1219" s="3"/>
      <c r="B1219" s="2"/>
      <c r="C1219" s="2"/>
      <c r="D1219" s="2"/>
    </row>
    <row r="1220" spans="1:4">
      <c r="A1220" s="3"/>
      <c r="B1220" s="2"/>
      <c r="C1220" s="2"/>
      <c r="D1220" s="2"/>
    </row>
    <row r="1221" spans="1:4">
      <c r="A1221" s="3"/>
      <c r="B1221" s="2"/>
      <c r="C1221" s="2"/>
      <c r="D1221" s="2"/>
    </row>
    <row r="1222" spans="1:4">
      <c r="A1222" s="3"/>
      <c r="B1222" s="2"/>
      <c r="C1222" s="2"/>
      <c r="D1222" s="2"/>
    </row>
    <row r="1223" spans="1:4">
      <c r="A1223" s="3"/>
      <c r="B1223" s="2"/>
      <c r="C1223" s="2"/>
      <c r="D1223" s="2"/>
    </row>
    <row r="1224" spans="1:4">
      <c r="A1224" s="3"/>
      <c r="B1224" s="2"/>
      <c r="C1224" s="2"/>
      <c r="D1224" s="2"/>
    </row>
    <row r="1225" spans="1:4">
      <c r="A1225" s="3"/>
      <c r="B1225" s="2"/>
      <c r="C1225" s="2"/>
      <c r="D1225" s="2"/>
    </row>
    <row r="1226" spans="1:4">
      <c r="A1226" s="3"/>
      <c r="B1226" s="2"/>
      <c r="C1226" s="2"/>
      <c r="D1226" s="2"/>
    </row>
    <row r="1227" spans="1:4">
      <c r="A1227" s="3"/>
      <c r="B1227" s="2"/>
      <c r="C1227" s="2"/>
      <c r="D1227" s="2"/>
    </row>
    <row r="1228" spans="1:4">
      <c r="A1228" s="3"/>
      <c r="B1228" s="2"/>
      <c r="C1228" s="2"/>
      <c r="D1228" s="2"/>
    </row>
    <row r="1229" spans="1:4">
      <c r="A1229" s="3"/>
      <c r="B1229" s="2"/>
      <c r="C1229" s="2"/>
      <c r="D1229" s="2"/>
    </row>
    <row r="1230" spans="1:4">
      <c r="A1230" s="3"/>
      <c r="B1230" s="2"/>
      <c r="C1230" s="2"/>
      <c r="D1230" s="2"/>
    </row>
    <row r="1231" spans="1:4">
      <c r="A1231" s="3"/>
      <c r="B1231" s="2"/>
      <c r="C1231" s="2"/>
      <c r="D1231" s="2"/>
    </row>
    <row r="1232" spans="1:4">
      <c r="A1232" s="3"/>
      <c r="B1232" s="2"/>
      <c r="C1232" s="2"/>
      <c r="D1232" s="2"/>
    </row>
    <row r="1233" spans="1:4">
      <c r="A1233" s="3"/>
      <c r="B1233" s="2"/>
      <c r="C1233" s="2"/>
      <c r="D1233" s="2"/>
    </row>
    <row r="1234" spans="1:4">
      <c r="A1234" s="3"/>
      <c r="B1234" s="2"/>
      <c r="C1234" s="2"/>
      <c r="D1234" s="2"/>
    </row>
    <row r="1235" spans="1:4">
      <c r="A1235" s="3"/>
      <c r="B1235" s="2"/>
      <c r="C1235" s="2"/>
      <c r="D1235" s="2"/>
    </row>
    <row r="1236" spans="1:4">
      <c r="A1236" s="3"/>
      <c r="B1236" s="2"/>
      <c r="C1236" s="2"/>
      <c r="D1236" s="2"/>
    </row>
    <row r="1237" spans="1:4">
      <c r="A1237" s="3"/>
      <c r="B1237" s="2"/>
      <c r="C1237" s="2"/>
      <c r="D1237" s="2"/>
    </row>
    <row r="1238" spans="1:4">
      <c r="A1238" s="3"/>
      <c r="B1238" s="2"/>
      <c r="C1238" s="2"/>
      <c r="D1238" s="2"/>
    </row>
    <row r="1239" spans="1:4">
      <c r="A1239" s="3"/>
      <c r="B1239" s="2"/>
      <c r="C1239" s="2"/>
      <c r="D1239" s="2"/>
    </row>
    <row r="1240" spans="1:4">
      <c r="A1240" s="3"/>
      <c r="B1240" s="2"/>
      <c r="C1240" s="2"/>
      <c r="D1240" s="2"/>
    </row>
    <row r="1241" spans="1:4">
      <c r="A1241" s="3"/>
      <c r="B1241" s="2"/>
      <c r="C1241" s="2"/>
      <c r="D1241" s="2"/>
    </row>
    <row r="1242" spans="1:4">
      <c r="A1242" s="3"/>
      <c r="B1242" s="2"/>
      <c r="C1242" s="2"/>
      <c r="D1242" s="2"/>
    </row>
    <row r="1243" spans="1:4">
      <c r="A1243" s="3"/>
      <c r="B1243" s="2"/>
      <c r="C1243" s="2"/>
      <c r="D1243" s="2"/>
    </row>
    <row r="1244" spans="1:4">
      <c r="A1244" s="3"/>
      <c r="B1244" s="2"/>
      <c r="C1244" s="2"/>
      <c r="D1244" s="2"/>
    </row>
    <row r="1245" spans="1:4">
      <c r="A1245" s="3"/>
      <c r="B1245" s="2"/>
      <c r="C1245" s="2"/>
      <c r="D1245" s="2"/>
    </row>
    <row r="1246" spans="1:4">
      <c r="A1246" s="3"/>
      <c r="B1246" s="2"/>
      <c r="C1246" s="2"/>
      <c r="D1246" s="2"/>
    </row>
    <row r="1247" spans="1:4">
      <c r="A1247" s="3"/>
      <c r="B1247" s="2"/>
      <c r="C1247" s="2"/>
      <c r="D1247" s="2"/>
    </row>
    <row r="1248" spans="1:4">
      <c r="A1248" s="3"/>
      <c r="B1248" s="2"/>
      <c r="C1248" s="2"/>
      <c r="D1248" s="2"/>
    </row>
    <row r="1249" spans="1:4">
      <c r="A1249" s="3"/>
      <c r="B1249" s="2"/>
      <c r="C1249" s="2"/>
      <c r="D1249" s="2"/>
    </row>
    <row r="1250" spans="1:4">
      <c r="A1250" s="3"/>
      <c r="B1250" s="2"/>
      <c r="C1250" s="2"/>
      <c r="D1250" s="2"/>
    </row>
    <row r="1251" spans="1:4">
      <c r="A1251" s="3"/>
      <c r="B1251" s="2"/>
      <c r="C1251" s="2"/>
      <c r="D1251" s="2"/>
    </row>
    <row r="1252" spans="1:4">
      <c r="A1252" s="3"/>
      <c r="B1252" s="2"/>
      <c r="C1252" s="2"/>
      <c r="D1252" s="2"/>
    </row>
    <row r="1253" spans="1:4">
      <c r="A1253" s="3"/>
      <c r="B1253" s="2"/>
      <c r="C1253" s="2"/>
      <c r="D1253" s="2"/>
    </row>
    <row r="1254" spans="1:4">
      <c r="A1254" s="3"/>
      <c r="B1254" s="2"/>
      <c r="C1254" s="2"/>
      <c r="D1254" s="2"/>
    </row>
    <row r="1255" spans="1:4">
      <c r="A1255" s="3"/>
      <c r="B1255" s="2"/>
      <c r="C1255" s="2"/>
      <c r="D1255" s="2"/>
    </row>
    <row r="1256" spans="1:4">
      <c r="A1256" s="3"/>
      <c r="B1256" s="2"/>
      <c r="C1256" s="2"/>
      <c r="D1256" s="2"/>
    </row>
    <row r="1257" spans="1:4">
      <c r="A1257" s="3"/>
      <c r="B1257" s="2"/>
      <c r="C1257" s="2"/>
      <c r="D1257" s="2"/>
    </row>
    <row r="1258" spans="1:4">
      <c r="A1258" s="3"/>
      <c r="B1258" s="2"/>
      <c r="C1258" s="2"/>
      <c r="D1258" s="2"/>
    </row>
    <row r="1259" spans="1:4">
      <c r="A1259" s="3"/>
      <c r="B1259" s="2"/>
      <c r="C1259" s="2"/>
      <c r="D1259" s="2"/>
    </row>
    <row r="1260" spans="1:4">
      <c r="A1260" s="3"/>
      <c r="B1260" s="2"/>
      <c r="C1260" s="2"/>
      <c r="D1260" s="2"/>
    </row>
    <row r="1261" spans="1:4">
      <c r="A1261" s="3"/>
      <c r="B1261" s="2"/>
      <c r="C1261" s="2"/>
      <c r="D1261" s="2"/>
    </row>
    <row r="1262" spans="1:4">
      <c r="A1262" s="3"/>
      <c r="B1262" s="2"/>
      <c r="C1262" s="2"/>
      <c r="D1262" s="2"/>
    </row>
    <row r="1263" spans="1:4">
      <c r="A1263" s="3"/>
      <c r="B1263" s="2"/>
      <c r="C1263" s="2"/>
      <c r="D1263" s="2"/>
    </row>
    <row r="1264" spans="1:4">
      <c r="A1264" s="3"/>
      <c r="B1264" s="2"/>
      <c r="C1264" s="2"/>
      <c r="D1264" s="2"/>
    </row>
    <row r="1265" spans="1:4">
      <c r="A1265" s="3"/>
      <c r="B1265" s="2"/>
      <c r="C1265" s="2"/>
      <c r="D1265" s="2"/>
    </row>
    <row r="1266" spans="1:4">
      <c r="A1266" s="3"/>
      <c r="B1266" s="2"/>
      <c r="C1266" s="2"/>
      <c r="D1266" s="2"/>
    </row>
    <row r="1267" spans="1:4">
      <c r="A1267" s="3"/>
      <c r="B1267" s="2"/>
      <c r="C1267" s="2"/>
      <c r="D1267" s="2"/>
    </row>
    <row r="1268" spans="1:4">
      <c r="A1268" s="3"/>
      <c r="B1268" s="2"/>
      <c r="C1268" s="2"/>
      <c r="D1268" s="2"/>
    </row>
    <row r="1269" spans="1:4">
      <c r="A1269" s="3"/>
      <c r="B1269" s="2"/>
      <c r="C1269" s="2"/>
      <c r="D1269" s="2"/>
    </row>
    <row r="1270" spans="1:4">
      <c r="A1270" s="3"/>
      <c r="B1270" s="2"/>
      <c r="C1270" s="2"/>
      <c r="D1270" s="2"/>
    </row>
    <row r="1271" spans="1:4">
      <c r="A1271" s="3"/>
      <c r="B1271" s="2"/>
      <c r="C1271" s="2"/>
      <c r="D1271" s="2"/>
    </row>
    <row r="1272" spans="1:4">
      <c r="A1272" s="3"/>
      <c r="B1272" s="2"/>
      <c r="C1272" s="2"/>
      <c r="D1272" s="2"/>
    </row>
    <row r="1273" spans="1:4">
      <c r="A1273" s="3"/>
      <c r="B1273" s="2"/>
      <c r="C1273" s="2"/>
      <c r="D1273" s="2"/>
    </row>
    <row r="1274" spans="1:4">
      <c r="A1274" s="3"/>
      <c r="B1274" s="2"/>
      <c r="C1274" s="2"/>
      <c r="D1274" s="2"/>
    </row>
    <row r="1275" spans="1:4">
      <c r="A1275" s="3"/>
      <c r="B1275" s="2"/>
      <c r="C1275" s="2"/>
      <c r="D1275" s="2"/>
    </row>
    <row r="1276" spans="1:4">
      <c r="A1276" s="3"/>
      <c r="B1276" s="2"/>
      <c r="C1276" s="2"/>
      <c r="D1276" s="2"/>
    </row>
    <row r="1277" spans="1:4">
      <c r="A1277" s="3"/>
      <c r="B1277" s="2"/>
      <c r="C1277" s="2"/>
      <c r="D1277" s="2"/>
    </row>
    <row r="1278" spans="1:4">
      <c r="A1278" s="3"/>
      <c r="B1278" s="2"/>
      <c r="C1278" s="2"/>
      <c r="D1278" s="2"/>
    </row>
    <row r="1279" spans="1:4">
      <c r="A1279" s="3"/>
      <c r="B1279" s="2"/>
      <c r="C1279" s="2"/>
      <c r="D1279" s="2"/>
    </row>
    <row r="1280" spans="1:4">
      <c r="A1280" s="3"/>
      <c r="B1280" s="2"/>
      <c r="C1280" s="2"/>
      <c r="D1280" s="2"/>
    </row>
    <row r="1281" spans="1:4">
      <c r="A1281" s="3"/>
      <c r="B1281" s="2"/>
      <c r="C1281" s="2"/>
      <c r="D1281" s="2"/>
    </row>
    <row r="1282" spans="1:4">
      <c r="A1282" s="3"/>
      <c r="B1282" s="2"/>
      <c r="C1282" s="2"/>
      <c r="D1282" s="2"/>
    </row>
  </sheetData>
  <protectedRanges>
    <protectedRange sqref="A1:A120" name="範圍1_1_1_1"/>
    <protectedRange sqref="A121:A216" name="範圍1_1_6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eDP_RX</vt:lpstr>
      <vt:lpstr>iSP_TX</vt:lpstr>
      <vt:lpstr>ELV_RX</vt:lpstr>
      <vt:lpstr>OLV_RX</vt:lpstr>
      <vt:lpstr>AUX</vt:lpstr>
      <vt:lpstr>Flash</vt:lpstr>
      <vt:lpstr>Scan</vt:lpstr>
      <vt:lpstr>CH assign</vt:lpstr>
      <vt:lpstr>Etch_Length_From_Layout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Md. Ashik Billah</cp:lastModifiedBy>
  <dcterms:created xsi:type="dcterms:W3CDTF">2015-08-10T07:57:36Z</dcterms:created>
  <dcterms:modified xsi:type="dcterms:W3CDTF">2026-08-23T16:19:38Z</dcterms:modified>
</cp:coreProperties>
</file>