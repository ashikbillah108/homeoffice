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defaultThemeVersion="124226"/>
  <bookViews>
    <workbookView xWindow="-120" yWindow="-120" windowWidth="29040" windowHeight="15840"/>
  </bookViews>
  <sheets>
    <sheet name="32L" sheetId="1" r:id="rId1"/>
    <sheet name="check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" i="2" l="1"/>
  <c r="J2" i="2"/>
  <c r="K2" i="2"/>
  <c r="I3" i="2"/>
  <c r="J3" i="2"/>
  <c r="K3" i="2"/>
  <c r="I4" i="2"/>
  <c r="J4" i="2"/>
  <c r="K4" i="2"/>
  <c r="I5" i="2"/>
  <c r="J5" i="2"/>
  <c r="K5" i="2"/>
  <c r="I6" i="2"/>
  <c r="J6" i="2"/>
  <c r="K6" i="2"/>
  <c r="I7" i="2"/>
  <c r="J7" i="2"/>
  <c r="K7" i="2"/>
  <c r="I8" i="2"/>
  <c r="J8" i="2"/>
  <c r="K8" i="2"/>
  <c r="I9" i="2"/>
  <c r="J9" i="2"/>
  <c r="K9" i="2"/>
  <c r="I10" i="2"/>
  <c r="J10" i="2"/>
  <c r="K10" i="2"/>
  <c r="I11" i="2"/>
  <c r="J11" i="2"/>
  <c r="K11" i="2"/>
  <c r="I12" i="2"/>
  <c r="J12" i="2"/>
  <c r="K12" i="2"/>
  <c r="I13" i="2"/>
  <c r="J13" i="2"/>
  <c r="K13" i="2"/>
  <c r="I14" i="2"/>
  <c r="J14" i="2"/>
  <c r="K14" i="2"/>
  <c r="I15" i="2"/>
  <c r="J15" i="2"/>
  <c r="K15" i="2"/>
  <c r="I16" i="2"/>
  <c r="J16" i="2"/>
  <c r="K16" i="2"/>
  <c r="I17" i="2"/>
  <c r="J17" i="2"/>
  <c r="K17" i="2"/>
  <c r="I18" i="2"/>
  <c r="J18" i="2"/>
  <c r="K18" i="2"/>
  <c r="I19" i="2"/>
  <c r="J19" i="2"/>
  <c r="K19" i="2"/>
  <c r="I20" i="2"/>
  <c r="J20" i="2"/>
  <c r="K20" i="2"/>
  <c r="I21" i="2"/>
  <c r="J21" i="2"/>
  <c r="K21" i="2"/>
  <c r="I22" i="2"/>
  <c r="J22" i="2"/>
  <c r="K22" i="2"/>
  <c r="I23" i="2"/>
  <c r="J23" i="2"/>
  <c r="K23" i="2"/>
  <c r="I24" i="2"/>
  <c r="J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I29" i="2"/>
  <c r="J29" i="2"/>
  <c r="K29" i="2"/>
  <c r="I30" i="2"/>
  <c r="J30" i="2"/>
  <c r="K30" i="2"/>
  <c r="I31" i="2"/>
  <c r="J31" i="2"/>
  <c r="K31" i="2"/>
  <c r="I32" i="2"/>
  <c r="J32" i="2"/>
  <c r="K32" i="2"/>
  <c r="I33" i="2"/>
  <c r="J33" i="2"/>
  <c r="K33" i="2"/>
  <c r="K1" i="2"/>
  <c r="J1" i="2"/>
  <c r="I1" i="2"/>
  <c r="V1" i="2"/>
  <c r="V2" i="2"/>
  <c r="V3" i="2"/>
  <c r="V4" i="2"/>
  <c r="V5" i="2"/>
  <c r="V6" i="2"/>
  <c r="V7" i="2"/>
  <c r="V8" i="2"/>
  <c r="H7" i="2"/>
  <c r="H6" i="2"/>
  <c r="H5" i="2"/>
  <c r="H4" i="2"/>
  <c r="H3" i="2"/>
  <c r="H2" i="2"/>
  <c r="H1" i="2"/>
  <c r="H68" i="1" l="1"/>
  <c r="H67" i="1"/>
  <c r="H66" i="1"/>
  <c r="H65" i="1"/>
  <c r="H64" i="1"/>
  <c r="H63" i="1"/>
  <c r="H62" i="1"/>
  <c r="H61" i="1"/>
  <c r="H10" i="1"/>
  <c r="H9" i="1"/>
  <c r="H8" i="1"/>
  <c r="H7" i="1"/>
  <c r="H6" i="1"/>
  <c r="H5" i="1"/>
  <c r="H4" i="1"/>
  <c r="AW17" i="1" l="1"/>
  <c r="G70" i="1"/>
  <c r="AW54" i="1" l="1"/>
  <c r="AI55" i="1" l="1"/>
  <c r="AP55" i="1" l="1"/>
  <c r="AB55" i="1"/>
  <c r="H70" i="1"/>
  <c r="AW55" i="1" l="1"/>
  <c r="AW70" i="1" s="1"/>
  <c r="H72" i="1"/>
  <c r="AP17" i="1"/>
  <c r="AP70" i="1" s="1"/>
  <c r="AI17" i="1"/>
  <c r="AI70" i="1" s="1"/>
  <c r="AB17" i="1"/>
  <c r="AB70" i="1" s="1"/>
</calcChain>
</file>

<file path=xl/sharedStrings.xml><?xml version="1.0" encoding="utf-8"?>
<sst xmlns="http://schemas.openxmlformats.org/spreadsheetml/2006/main" count="374" uniqueCount="69">
  <si>
    <t>silkscreen</t>
  </si>
  <si>
    <t>Thickness</t>
  </si>
  <si>
    <t>W/Gap</t>
  </si>
  <si>
    <t>Zimp</t>
  </si>
  <si>
    <t>W/S/Gap</t>
  </si>
  <si>
    <t>Zdiff</t>
  </si>
  <si>
    <t>soldermask</t>
  </si>
  <si>
    <t>copper</t>
  </si>
  <si>
    <t>TOP</t>
  </si>
  <si>
    <t>50</t>
  </si>
  <si>
    <t>100</t>
  </si>
  <si>
    <t>pp</t>
  </si>
  <si>
    <t>core</t>
  </si>
  <si>
    <t>Signal</t>
  </si>
  <si>
    <t>BOTTOM</t>
  </si>
  <si>
    <t>Drill</t>
    <phoneticPr fontId="3" type="noConversion"/>
  </si>
  <si>
    <t>mils</t>
    <phoneticPr fontId="1" type="noConversion"/>
  </si>
  <si>
    <t>Thickness</t>
    <phoneticPr fontId="1" type="noConversion"/>
  </si>
  <si>
    <t>Aspect Ratio</t>
    <phoneticPr fontId="1" type="noConversion"/>
  </si>
  <si>
    <t>ATX Connector PIN</t>
    <phoneticPr fontId="3" type="noConversion"/>
  </si>
  <si>
    <t>drll:102</t>
    <phoneticPr fontId="3" type="noConversion"/>
  </si>
  <si>
    <t>pth:100</t>
    <phoneticPr fontId="3" type="noConversion"/>
  </si>
  <si>
    <t>drll:42</t>
    <phoneticPr fontId="3" type="noConversion"/>
  </si>
  <si>
    <t>pth:40</t>
    <phoneticPr fontId="3" type="noConversion"/>
  </si>
  <si>
    <t>mm</t>
    <phoneticPr fontId="1" type="noConversion"/>
  </si>
  <si>
    <t xml:space="preserve"> </t>
    <phoneticPr fontId="1" type="noConversion"/>
  </si>
  <si>
    <t>TG180 FR4</t>
    <phoneticPr fontId="3" type="noConversion"/>
  </si>
  <si>
    <t>DP</t>
    <phoneticPr fontId="1" type="noConversion"/>
  </si>
  <si>
    <t>RLY</t>
    <phoneticPr fontId="1" type="noConversion"/>
  </si>
  <si>
    <t>盲撈</t>
    <phoneticPr fontId="1" type="noConversion"/>
  </si>
  <si>
    <t>drll:82</t>
    <phoneticPr fontId="3" type="noConversion"/>
  </si>
  <si>
    <t>pth:80</t>
    <phoneticPr fontId="3" type="noConversion"/>
  </si>
  <si>
    <t>drll:73</t>
    <phoneticPr fontId="3" type="noConversion"/>
  </si>
  <si>
    <t>pth:71</t>
    <phoneticPr fontId="3" type="noConversion"/>
  </si>
  <si>
    <t>All Pin header</t>
    <phoneticPr fontId="3" type="noConversion"/>
  </si>
  <si>
    <t>Dimension:</t>
    <phoneticPr fontId="3" type="noConversion"/>
  </si>
  <si>
    <t>mm</t>
    <phoneticPr fontId="3" type="noConversion"/>
  </si>
  <si>
    <t>mil</t>
    <phoneticPr fontId="3" type="noConversion"/>
  </si>
  <si>
    <t>4.13 / 12.4</t>
    <phoneticPr fontId="12" type="noConversion"/>
  </si>
  <si>
    <t>3.94 / 10.36 / 31.09</t>
    <phoneticPr fontId="12" type="noConversion"/>
  </si>
  <si>
    <t>Power</t>
    <phoneticPr fontId="1" type="noConversion"/>
  </si>
  <si>
    <t>USER_PWER</t>
    <phoneticPr fontId="1" type="noConversion"/>
  </si>
  <si>
    <r>
      <t xml:space="preserve"> BR PHY</t>
    </r>
    <r>
      <rPr>
        <sz val="12"/>
        <rFont val="細明體"/>
        <family val="3"/>
        <charset val="136"/>
      </rPr>
      <t>訊號請走在Top ~ L5</t>
    </r>
    <phoneticPr fontId="1" type="noConversion"/>
  </si>
  <si>
    <r>
      <rPr>
        <sz val="12"/>
        <color theme="1"/>
        <rFont val="新細明體"/>
        <family val="2"/>
      </rPr>
      <t>大孔</t>
    </r>
    <r>
      <rPr>
        <sz val="12"/>
        <color theme="1"/>
        <rFont val="Times New Roman"/>
        <family val="1"/>
      </rPr>
      <t xml:space="preserve">Anti-Pad </t>
    </r>
    <r>
      <rPr>
        <sz val="12"/>
        <color theme="1"/>
        <rFont val="新細明體"/>
        <family val="2"/>
      </rPr>
      <t>至少要開到此層或是全開</t>
    </r>
    <r>
      <rPr>
        <sz val="12"/>
        <color theme="1"/>
        <rFont val="Times New Roman"/>
        <family val="1"/>
      </rPr>
      <t xml:space="preserve">, </t>
    </r>
    <r>
      <rPr>
        <sz val="12"/>
        <color theme="1"/>
        <rFont val="新細明體"/>
        <family val="2"/>
      </rPr>
      <t>以防短路</t>
    </r>
    <phoneticPr fontId="1" type="noConversion"/>
  </si>
  <si>
    <t>Length Tolernce</t>
    <phoneticPr fontId="1" type="noConversion"/>
  </si>
  <si>
    <t>Width Tolerence</t>
    <phoneticPr fontId="1" type="noConversion"/>
  </si>
  <si>
    <t xml:space="preserve">+/- 8 </t>
    <phoneticPr fontId="1" type="noConversion"/>
  </si>
  <si>
    <t>Height</t>
    <phoneticPr fontId="1" type="noConversion"/>
  </si>
  <si>
    <t>Height Tolerence</t>
    <phoneticPr fontId="1" type="noConversion"/>
  </si>
  <si>
    <t>Back Drill</t>
    <phoneticPr fontId="3" type="noConversion"/>
  </si>
  <si>
    <t>mils</t>
    <phoneticPr fontId="3" type="noConversion"/>
  </si>
  <si>
    <t>Stub &lt; 20 mils</t>
    <phoneticPr fontId="3" type="noConversion"/>
  </si>
  <si>
    <t>GIGA</t>
    <phoneticPr fontId="1" type="noConversion"/>
  </si>
  <si>
    <t>GND</t>
  </si>
  <si>
    <t>GND</t>
    <phoneticPr fontId="1" type="noConversion"/>
  </si>
  <si>
    <t>core</t>
    <phoneticPr fontId="1" type="noConversion"/>
  </si>
  <si>
    <t>pp</t>
    <phoneticPr fontId="1" type="noConversion"/>
  </si>
  <si>
    <t>DB T Hole</t>
    <phoneticPr fontId="3" type="noConversion"/>
  </si>
  <si>
    <t>drll:171</t>
    <phoneticPr fontId="3" type="noConversion"/>
  </si>
  <si>
    <t>pth:169</t>
    <phoneticPr fontId="3" type="noConversion"/>
  </si>
  <si>
    <t>drll:227</t>
    <phoneticPr fontId="3" type="noConversion"/>
  </si>
  <si>
    <t>pth:225</t>
    <phoneticPr fontId="3" type="noConversion"/>
  </si>
  <si>
    <t>CU/CONN-F-9-2304372-9-TE-2</t>
    <phoneticPr fontId="1" type="noConversion"/>
  </si>
  <si>
    <t>4.53 / 13.58</t>
    <phoneticPr fontId="3" type="noConversion"/>
  </si>
  <si>
    <t>4.13 / 14.17 / 42.5</t>
    <phoneticPr fontId="3" type="noConversion"/>
  </si>
  <si>
    <t>5.71 / 17.13</t>
    <phoneticPr fontId="12" type="noConversion"/>
  </si>
  <si>
    <t>5.35 / 12.45 / 37.34</t>
    <phoneticPr fontId="12" type="noConversion"/>
  </si>
  <si>
    <t>Megtron6</t>
    <phoneticPr fontId="3" type="noConversion"/>
  </si>
  <si>
    <t>Megtron6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</si>
</sst>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.0000"/>
    <numFmt numFmtId="177" formatCode="0.000"/>
    <numFmt numFmtId="178" formatCode="0.0000_ "/>
    <numFmt numFmtId="179" formatCode="0.000_ "/>
    <numFmt numFmtId="180" formatCode="0.00000"/>
    <numFmt numFmtId="181" formatCode="0.000000_ "/>
  </numFmts>
  <fonts count="16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Times New Roman"/>
      <family val="1"/>
    </font>
    <font>
      <sz val="9"/>
      <name val="新細明體"/>
      <family val="1"/>
      <charset val="136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70C0"/>
      <name val="Times New Roman"/>
      <family val="1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2"/>
      <scheme val="minor"/>
    </font>
    <font>
      <sz val="12"/>
      <color rgb="FFFF0000"/>
      <name val="Times New Roman"/>
      <family val="1"/>
    </font>
    <font>
      <sz val="12"/>
      <color theme="1"/>
      <name val="新細明體"/>
      <family val="2"/>
    </font>
  </fonts>
  <fills count="21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13"/>
        <bgColor indexed="34"/>
      </patternFill>
    </fill>
    <fill>
      <patternFill patternType="solid">
        <fgColor indexed="57"/>
        <bgColor indexed="21"/>
      </patternFill>
    </fill>
    <fill>
      <patternFill patternType="solid">
        <fgColor indexed="48"/>
        <bgColor indexed="3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21"/>
      </patternFill>
    </fill>
    <fill>
      <patternFill patternType="solid">
        <fgColor indexed="4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  <bgColor indexed="22"/>
      </patternFill>
    </fill>
  </fills>
  <borders count="2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0" fillId="0" borderId="0"/>
    <xf numFmtId="0" fontId="11" fillId="0" borderId="0">
      <alignment vertical="center"/>
    </xf>
  </cellStyleXfs>
  <cellXfs count="194">
    <xf numFmtId="0" fontId="0" fillId="0" borderId="0" xfId="0"/>
    <xf numFmtId="0" fontId="2" fillId="0" borderId="0" xfId="0" applyFont="1"/>
    <xf numFmtId="0" fontId="2" fillId="0" borderId="0" xfId="0" applyFont="1" applyAlignment="1"/>
    <xf numFmtId="0" fontId="4" fillId="3" borderId="0" xfId="0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0" borderId="9" xfId="0" applyFont="1" applyBorder="1"/>
    <xf numFmtId="0" fontId="2" fillId="0" borderId="0" xfId="0" applyFont="1" applyFill="1" applyAlignment="1">
      <alignment horizontal="center"/>
    </xf>
    <xf numFmtId="0" fontId="2" fillId="0" borderId="10" xfId="0" applyFont="1" applyBorder="1"/>
    <xf numFmtId="0" fontId="2" fillId="6" borderId="11" xfId="0" applyFont="1" applyFill="1" applyBorder="1"/>
    <xf numFmtId="0" fontId="2" fillId="6" borderId="10" xfId="0" applyFont="1" applyFill="1" applyBorder="1"/>
    <xf numFmtId="0" fontId="2" fillId="6" borderId="12" xfId="0" applyFont="1" applyFill="1" applyBorder="1"/>
    <xf numFmtId="0" fontId="2" fillId="6" borderId="13" xfId="0" applyFont="1" applyFill="1" applyBorder="1"/>
    <xf numFmtId="0" fontId="2" fillId="6" borderId="0" xfId="0" applyFont="1" applyFill="1" applyBorder="1"/>
    <xf numFmtId="0" fontId="2" fillId="6" borderId="14" xfId="0" applyFont="1" applyFill="1" applyBorder="1"/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5" borderId="4" xfId="0" applyFont="1" applyFill="1" applyBorder="1"/>
    <xf numFmtId="0" fontId="2" fillId="5" borderId="5" xfId="0" applyFont="1" applyFill="1" applyBorder="1"/>
    <xf numFmtId="0" fontId="2" fillId="0" borderId="0" xfId="0" applyFont="1" applyFill="1"/>
    <xf numFmtId="49" fontId="2" fillId="0" borderId="0" xfId="0" applyNumberFormat="1" applyFont="1" applyFill="1" applyBorder="1"/>
    <xf numFmtId="0" fontId="2" fillId="6" borderId="15" xfId="0" applyFont="1" applyFill="1" applyBorder="1"/>
    <xf numFmtId="0" fontId="2" fillId="6" borderId="16" xfId="0" applyFont="1" applyFill="1" applyBorder="1"/>
    <xf numFmtId="0" fontId="2" fillId="6" borderId="17" xfId="0" applyFont="1" applyFill="1" applyBorder="1" applyAlignment="1">
      <alignment vertical="center"/>
    </xf>
    <xf numFmtId="0" fontId="2" fillId="0" borderId="0" xfId="0" applyFont="1" applyBorder="1"/>
    <xf numFmtId="0" fontId="2" fillId="6" borderId="17" xfId="0" applyFont="1" applyFill="1" applyBorder="1"/>
    <xf numFmtId="0" fontId="2" fillId="6" borderId="19" xfId="0" applyFont="1" applyFill="1" applyBorder="1"/>
    <xf numFmtId="0" fontId="2" fillId="6" borderId="9" xfId="0" applyFont="1" applyFill="1" applyBorder="1"/>
    <xf numFmtId="0" fontId="2" fillId="6" borderId="20" xfId="0" applyFont="1" applyFill="1" applyBorder="1"/>
    <xf numFmtId="0" fontId="2" fillId="2" borderId="6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/>
    <xf numFmtId="49" fontId="2" fillId="0" borderId="18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49" fontId="2" fillId="0" borderId="18" xfId="0" applyNumberFormat="1" applyFont="1" applyFill="1" applyBorder="1" applyAlignment="1">
      <alignment horizontal="left"/>
    </xf>
    <xf numFmtId="0" fontId="2" fillId="9" borderId="0" xfId="0" applyFont="1" applyFill="1" applyBorder="1" applyAlignment="1">
      <alignment horizontal="center"/>
    </xf>
    <xf numFmtId="0" fontId="2" fillId="10" borderId="0" xfId="0" applyFont="1" applyFill="1" applyBorder="1" applyAlignment="1">
      <alignment horizontal="center"/>
    </xf>
    <xf numFmtId="176" fontId="2" fillId="0" borderId="0" xfId="0" applyNumberFormat="1" applyFont="1" applyAlignment="1">
      <alignment horizontal="left"/>
    </xf>
    <xf numFmtId="177" fontId="2" fillId="0" borderId="0" xfId="0" applyNumberFormat="1" applyFont="1" applyAlignment="1">
      <alignment horizontal="left"/>
    </xf>
    <xf numFmtId="0" fontId="2" fillId="8" borderId="0" xfId="0" applyFont="1" applyFill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center"/>
    </xf>
    <xf numFmtId="0" fontId="2" fillId="12" borderId="9" xfId="0" applyFont="1" applyFill="1" applyBorder="1"/>
    <xf numFmtId="178" fontId="7" fillId="0" borderId="0" xfId="0" applyNumberFormat="1" applyFont="1" applyAlignment="1">
      <alignment horizontal="left"/>
    </xf>
    <xf numFmtId="0" fontId="2" fillId="6" borderId="19" xfId="0" applyFont="1" applyFill="1" applyBorder="1" applyAlignment="1">
      <alignment vertical="center"/>
    </xf>
    <xf numFmtId="0" fontId="2" fillId="6" borderId="20" xfId="0" applyFont="1" applyFill="1" applyBorder="1" applyAlignment="1">
      <alignment vertic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9" xfId="0" applyFont="1" applyBorder="1" applyAlignment="1">
      <alignment horizontal="left"/>
    </xf>
    <xf numFmtId="179" fontId="5" fillId="0" borderId="0" xfId="0" applyNumberFormat="1" applyFont="1" applyAlignment="1">
      <alignment horizontal="left"/>
    </xf>
    <xf numFmtId="0" fontId="4" fillId="6" borderId="13" xfId="0" applyFont="1" applyFill="1" applyBorder="1" applyAlignment="1">
      <alignment horizontal="left"/>
    </xf>
    <xf numFmtId="0" fontId="4" fillId="6" borderId="0" xfId="0" applyFont="1" applyFill="1" applyAlignment="1">
      <alignment horizontal="left"/>
    </xf>
    <xf numFmtId="0" fontId="4" fillId="6" borderId="14" xfId="0" applyFont="1" applyFill="1" applyBorder="1" applyAlignment="1">
      <alignment horizontal="left"/>
    </xf>
    <xf numFmtId="0" fontId="4" fillId="6" borderId="15" xfId="0" applyFont="1" applyFill="1" applyBorder="1" applyAlignment="1">
      <alignment horizontal="left"/>
    </xf>
    <xf numFmtId="0" fontId="4" fillId="6" borderId="16" xfId="0" applyFont="1" applyFill="1" applyBorder="1" applyAlignment="1">
      <alignment horizontal="left"/>
    </xf>
    <xf numFmtId="0" fontId="2" fillId="0" borderId="18" xfId="0" applyFont="1" applyBorder="1" applyAlignment="1">
      <alignment horizontal="left" wrapText="1"/>
    </xf>
    <xf numFmtId="49" fontId="4" fillId="0" borderId="18" xfId="0" applyNumberFormat="1" applyFont="1" applyBorder="1" applyAlignment="1">
      <alignment horizontal="left"/>
    </xf>
    <xf numFmtId="177" fontId="2" fillId="0" borderId="18" xfId="0" applyNumberFormat="1" applyFont="1" applyBorder="1" applyAlignment="1">
      <alignment horizontal="left"/>
    </xf>
    <xf numFmtId="0" fontId="4" fillId="5" borderId="13" xfId="0" applyFont="1" applyFill="1" applyBorder="1"/>
    <xf numFmtId="49" fontId="2" fillId="11" borderId="18" xfId="1" applyNumberFormat="1" applyFont="1" applyFill="1" applyBorder="1"/>
    <xf numFmtId="49" fontId="2" fillId="7" borderId="18" xfId="1" applyNumberFormat="1" applyFont="1" applyFill="1" applyBorder="1"/>
    <xf numFmtId="49" fontId="4" fillId="11" borderId="18" xfId="0" applyNumberFormat="1" applyFont="1" applyFill="1" applyBorder="1"/>
    <xf numFmtId="49" fontId="4" fillId="7" borderId="18" xfId="0" applyNumberFormat="1" applyFont="1" applyFill="1" applyBorder="1"/>
    <xf numFmtId="180" fontId="2" fillId="0" borderId="21" xfId="0" applyNumberFormat="1" applyFont="1" applyBorder="1" applyAlignment="1">
      <alignment horizontal="left"/>
    </xf>
    <xf numFmtId="176" fontId="2" fillId="0" borderId="21" xfId="0" applyNumberFormat="1" applyFont="1" applyBorder="1" applyAlignment="1">
      <alignment horizontal="left"/>
    </xf>
    <xf numFmtId="176" fontId="2" fillId="0" borderId="21" xfId="0" applyNumberFormat="1" applyFont="1" applyBorder="1" applyAlignment="1">
      <alignment horizontal="left" wrapText="1"/>
    </xf>
    <xf numFmtId="0" fontId="4" fillId="5" borderId="14" xfId="0" applyFont="1" applyFill="1" applyBorder="1"/>
    <xf numFmtId="0" fontId="2" fillId="4" borderId="13" xfId="0" applyFont="1" applyFill="1" applyBorder="1"/>
    <xf numFmtId="0" fontId="2" fillId="4" borderId="22" xfId="0" applyFont="1" applyFill="1" applyBorder="1"/>
    <xf numFmtId="0" fontId="2" fillId="4" borderId="14" xfId="0" applyFont="1" applyFill="1" applyBorder="1" applyAlignment="1">
      <alignment horizontal="right"/>
    </xf>
    <xf numFmtId="0" fontId="2" fillId="3" borderId="13" xfId="0" applyFont="1" applyFill="1" applyBorder="1" applyAlignment="1">
      <alignment horizontal="center"/>
    </xf>
    <xf numFmtId="0" fontId="2" fillId="5" borderId="13" xfId="0" applyFont="1" applyFill="1" applyBorder="1"/>
    <xf numFmtId="0" fontId="2" fillId="5" borderId="14" xfId="0" applyFont="1" applyFill="1" applyBorder="1"/>
    <xf numFmtId="0" fontId="2" fillId="3" borderId="14" xfId="0" applyFont="1" applyFill="1" applyBorder="1" applyAlignment="1">
      <alignment horizontal="center"/>
    </xf>
    <xf numFmtId="0" fontId="2" fillId="4" borderId="14" xfId="0" applyFont="1" applyFill="1" applyBorder="1"/>
    <xf numFmtId="176" fontId="2" fillId="0" borderId="0" xfId="0" applyNumberFormat="1" applyFont="1" applyAlignment="1">
      <alignment horizontal="left" wrapText="1"/>
    </xf>
    <xf numFmtId="0" fontId="4" fillId="3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5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right"/>
    </xf>
    <xf numFmtId="0" fontId="2" fillId="4" borderId="0" xfId="0" applyFont="1" applyFill="1" applyBorder="1"/>
    <xf numFmtId="176" fontId="2" fillId="0" borderId="18" xfId="0" applyNumberFormat="1" applyFont="1" applyBorder="1" applyAlignment="1">
      <alignment horizontal="left"/>
    </xf>
    <xf numFmtId="0" fontId="2" fillId="10" borderId="0" xfId="0" applyFont="1" applyFill="1" applyAlignment="1">
      <alignment horizontal="center"/>
    </xf>
    <xf numFmtId="0" fontId="4" fillId="0" borderId="0" xfId="0" applyFont="1" applyAlignment="1">
      <alignment horizontal="left" vertical="center"/>
    </xf>
    <xf numFmtId="0" fontId="13" fillId="0" borderId="0" xfId="0" applyFont="1"/>
    <xf numFmtId="0" fontId="7" fillId="0" borderId="0" xfId="0" applyFont="1" applyAlignment="1">
      <alignment horizontal="center"/>
    </xf>
    <xf numFmtId="0" fontId="2" fillId="13" borderId="11" xfId="0" applyFont="1" applyFill="1" applyBorder="1"/>
    <xf numFmtId="0" fontId="2" fillId="13" borderId="10" xfId="0" applyFont="1" applyFill="1" applyBorder="1" applyAlignment="1">
      <alignment horizontal="center"/>
    </xf>
    <xf numFmtId="0" fontId="2" fillId="13" borderId="12" xfId="0" applyFont="1" applyFill="1" applyBorder="1"/>
    <xf numFmtId="0" fontId="4" fillId="2" borderId="13" xfId="0" applyFont="1" applyFill="1" applyBorder="1"/>
    <xf numFmtId="0" fontId="4" fillId="2" borderId="14" xfId="0" applyFont="1" applyFill="1" applyBorder="1"/>
    <xf numFmtId="0" fontId="4" fillId="4" borderId="13" xfId="0" applyFont="1" applyFill="1" applyBorder="1"/>
    <xf numFmtId="0" fontId="4" fillId="4" borderId="14" xfId="0" applyFont="1" applyFill="1" applyBorder="1" applyAlignment="1">
      <alignment horizontal="right"/>
    </xf>
    <xf numFmtId="0" fontId="4" fillId="3" borderId="13" xfId="0" applyFont="1" applyFill="1" applyBorder="1"/>
    <xf numFmtId="0" fontId="4" fillId="3" borderId="14" xfId="0" applyFont="1" applyFill="1" applyBorder="1"/>
    <xf numFmtId="0" fontId="4" fillId="4" borderId="14" xfId="0" applyFont="1" applyFill="1" applyBorder="1"/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7" fillId="0" borderId="0" xfId="0" applyFont="1" applyAlignment="1">
      <alignment horizontal="left"/>
    </xf>
    <xf numFmtId="178" fontId="5" fillId="0" borderId="0" xfId="0" applyNumberFormat="1" applyFont="1" applyAlignment="1">
      <alignment horizontal="left"/>
    </xf>
    <xf numFmtId="179" fontId="2" fillId="0" borderId="0" xfId="0" applyNumberFormat="1" applyFont="1" applyAlignment="1">
      <alignment horizontal="left"/>
    </xf>
    <xf numFmtId="0" fontId="6" fillId="12" borderId="0" xfId="0" applyFont="1" applyFill="1"/>
    <xf numFmtId="0" fontId="2" fillId="6" borderId="18" xfId="0" applyFont="1" applyFill="1" applyBorder="1"/>
    <xf numFmtId="0" fontId="2" fillId="12" borderId="0" xfId="0" applyFont="1" applyFill="1"/>
    <xf numFmtId="0" fontId="4" fillId="0" borderId="23" xfId="0" applyFont="1" applyBorder="1"/>
    <xf numFmtId="0" fontId="4" fillId="0" borderId="15" xfId="0" applyFont="1" applyBorder="1"/>
    <xf numFmtId="0" fontId="5" fillId="0" borderId="0" xfId="0" applyFont="1"/>
    <xf numFmtId="0" fontId="14" fillId="0" borderId="0" xfId="0" applyFont="1" applyAlignment="1">
      <alignment horizontal="left"/>
    </xf>
    <xf numFmtId="0" fontId="14" fillId="0" borderId="0" xfId="0" applyFont="1"/>
    <xf numFmtId="0" fontId="2" fillId="14" borderId="13" xfId="0" applyFont="1" applyFill="1" applyBorder="1"/>
    <xf numFmtId="0" fontId="2" fillId="14" borderId="14" xfId="0" applyFont="1" applyFill="1" applyBorder="1"/>
    <xf numFmtId="0" fontId="2" fillId="15" borderId="13" xfId="0" applyFont="1" applyFill="1" applyBorder="1" applyAlignment="1">
      <alignment vertical="center"/>
    </xf>
    <xf numFmtId="0" fontId="2" fillId="6" borderId="13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7" fillId="15" borderId="13" xfId="0" applyFont="1" applyFill="1" applyBorder="1" applyAlignment="1">
      <alignment vertical="center"/>
    </xf>
    <xf numFmtId="0" fontId="7" fillId="15" borderId="14" xfId="0" applyFont="1" applyFill="1" applyBorder="1" applyAlignment="1">
      <alignment vertical="center"/>
    </xf>
    <xf numFmtId="0" fontId="2" fillId="15" borderId="14" xfId="0" applyFont="1" applyFill="1" applyBorder="1" applyAlignment="1">
      <alignment vertical="center"/>
    </xf>
    <xf numFmtId="177" fontId="5" fillId="0" borderId="0" xfId="0" applyNumberFormat="1" applyFont="1" applyAlignment="1">
      <alignment horizontal="left"/>
    </xf>
    <xf numFmtId="0" fontId="2" fillId="16" borderId="13" xfId="0" applyFont="1" applyFill="1" applyBorder="1" applyAlignment="1">
      <alignment horizontal="center" vertical="center"/>
    </xf>
    <xf numFmtId="0" fontId="2" fillId="16" borderId="14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left"/>
    </xf>
    <xf numFmtId="0" fontId="2" fillId="15" borderId="0" xfId="0" applyFont="1" applyFill="1" applyAlignment="1">
      <alignment vertical="center"/>
    </xf>
    <xf numFmtId="0" fontId="2" fillId="16" borderId="13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3" borderId="13" xfId="0" applyFont="1" applyFill="1" applyBorder="1"/>
    <xf numFmtId="0" fontId="2" fillId="13" borderId="14" xfId="0" applyFont="1" applyFill="1" applyBorder="1"/>
    <xf numFmtId="0" fontId="2" fillId="13" borderId="15" xfId="0" applyFont="1" applyFill="1" applyBorder="1"/>
    <xf numFmtId="0" fontId="2" fillId="13" borderId="16" xfId="0" applyFont="1" applyFill="1" applyBorder="1"/>
    <xf numFmtId="0" fontId="4" fillId="0" borderId="15" xfId="0" applyFont="1" applyBorder="1" applyAlignment="1">
      <alignment horizontal="left"/>
    </xf>
    <xf numFmtId="0" fontId="4" fillId="13" borderId="11" xfId="0" applyFont="1" applyFill="1" applyBorder="1"/>
    <xf numFmtId="0" fontId="4" fillId="13" borderId="10" xfId="0" applyFont="1" applyFill="1" applyBorder="1" applyAlignment="1">
      <alignment horizontal="center"/>
    </xf>
    <xf numFmtId="0" fontId="4" fillId="13" borderId="13" xfId="0" applyFont="1" applyFill="1" applyBorder="1"/>
    <xf numFmtId="0" fontId="2" fillId="16" borderId="0" xfId="0" applyFont="1" applyFill="1" applyAlignment="1">
      <alignment horizontal="center"/>
    </xf>
    <xf numFmtId="0" fontId="4" fillId="13" borderId="14" xfId="0" applyFont="1" applyFill="1" applyBorder="1"/>
    <xf numFmtId="0" fontId="2" fillId="17" borderId="13" xfId="0" applyFont="1" applyFill="1" applyBorder="1" applyAlignment="1">
      <alignment vertical="center"/>
    </xf>
    <xf numFmtId="0" fontId="2" fillId="17" borderId="0" xfId="0" applyFont="1" applyFill="1" applyAlignment="1">
      <alignment horizontal="center" vertical="center"/>
    </xf>
    <xf numFmtId="0" fontId="2" fillId="17" borderId="14" xfId="0" applyFont="1" applyFill="1" applyBorder="1" applyAlignment="1">
      <alignment horizontal="right" vertical="center"/>
    </xf>
    <xf numFmtId="0" fontId="4" fillId="16" borderId="13" xfId="0" applyFont="1" applyFill="1" applyBorder="1" applyAlignment="1">
      <alignment horizontal="center"/>
    </xf>
    <xf numFmtId="0" fontId="4" fillId="16" borderId="0" xfId="0" applyFont="1" applyFill="1" applyAlignment="1">
      <alignment horizontal="center"/>
    </xf>
    <xf numFmtId="0" fontId="4" fillId="16" borderId="13" xfId="0" applyFont="1" applyFill="1" applyBorder="1"/>
    <xf numFmtId="0" fontId="4" fillId="16" borderId="14" xfId="0" applyFont="1" applyFill="1" applyBorder="1"/>
    <xf numFmtId="0" fontId="4" fillId="17" borderId="13" xfId="2" applyFont="1" applyFill="1" applyBorder="1" applyAlignment="1"/>
    <xf numFmtId="0" fontId="4" fillId="13" borderId="15" xfId="0" applyFont="1" applyFill="1" applyBorder="1"/>
    <xf numFmtId="0" fontId="4" fillId="13" borderId="9" xfId="0" applyFont="1" applyFill="1" applyBorder="1" applyAlignment="1">
      <alignment horizontal="center"/>
    </xf>
    <xf numFmtId="0" fontId="4" fillId="13" borderId="16" xfId="0" applyFont="1" applyFill="1" applyBorder="1"/>
    <xf numFmtId="0" fontId="4" fillId="0" borderId="0" xfId="0" quotePrefix="1" applyFont="1" applyAlignment="1">
      <alignment horizontal="left"/>
    </xf>
    <xf numFmtId="0" fontId="2" fillId="2" borderId="24" xfId="0" applyFont="1" applyFill="1" applyBorder="1"/>
    <xf numFmtId="0" fontId="4" fillId="18" borderId="0" xfId="0" applyFont="1" applyFill="1"/>
    <xf numFmtId="0" fontId="2" fillId="2" borderId="21" xfId="0" applyFont="1" applyFill="1" applyBorder="1"/>
    <xf numFmtId="0" fontId="4" fillId="6" borderId="25" xfId="0" applyFont="1" applyFill="1" applyBorder="1"/>
    <xf numFmtId="0" fontId="4" fillId="13" borderId="0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19" borderId="13" xfId="0" applyFont="1" applyFill="1" applyBorder="1"/>
    <xf numFmtId="0" fontId="4" fillId="20" borderId="0" xfId="0" applyFont="1" applyFill="1" applyAlignment="1">
      <alignment horizontal="center"/>
    </xf>
    <xf numFmtId="0" fontId="4" fillId="19" borderId="14" xfId="0" applyFont="1" applyFill="1" applyBorder="1"/>
    <xf numFmtId="0" fontId="4" fillId="17" borderId="13" xfId="0" applyFont="1" applyFill="1" applyBorder="1"/>
    <xf numFmtId="0" fontId="4" fillId="17" borderId="14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4" fillId="13" borderId="10" xfId="0" applyFont="1" applyFill="1" applyBorder="1"/>
    <xf numFmtId="0" fontId="4" fillId="13" borderId="0" xfId="0" applyFont="1" applyFill="1" applyBorder="1"/>
    <xf numFmtId="0" fontId="2" fillId="17" borderId="0" xfId="0" applyFont="1" applyFill="1" applyBorder="1" applyAlignment="1">
      <alignment horizontal="right" vertical="center"/>
    </xf>
    <xf numFmtId="180" fontId="4" fillId="0" borderId="18" xfId="0" applyNumberFormat="1" applyFont="1" applyBorder="1" applyAlignment="1">
      <alignment horizontal="left" vertical="center"/>
    </xf>
    <xf numFmtId="176" fontId="2" fillId="0" borderId="18" xfId="0" applyNumberFormat="1" applyFont="1" applyBorder="1" applyAlignment="1">
      <alignment horizontal="left" wrapText="1"/>
    </xf>
    <xf numFmtId="49" fontId="2" fillId="0" borderId="18" xfId="1" applyNumberFormat="1" applyFont="1" applyFill="1" applyBorder="1"/>
    <xf numFmtId="0" fontId="2" fillId="4" borderId="15" xfId="0" applyFont="1" applyFill="1" applyBorder="1"/>
    <xf numFmtId="0" fontId="2" fillId="4" borderId="16" xfId="0" applyFont="1" applyFill="1" applyBorder="1"/>
    <xf numFmtId="0" fontId="2" fillId="17" borderId="22" xfId="0" applyFont="1" applyFill="1" applyBorder="1" applyAlignment="1">
      <alignment horizontal="right" vertical="center"/>
    </xf>
    <xf numFmtId="0" fontId="4" fillId="17" borderId="22" xfId="0" applyFont="1" applyFill="1" applyBorder="1"/>
    <xf numFmtId="0" fontId="4" fillId="16" borderId="0" xfId="0" applyFont="1" applyFill="1" applyBorder="1" applyAlignment="1">
      <alignment horizontal="center"/>
    </xf>
    <xf numFmtId="0" fontId="4" fillId="19" borderId="0" xfId="0" applyFont="1" applyFill="1" applyBorder="1"/>
    <xf numFmtId="0" fontId="4" fillId="17" borderId="0" xfId="0" applyFont="1" applyFill="1" applyBorder="1"/>
    <xf numFmtId="180" fontId="2" fillId="0" borderId="18" xfId="0" applyNumberFormat="1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81" fontId="2" fillId="0" borderId="0" xfId="0" applyNumberFormat="1" applyFont="1" applyAlignment="1">
      <alignment horizontal="left"/>
    </xf>
    <xf numFmtId="176" fontId="2" fillId="0" borderId="0" xfId="0" applyNumberFormat="1" applyFont="1" applyBorder="1" applyAlignment="1">
      <alignment horizontal="left"/>
    </xf>
    <xf numFmtId="0" fontId="4" fillId="13" borderId="22" xfId="0" applyFont="1" applyFill="1" applyBorder="1"/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3">
    <cellStyle name="一般" xfId="0" builtinId="0"/>
    <cellStyle name="一般 2" xfId="2"/>
    <cellStyle name="一般 3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219364</xdr:colOff>
      <xdr:row>2</xdr:row>
      <xdr:rowOff>195943</xdr:rowOff>
    </xdr:from>
    <xdr:to>
      <xdr:col>40</xdr:col>
      <xdr:colOff>250373</xdr:colOff>
      <xdr:row>36</xdr:row>
      <xdr:rowOff>150091</xdr:rowOff>
    </xdr:to>
    <xdr:cxnSp macro="">
      <xdr:nvCxnSpPr>
        <xdr:cNvPr id="8" name="直線單箭頭接點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 flipH="1">
          <a:off x="24269989" y="615043"/>
          <a:ext cx="31009" cy="7126473"/>
        </a:xfrm>
        <a:prstGeom prst="straightConnector1">
          <a:avLst/>
        </a:prstGeom>
        <a:ln w="3810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217715</xdr:colOff>
      <xdr:row>37</xdr:row>
      <xdr:rowOff>69272</xdr:rowOff>
    </xdr:from>
    <xdr:to>
      <xdr:col>40</xdr:col>
      <xdr:colOff>242455</xdr:colOff>
      <xdr:row>67</xdr:row>
      <xdr:rowOff>163286</xdr:rowOff>
    </xdr:to>
    <xdr:cxnSp macro="">
      <xdr:nvCxnSpPr>
        <xdr:cNvPr id="9" name="直線單箭頭接點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24268340" y="7879772"/>
          <a:ext cx="24740" cy="6399564"/>
        </a:xfrm>
        <a:prstGeom prst="straightConnector1">
          <a:avLst/>
        </a:prstGeom>
        <a:ln w="3810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193692</xdr:colOff>
      <xdr:row>3</xdr:row>
      <xdr:rowOff>57455</xdr:rowOff>
    </xdr:from>
    <xdr:to>
      <xdr:col>26</xdr:col>
      <xdr:colOff>219364</xdr:colOff>
      <xdr:row>36</xdr:row>
      <xdr:rowOff>184727</xdr:rowOff>
    </xdr:to>
    <xdr:cxnSp macro="">
      <xdr:nvCxnSpPr>
        <xdr:cNvPr id="10" name="直線單箭頭接點 9">
          <a:extLst>
            <a:ext uri="{FF2B5EF4-FFF2-40B4-BE49-F238E27FC236}">
              <a16:creationId xmlns:a16="http://schemas.microsoft.com/office/drawing/2014/main" id="{47F4DAD7-CA61-4067-965D-D0A52BCCF9F8}"/>
            </a:ext>
          </a:extLst>
        </xdr:cNvPr>
        <xdr:cNvCxnSpPr/>
      </xdr:nvCxnSpPr>
      <xdr:spPr>
        <a:xfrm>
          <a:off x="17033892" y="695630"/>
          <a:ext cx="25672" cy="7080522"/>
        </a:xfrm>
        <a:prstGeom prst="straightConnector1">
          <a:avLst/>
        </a:prstGeom>
        <a:ln w="3810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221673</xdr:colOff>
      <xdr:row>37</xdr:row>
      <xdr:rowOff>34636</xdr:rowOff>
    </xdr:from>
    <xdr:to>
      <xdr:col>26</xdr:col>
      <xdr:colOff>242455</xdr:colOff>
      <xdr:row>67</xdr:row>
      <xdr:rowOff>193964</xdr:rowOff>
    </xdr:to>
    <xdr:cxnSp macro="">
      <xdr:nvCxnSpPr>
        <xdr:cNvPr id="11" name="直線單箭頭接點 10">
          <a:extLst>
            <a:ext uri="{FF2B5EF4-FFF2-40B4-BE49-F238E27FC236}">
              <a16:creationId xmlns:a16="http://schemas.microsoft.com/office/drawing/2014/main" id="{4923F46D-1C30-40D9-B0B7-BACDEF562EDE}"/>
            </a:ext>
          </a:extLst>
        </xdr:cNvPr>
        <xdr:cNvCxnSpPr/>
      </xdr:nvCxnSpPr>
      <xdr:spPr>
        <a:xfrm flipH="1">
          <a:off x="17061873" y="7845136"/>
          <a:ext cx="20782" cy="6464878"/>
        </a:xfrm>
        <a:prstGeom prst="straightConnector1">
          <a:avLst/>
        </a:prstGeom>
        <a:ln w="3810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193692</xdr:colOff>
      <xdr:row>3</xdr:row>
      <xdr:rowOff>57455</xdr:rowOff>
    </xdr:from>
    <xdr:to>
      <xdr:col>33</xdr:col>
      <xdr:colOff>196273</xdr:colOff>
      <xdr:row>38</xdr:row>
      <xdr:rowOff>0</xdr:rowOff>
    </xdr:to>
    <xdr:cxnSp macro="">
      <xdr:nvCxnSpPr>
        <xdr:cNvPr id="12" name="直線單箭頭接點 11">
          <a:extLst>
            <a:ext uri="{FF2B5EF4-FFF2-40B4-BE49-F238E27FC236}">
              <a16:creationId xmlns:a16="http://schemas.microsoft.com/office/drawing/2014/main" id="{0D54A989-ECCF-4BFF-8976-0D196BD65FBD}"/>
            </a:ext>
          </a:extLst>
        </xdr:cNvPr>
        <xdr:cNvCxnSpPr/>
      </xdr:nvCxnSpPr>
      <xdr:spPr>
        <a:xfrm>
          <a:off x="20500992" y="695630"/>
          <a:ext cx="2581" cy="7324420"/>
        </a:xfrm>
        <a:prstGeom prst="straightConnector1">
          <a:avLst/>
        </a:prstGeom>
        <a:ln w="3810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207818</xdr:colOff>
      <xdr:row>38</xdr:row>
      <xdr:rowOff>23091</xdr:rowOff>
    </xdr:from>
    <xdr:to>
      <xdr:col>33</xdr:col>
      <xdr:colOff>221673</xdr:colOff>
      <xdr:row>67</xdr:row>
      <xdr:rowOff>193964</xdr:rowOff>
    </xdr:to>
    <xdr:cxnSp macro="">
      <xdr:nvCxnSpPr>
        <xdr:cNvPr id="13" name="直線單箭頭接點 12">
          <a:extLst>
            <a:ext uri="{FF2B5EF4-FFF2-40B4-BE49-F238E27FC236}">
              <a16:creationId xmlns:a16="http://schemas.microsoft.com/office/drawing/2014/main" id="{FD978725-E74F-4618-9CE9-2D2B649A36CF}"/>
            </a:ext>
          </a:extLst>
        </xdr:cNvPr>
        <xdr:cNvCxnSpPr/>
      </xdr:nvCxnSpPr>
      <xdr:spPr>
        <a:xfrm>
          <a:off x="20515118" y="8043141"/>
          <a:ext cx="13855" cy="6266873"/>
        </a:xfrm>
        <a:prstGeom prst="straightConnector1">
          <a:avLst/>
        </a:prstGeom>
        <a:ln w="3810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263486</xdr:colOff>
      <xdr:row>18</xdr:row>
      <xdr:rowOff>204107</xdr:rowOff>
    </xdr:from>
    <xdr:to>
      <xdr:col>47</xdr:col>
      <xdr:colOff>353787</xdr:colOff>
      <xdr:row>67</xdr:row>
      <xdr:rowOff>166254</xdr:rowOff>
    </xdr:to>
    <xdr:cxnSp macro="">
      <xdr:nvCxnSpPr>
        <xdr:cNvPr id="14" name="直線單箭頭接點 13">
          <a:extLst>
            <a:ext uri="{FF2B5EF4-FFF2-40B4-BE49-F238E27FC236}">
              <a16:creationId xmlns:a16="http://schemas.microsoft.com/office/drawing/2014/main" id="{C6264E1C-33C2-40FD-AA19-8A2ACFB8DA9C}"/>
            </a:ext>
          </a:extLst>
        </xdr:cNvPr>
        <xdr:cNvCxnSpPr/>
      </xdr:nvCxnSpPr>
      <xdr:spPr>
        <a:xfrm flipH="1">
          <a:off x="27695486" y="4014107"/>
          <a:ext cx="90301" cy="10268197"/>
        </a:xfrm>
        <a:prstGeom prst="straightConnector1">
          <a:avLst/>
        </a:prstGeom>
        <a:ln w="3810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353786</xdr:colOff>
      <xdr:row>2</xdr:row>
      <xdr:rowOff>213567</xdr:rowOff>
    </xdr:from>
    <xdr:to>
      <xdr:col>47</xdr:col>
      <xdr:colOff>359798</xdr:colOff>
      <xdr:row>18</xdr:row>
      <xdr:rowOff>204107</xdr:rowOff>
    </xdr:to>
    <xdr:cxnSp macro="">
      <xdr:nvCxnSpPr>
        <xdr:cNvPr id="17" name="直線單箭頭接點 16">
          <a:extLst>
            <a:ext uri="{FF2B5EF4-FFF2-40B4-BE49-F238E27FC236}">
              <a16:creationId xmlns:a16="http://schemas.microsoft.com/office/drawing/2014/main" id="{7C878EA8-6584-4D47-A733-4501A058447C}"/>
            </a:ext>
          </a:extLst>
        </xdr:cNvPr>
        <xdr:cNvCxnSpPr/>
      </xdr:nvCxnSpPr>
      <xdr:spPr>
        <a:xfrm flipH="1">
          <a:off x="27785786" y="632667"/>
          <a:ext cx="6012" cy="3381440"/>
        </a:xfrm>
        <a:prstGeom prst="straightConnector1">
          <a:avLst/>
        </a:prstGeom>
        <a:ln w="38100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34"/>
  <sheetViews>
    <sheetView tabSelected="1" zoomScale="85" zoomScaleNormal="85" workbookViewId="0">
      <selection activeCell="P22" sqref="P22"/>
    </sheetView>
  </sheetViews>
  <sheetFormatPr defaultRowHeight="16.5" x14ac:dyDescent="0.25"/>
  <cols>
    <col min="1" max="1" width="12" style="1" bestFit="1" customWidth="1"/>
    <col min="2" max="2" width="11.125" style="1" bestFit="1" customWidth="1"/>
    <col min="3" max="3" width="13.875" style="48" bestFit="1" customWidth="1"/>
    <col min="4" max="4" width="11.375" style="1" customWidth="1"/>
    <col min="5" max="5" width="12.125" style="1" bestFit="1" customWidth="1"/>
    <col min="6" max="6" width="12.625" style="1" customWidth="1"/>
    <col min="7" max="7" width="12.625" style="5" hidden="1" customWidth="1"/>
    <col min="8" max="8" width="12.625" style="5" bestFit="1" customWidth="1"/>
    <col min="9" max="9" width="12.875" style="5" bestFit="1" customWidth="1"/>
    <col min="10" max="10" width="7.375" style="5" bestFit="1" customWidth="1"/>
    <col min="11" max="11" width="19" style="5" bestFit="1" customWidth="1"/>
    <col min="12" max="12" width="7" style="5" bestFit="1" customWidth="1"/>
    <col min="13" max="13" width="3.5" style="1" customWidth="1"/>
    <col min="14" max="14" width="3.125" style="1" customWidth="1"/>
    <col min="15" max="15" width="5.125" style="1" customWidth="1"/>
    <col min="16" max="16" width="4.875" style="1" bestFit="1" customWidth="1"/>
    <col min="17" max="17" width="5.375" style="1" bestFit="1" customWidth="1"/>
    <col min="18" max="19" width="4.875" style="1" customWidth="1"/>
    <col min="20" max="20" width="4" style="1" customWidth="1"/>
    <col min="21" max="21" width="4.875" style="1" customWidth="1"/>
    <col min="22" max="22" width="16.25" style="1" bestFit="1" customWidth="1"/>
    <col min="23" max="26" width="4.875" style="1" customWidth="1"/>
    <col min="27" max="27" width="6.625" style="1" customWidth="1"/>
    <col min="28" max="28" width="12.375" style="1" bestFit="1" customWidth="1"/>
    <col min="29" max="29" width="7" style="1" bestFit="1" customWidth="1"/>
    <col min="30" max="33" width="4.875" style="1" customWidth="1"/>
    <col min="34" max="34" width="6.625" style="1" customWidth="1"/>
    <col min="35" max="35" width="10.875" style="5" bestFit="1" customWidth="1"/>
    <col min="36" max="36" width="7" style="1" bestFit="1" customWidth="1"/>
    <col min="37" max="37" width="4.5" style="1" customWidth="1"/>
    <col min="38" max="38" width="6.875" style="1" customWidth="1"/>
    <col min="39" max="39" width="7.125" style="1" customWidth="1"/>
    <col min="40" max="40" width="6.125" style="1" customWidth="1"/>
    <col min="41" max="41" width="6.875" style="1" customWidth="1"/>
    <col min="42" max="42" width="9.125" style="5" bestFit="1" customWidth="1"/>
    <col min="43" max="43" width="7" style="5" bestFit="1" customWidth="1"/>
    <col min="44" max="44" width="5.125" style="5" customWidth="1"/>
    <col min="45" max="46" width="5.5" customWidth="1"/>
    <col min="47" max="47" width="5.25" customWidth="1"/>
    <col min="49" max="49" width="16.625" customWidth="1"/>
    <col min="52" max="52" width="52.875" bestFit="1" customWidth="1"/>
  </cols>
  <sheetData>
    <row r="1" spans="1:52" x14ac:dyDescent="0.25">
      <c r="B1" s="7"/>
      <c r="C1" s="46"/>
      <c r="E1" s="7"/>
      <c r="G1" s="64" t="s">
        <v>35</v>
      </c>
      <c r="H1" s="64" t="s">
        <v>35</v>
      </c>
      <c r="I1" s="64" t="s">
        <v>35</v>
      </c>
      <c r="J1" s="65"/>
      <c r="K1" s="64" t="s">
        <v>35</v>
      </c>
      <c r="L1" s="65"/>
      <c r="O1" s="2" t="s">
        <v>15</v>
      </c>
      <c r="P1" s="2">
        <v>8</v>
      </c>
      <c r="Q1" s="1" t="s">
        <v>16</v>
      </c>
      <c r="S1" s="185"/>
      <c r="T1" s="185" t="s">
        <v>49</v>
      </c>
      <c r="U1" s="183"/>
      <c r="X1" s="93" t="s">
        <v>57</v>
      </c>
      <c r="Y1" s="93"/>
      <c r="Z1" s="93"/>
      <c r="AA1" s="55"/>
      <c r="AB1" s="5"/>
      <c r="AC1" s="56"/>
      <c r="AE1" s="93" t="s">
        <v>34</v>
      </c>
      <c r="AF1" s="93"/>
      <c r="AG1" s="93"/>
      <c r="AH1" s="55"/>
      <c r="AJ1" s="56"/>
      <c r="AL1" s="4" t="s">
        <v>19</v>
      </c>
      <c r="AM1" s="4"/>
      <c r="AN1" s="4"/>
      <c r="AO1" s="4"/>
      <c r="AQ1" s="56"/>
      <c r="AS1" s="93" t="s">
        <v>62</v>
      </c>
      <c r="AT1" s="55"/>
      <c r="AU1" s="45"/>
      <c r="AV1" s="45"/>
      <c r="AW1" s="55"/>
      <c r="AX1" s="55"/>
      <c r="AY1" s="55"/>
      <c r="AZ1" s="55"/>
    </row>
    <row r="2" spans="1:52" x14ac:dyDescent="0.25">
      <c r="B2" s="7"/>
      <c r="C2" s="46"/>
      <c r="E2" s="7"/>
      <c r="G2" s="64" t="s">
        <v>36</v>
      </c>
      <c r="H2" s="64" t="s">
        <v>37</v>
      </c>
      <c r="I2" s="64" t="s">
        <v>37</v>
      </c>
      <c r="J2" s="65"/>
      <c r="K2" s="64" t="s">
        <v>37</v>
      </c>
      <c r="L2" s="65"/>
      <c r="O2" s="2"/>
      <c r="P2" s="2"/>
      <c r="T2" s="7" t="s">
        <v>52</v>
      </c>
      <c r="X2" s="189" t="s">
        <v>58</v>
      </c>
      <c r="Y2" s="189"/>
      <c r="Z2" s="189"/>
      <c r="AA2" s="55"/>
      <c r="AB2" s="5"/>
      <c r="AC2" s="56"/>
      <c r="AE2" s="193" t="s">
        <v>22</v>
      </c>
      <c r="AF2" s="192"/>
      <c r="AG2" s="192"/>
      <c r="AH2" s="55"/>
      <c r="AJ2" s="56"/>
      <c r="AL2" s="193" t="s">
        <v>20</v>
      </c>
      <c r="AM2" s="193"/>
      <c r="AN2" s="193"/>
      <c r="AO2" s="4"/>
      <c r="AQ2" s="56"/>
      <c r="AS2" s="93"/>
      <c r="AT2" s="55"/>
      <c r="AU2" s="45"/>
      <c r="AV2" s="45"/>
      <c r="AW2" s="55"/>
      <c r="AX2" s="55"/>
      <c r="AY2" s="55"/>
      <c r="AZ2" s="55"/>
    </row>
    <row r="3" spans="1:52" ht="17.25" thickBot="1" x14ac:dyDescent="0.3">
      <c r="A3" s="1" t="s">
        <v>0</v>
      </c>
      <c r="B3" s="7"/>
      <c r="C3" s="46"/>
      <c r="E3" s="7"/>
      <c r="G3" s="38" t="s">
        <v>1</v>
      </c>
      <c r="H3" s="38" t="s">
        <v>1</v>
      </c>
      <c r="I3" s="37" t="s">
        <v>2</v>
      </c>
      <c r="J3" s="37" t="s">
        <v>3</v>
      </c>
      <c r="K3" s="37" t="s">
        <v>4</v>
      </c>
      <c r="L3" s="37" t="s">
        <v>5</v>
      </c>
      <c r="O3" s="2"/>
      <c r="P3" s="2"/>
      <c r="S3" s="184" t="s">
        <v>15</v>
      </c>
      <c r="T3" s="1">
        <v>8</v>
      </c>
      <c r="U3" s="184" t="s">
        <v>50</v>
      </c>
      <c r="X3" s="190" t="s">
        <v>59</v>
      </c>
      <c r="Y3" s="190"/>
      <c r="Z3" s="190"/>
      <c r="AA3" s="57"/>
      <c r="AB3" s="5"/>
      <c r="AC3" s="56"/>
      <c r="AE3" s="192" t="s">
        <v>23</v>
      </c>
      <c r="AF3" s="192"/>
      <c r="AG3" s="192"/>
      <c r="AH3" s="57"/>
      <c r="AJ3" s="56"/>
      <c r="AL3" s="192" t="s">
        <v>21</v>
      </c>
      <c r="AM3" s="192"/>
      <c r="AN3" s="192"/>
      <c r="AO3" s="11"/>
      <c r="AQ3" s="56"/>
      <c r="AS3" s="45"/>
      <c r="AT3" s="54" t="s">
        <v>29</v>
      </c>
      <c r="AU3" s="45"/>
      <c r="AV3" s="55"/>
      <c r="AW3" s="55"/>
      <c r="AX3" s="55"/>
      <c r="AY3" s="55"/>
      <c r="AZ3" s="55"/>
    </row>
    <row r="4" spans="1:52" ht="18" thickTop="1" thickBot="1" x14ac:dyDescent="0.3">
      <c r="A4" s="1" t="s">
        <v>6</v>
      </c>
      <c r="B4" s="7"/>
      <c r="C4" s="46"/>
      <c r="D4" s="139"/>
      <c r="E4" s="140"/>
      <c r="F4" s="169"/>
      <c r="G4" s="91">
        <v>1.2699999999999999E-2</v>
      </c>
      <c r="H4" s="66">
        <f>G4*39.37</f>
        <v>0.49999899999999997</v>
      </c>
      <c r="I4" s="37"/>
      <c r="J4" s="37"/>
      <c r="K4" s="37"/>
      <c r="L4" s="37"/>
      <c r="O4" s="8"/>
      <c r="P4" s="9"/>
      <c r="Q4" s="10"/>
      <c r="S4" s="156"/>
      <c r="T4" s="157"/>
      <c r="U4" s="158"/>
      <c r="X4" s="8"/>
      <c r="Y4" s="9"/>
      <c r="Z4" s="10"/>
      <c r="AA4" s="55"/>
      <c r="AB4" s="5"/>
      <c r="AC4" s="56"/>
      <c r="AE4" s="8"/>
      <c r="AF4" s="9"/>
      <c r="AG4" s="10"/>
      <c r="AH4" s="55"/>
      <c r="AJ4" s="56"/>
      <c r="AL4" s="8"/>
      <c r="AM4" s="9"/>
      <c r="AN4" s="10"/>
      <c r="AQ4" s="56"/>
      <c r="AS4" s="96"/>
      <c r="AT4" s="97"/>
      <c r="AU4" s="98"/>
      <c r="AV4" s="114"/>
      <c r="AW4" s="55"/>
      <c r="AX4" s="55"/>
      <c r="AY4" s="55"/>
      <c r="AZ4" s="55"/>
    </row>
    <row r="5" spans="1:52" ht="17.25" thickBot="1" x14ac:dyDescent="0.3">
      <c r="A5" s="1" t="s">
        <v>7</v>
      </c>
      <c r="B5" s="7">
        <v>1</v>
      </c>
      <c r="C5" s="46" t="s">
        <v>8</v>
      </c>
      <c r="D5" s="141"/>
      <c r="E5" s="142"/>
      <c r="F5" s="170"/>
      <c r="G5" s="172">
        <v>4.4999999999999998E-2</v>
      </c>
      <c r="H5" s="66">
        <f t="shared" ref="H5:H10" si="0">G5*39.37</f>
        <v>1.7716499999999997</v>
      </c>
      <c r="I5" s="70" t="s">
        <v>63</v>
      </c>
      <c r="J5" s="70" t="s">
        <v>9</v>
      </c>
      <c r="K5" s="71" t="s">
        <v>64</v>
      </c>
      <c r="L5" s="71" t="s">
        <v>10</v>
      </c>
      <c r="M5" s="12"/>
      <c r="O5" s="52"/>
      <c r="P5" s="15"/>
      <c r="Q5" s="53"/>
      <c r="S5" s="52"/>
      <c r="T5" s="157"/>
      <c r="U5" s="53"/>
      <c r="X5" s="52"/>
      <c r="Y5" s="15"/>
      <c r="Z5" s="53"/>
      <c r="AA5" s="55"/>
      <c r="AB5" s="5"/>
      <c r="AC5" s="56"/>
      <c r="AE5" s="52"/>
      <c r="AF5" s="15"/>
      <c r="AG5" s="53"/>
      <c r="AH5" s="55"/>
      <c r="AJ5" s="56"/>
      <c r="AL5" s="14"/>
      <c r="AM5" s="15"/>
      <c r="AN5" s="16"/>
      <c r="AQ5" s="56"/>
      <c r="AS5" s="99"/>
      <c r="AT5" s="85"/>
      <c r="AU5" s="100"/>
      <c r="AV5" s="55"/>
      <c r="AW5" s="55"/>
      <c r="AX5" s="55"/>
      <c r="AY5" s="55"/>
      <c r="AZ5" s="55"/>
    </row>
    <row r="6" spans="1:52" x14ac:dyDescent="0.25">
      <c r="A6" s="1" t="s">
        <v>11</v>
      </c>
      <c r="B6" s="7"/>
      <c r="C6" s="46"/>
      <c r="D6" s="144"/>
      <c r="E6" s="145" t="s">
        <v>67</v>
      </c>
      <c r="F6" s="171"/>
      <c r="G6" s="173">
        <v>0.06</v>
      </c>
      <c r="H6" s="66">
        <f t="shared" si="0"/>
        <v>2.3621999999999996</v>
      </c>
      <c r="I6" s="37"/>
      <c r="J6" s="37"/>
      <c r="K6" s="37"/>
      <c r="L6" s="37"/>
      <c r="M6" s="12"/>
      <c r="O6" s="4"/>
      <c r="P6" s="30"/>
      <c r="Q6" s="4"/>
      <c r="S6" s="45"/>
      <c r="T6" s="157"/>
      <c r="U6" s="45"/>
      <c r="X6" s="4"/>
      <c r="Y6" s="30"/>
      <c r="Z6" s="4"/>
      <c r="AA6" s="55"/>
      <c r="AB6" s="5"/>
      <c r="AC6" s="56"/>
      <c r="AE6" s="4"/>
      <c r="AF6" s="30"/>
      <c r="AG6" s="4"/>
      <c r="AH6" s="55"/>
      <c r="AJ6" s="56"/>
      <c r="AL6" s="17"/>
      <c r="AM6" s="18"/>
      <c r="AN6" s="19"/>
      <c r="AQ6" s="56"/>
      <c r="AS6" s="101"/>
      <c r="AT6" s="86" t="s">
        <v>26</v>
      </c>
      <c r="AU6" s="102"/>
      <c r="AV6" s="45"/>
      <c r="AW6" s="55"/>
      <c r="AX6" s="55"/>
      <c r="AY6" s="55"/>
      <c r="AZ6" s="55"/>
    </row>
    <row r="7" spans="1:52" x14ac:dyDescent="0.25">
      <c r="A7" s="1" t="s">
        <v>7</v>
      </c>
      <c r="B7" s="7">
        <v>2</v>
      </c>
      <c r="C7" s="46" t="s">
        <v>53</v>
      </c>
      <c r="D7" s="147"/>
      <c r="E7" s="142"/>
      <c r="F7" s="179"/>
      <c r="G7" s="182">
        <v>1.6E-2</v>
      </c>
      <c r="H7" s="66">
        <f t="shared" si="0"/>
        <v>0.62991999999999992</v>
      </c>
      <c r="I7" s="37"/>
      <c r="J7" s="37"/>
      <c r="K7" s="37"/>
      <c r="L7" s="37"/>
      <c r="M7" s="12"/>
      <c r="P7" s="28"/>
      <c r="S7" s="45"/>
      <c r="T7" s="157"/>
      <c r="U7" s="45"/>
      <c r="Y7" s="28"/>
      <c r="AA7" s="55"/>
      <c r="AB7" s="5"/>
      <c r="AC7" s="56"/>
      <c r="AF7" s="28"/>
      <c r="AH7" s="55"/>
      <c r="AJ7" s="56"/>
      <c r="AL7" s="17"/>
      <c r="AM7" s="18"/>
      <c r="AN7" s="19"/>
      <c r="AQ7" s="56"/>
      <c r="AS7" s="103"/>
      <c r="AT7" s="85"/>
      <c r="AU7" s="104"/>
      <c r="AV7" s="45"/>
      <c r="AW7" s="55"/>
      <c r="AX7" s="55"/>
      <c r="AY7" s="55"/>
      <c r="AZ7" s="55"/>
    </row>
    <row r="8" spans="1:52" x14ac:dyDescent="0.25">
      <c r="A8" s="1" t="s">
        <v>12</v>
      </c>
      <c r="B8" s="7"/>
      <c r="C8" s="46"/>
      <c r="D8" s="162"/>
      <c r="E8" s="163" t="s">
        <v>67</v>
      </c>
      <c r="F8" s="180"/>
      <c r="G8" s="182">
        <v>0.2</v>
      </c>
      <c r="H8" s="66">
        <f t="shared" si="0"/>
        <v>7.8739999999999997</v>
      </c>
      <c r="I8" s="37"/>
      <c r="J8" s="37"/>
      <c r="K8" s="37"/>
      <c r="L8" s="37"/>
      <c r="M8" s="12"/>
      <c r="P8" s="30"/>
      <c r="S8" s="45"/>
      <c r="T8" s="157"/>
      <c r="U8" s="45"/>
      <c r="Y8" s="30"/>
      <c r="AA8" s="55"/>
      <c r="AB8" s="5"/>
      <c r="AC8" s="56"/>
      <c r="AF8" s="30"/>
      <c r="AH8" s="55"/>
      <c r="AJ8" s="56"/>
      <c r="AL8" s="17"/>
      <c r="AM8" s="18"/>
      <c r="AN8" s="19"/>
      <c r="AQ8" s="56"/>
      <c r="AS8" s="67"/>
      <c r="AT8" s="92" t="s">
        <v>26</v>
      </c>
      <c r="AU8" s="75"/>
      <c r="AV8" s="45"/>
      <c r="AW8" s="55"/>
      <c r="AX8" s="55"/>
      <c r="AY8" s="55"/>
      <c r="AZ8" s="55"/>
    </row>
    <row r="9" spans="1:52" x14ac:dyDescent="0.25">
      <c r="A9" s="1" t="s">
        <v>7</v>
      </c>
      <c r="B9" s="7">
        <v>3</v>
      </c>
      <c r="C9" s="49" t="s">
        <v>13</v>
      </c>
      <c r="D9" s="165"/>
      <c r="E9" s="85"/>
      <c r="F9" s="181"/>
      <c r="G9" s="91">
        <v>1.6E-2</v>
      </c>
      <c r="H9" s="66">
        <f t="shared" si="0"/>
        <v>0.62991999999999992</v>
      </c>
      <c r="I9" s="68" t="s">
        <v>65</v>
      </c>
      <c r="J9" s="68" t="s">
        <v>9</v>
      </c>
      <c r="K9" s="69" t="s">
        <v>66</v>
      </c>
      <c r="L9" s="69" t="s">
        <v>10</v>
      </c>
      <c r="M9" s="12"/>
      <c r="P9" s="30"/>
      <c r="S9" s="45"/>
      <c r="T9" s="157"/>
      <c r="U9" s="45"/>
      <c r="Y9" s="30"/>
      <c r="AA9" s="55"/>
      <c r="AB9" s="5"/>
      <c r="AC9" s="56"/>
      <c r="AF9" s="30"/>
      <c r="AH9" s="55"/>
      <c r="AJ9" s="56"/>
      <c r="AL9" s="17"/>
      <c r="AM9" s="18"/>
      <c r="AN9" s="19"/>
      <c r="AQ9" s="56"/>
      <c r="AS9" s="101"/>
      <c r="AT9" s="85"/>
      <c r="AU9" s="105"/>
      <c r="AV9" s="45"/>
      <c r="AW9" s="55"/>
      <c r="AX9" s="55"/>
      <c r="AY9" s="55"/>
      <c r="AZ9" s="55"/>
    </row>
    <row r="10" spans="1:52" x14ac:dyDescent="0.25">
      <c r="A10" s="1" t="s">
        <v>11</v>
      </c>
      <c r="B10" s="7"/>
      <c r="C10" s="46"/>
      <c r="D10" s="165"/>
      <c r="E10" s="145" t="s">
        <v>68</v>
      </c>
      <c r="F10" s="181"/>
      <c r="G10" s="91">
        <v>0.11</v>
      </c>
      <c r="H10" s="66">
        <f t="shared" si="0"/>
        <v>4.3306999999999993</v>
      </c>
      <c r="I10" s="38"/>
      <c r="J10" s="38"/>
      <c r="K10" s="38"/>
      <c r="L10" s="38"/>
      <c r="M10" s="24"/>
      <c r="P10" s="30"/>
      <c r="S10" s="45"/>
      <c r="T10" s="157"/>
      <c r="U10" s="45"/>
      <c r="Y10" s="30"/>
      <c r="AA10" s="55"/>
      <c r="AB10" s="5"/>
      <c r="AC10" s="56"/>
      <c r="AF10" s="30"/>
      <c r="AH10" s="55"/>
      <c r="AJ10" s="56"/>
      <c r="AL10" s="17"/>
      <c r="AM10" s="18"/>
      <c r="AN10" s="19"/>
      <c r="AQ10" s="56"/>
      <c r="AS10" s="101"/>
      <c r="AT10" s="86" t="s">
        <v>26</v>
      </c>
      <c r="AU10" s="102"/>
      <c r="AV10" s="45"/>
      <c r="AW10" s="55"/>
      <c r="AX10" s="55"/>
      <c r="AY10" s="55"/>
      <c r="AZ10" s="55"/>
    </row>
    <row r="11" spans="1:52" x14ac:dyDescent="0.25">
      <c r="A11" s="1" t="s">
        <v>7</v>
      </c>
      <c r="B11" s="7">
        <v>4</v>
      </c>
      <c r="C11" s="46" t="s">
        <v>53</v>
      </c>
      <c r="D11" s="147"/>
      <c r="E11" s="148"/>
      <c r="F11" s="179"/>
      <c r="G11" s="91"/>
      <c r="H11" s="66">
        <v>0.63</v>
      </c>
      <c r="I11" s="38"/>
      <c r="J11" s="38"/>
      <c r="K11" s="38"/>
      <c r="L11" s="38"/>
      <c r="M11" s="12"/>
      <c r="P11" s="28"/>
      <c r="S11" s="45"/>
      <c r="T11" s="157"/>
      <c r="U11" s="45"/>
      <c r="Y11" s="30"/>
      <c r="AA11" s="55"/>
      <c r="AB11" s="5"/>
      <c r="AC11" s="56"/>
      <c r="AF11" s="30"/>
      <c r="AH11" s="55"/>
      <c r="AJ11" s="56"/>
      <c r="AL11" s="17"/>
      <c r="AM11" s="18"/>
      <c r="AN11" s="19"/>
      <c r="AQ11" s="56"/>
      <c r="AS11" s="106"/>
      <c r="AT11" s="85"/>
      <c r="AU11" s="107"/>
      <c r="AV11" s="45"/>
      <c r="AW11" s="56"/>
      <c r="AX11" s="56"/>
      <c r="AY11" s="55"/>
      <c r="AZ11" s="55"/>
    </row>
    <row r="12" spans="1:52" x14ac:dyDescent="0.25">
      <c r="A12" s="1" t="s">
        <v>12</v>
      </c>
      <c r="B12" s="7"/>
      <c r="C12" s="46"/>
      <c r="D12" s="80"/>
      <c r="E12" s="41" t="s">
        <v>26</v>
      </c>
      <c r="F12" s="87"/>
      <c r="G12" s="91"/>
      <c r="H12" s="66">
        <v>3.9369999999999998</v>
      </c>
      <c r="I12" s="38"/>
      <c r="J12" s="38"/>
      <c r="K12" s="38"/>
      <c r="L12" s="38"/>
      <c r="M12" s="24"/>
      <c r="P12" s="28"/>
      <c r="S12" s="45"/>
      <c r="T12" s="157"/>
      <c r="U12" s="45"/>
      <c r="Y12" s="30"/>
      <c r="AA12" s="55"/>
      <c r="AB12" s="5"/>
      <c r="AC12" s="56"/>
      <c r="AF12" s="30"/>
      <c r="AH12" s="55"/>
      <c r="AJ12" s="56"/>
      <c r="AL12" s="17"/>
      <c r="AM12" s="18"/>
      <c r="AN12" s="19"/>
      <c r="AQ12" s="56"/>
      <c r="AS12" s="67"/>
      <c r="AT12" s="92" t="s">
        <v>26</v>
      </c>
      <c r="AU12" s="75"/>
      <c r="AV12" s="45"/>
      <c r="AW12" s="56"/>
      <c r="AX12" s="56"/>
      <c r="AY12" s="55"/>
      <c r="AZ12" s="55"/>
    </row>
    <row r="13" spans="1:52" x14ac:dyDescent="0.25">
      <c r="A13" s="1" t="s">
        <v>7</v>
      </c>
      <c r="B13" s="7">
        <v>5</v>
      </c>
      <c r="C13" s="49" t="s">
        <v>13</v>
      </c>
      <c r="D13" s="76"/>
      <c r="E13" s="3"/>
      <c r="F13" s="90"/>
      <c r="G13" s="91"/>
      <c r="H13" s="66">
        <v>0.62991999999999992</v>
      </c>
      <c r="I13" s="68" t="s">
        <v>38</v>
      </c>
      <c r="J13" s="68" t="s">
        <v>9</v>
      </c>
      <c r="K13" s="69" t="s">
        <v>39</v>
      </c>
      <c r="L13" s="69" t="s">
        <v>10</v>
      </c>
      <c r="M13" s="12"/>
      <c r="P13" s="30"/>
      <c r="S13" s="45"/>
      <c r="T13" s="157"/>
      <c r="U13" s="45"/>
      <c r="Y13" s="30"/>
      <c r="AA13" s="55"/>
      <c r="AB13" s="5"/>
      <c r="AC13" s="56"/>
      <c r="AF13" s="30"/>
      <c r="AH13" s="55"/>
      <c r="AJ13" s="56"/>
      <c r="AL13" s="17"/>
      <c r="AM13" s="18"/>
      <c r="AN13" s="19"/>
      <c r="AQ13" s="56"/>
      <c r="AS13" s="101"/>
      <c r="AT13" s="85"/>
      <c r="AU13" s="105"/>
      <c r="AV13" s="45"/>
      <c r="AW13" s="55"/>
      <c r="AX13" s="55"/>
      <c r="AY13" s="55"/>
      <c r="AZ13" s="55"/>
    </row>
    <row r="14" spans="1:52" x14ac:dyDescent="0.25">
      <c r="A14" s="1" t="s">
        <v>11</v>
      </c>
      <c r="B14" s="7"/>
      <c r="C14" s="46"/>
      <c r="D14" s="76"/>
      <c r="E14" s="40" t="s">
        <v>26</v>
      </c>
      <c r="F14" s="78"/>
      <c r="G14" s="73"/>
      <c r="H14" s="66">
        <v>4.7243999999999993</v>
      </c>
      <c r="I14" s="38"/>
      <c r="J14" s="38"/>
      <c r="K14" s="38"/>
      <c r="L14" s="38"/>
      <c r="M14" s="24"/>
      <c r="P14" s="30"/>
      <c r="S14" s="45"/>
      <c r="T14" s="157"/>
      <c r="U14" s="45"/>
      <c r="Y14" s="30"/>
      <c r="AA14" s="55"/>
      <c r="AB14" s="5"/>
      <c r="AC14" s="56"/>
      <c r="AF14" s="30"/>
      <c r="AH14" s="55"/>
      <c r="AJ14" s="56"/>
      <c r="AL14" s="17"/>
      <c r="AM14" s="18"/>
      <c r="AN14" s="19"/>
      <c r="AQ14" s="56"/>
      <c r="AS14" s="101"/>
      <c r="AT14" s="86" t="s">
        <v>26</v>
      </c>
      <c r="AU14" s="102"/>
      <c r="AV14" s="45"/>
      <c r="AW14" s="55"/>
      <c r="AX14" s="55"/>
      <c r="AY14" s="55"/>
      <c r="AZ14" s="55"/>
    </row>
    <row r="15" spans="1:52" x14ac:dyDescent="0.25">
      <c r="A15" s="1" t="s">
        <v>7</v>
      </c>
      <c r="B15" s="7">
        <v>6</v>
      </c>
      <c r="C15" s="46" t="s">
        <v>53</v>
      </c>
      <c r="D15" s="79"/>
      <c r="E15" s="3"/>
      <c r="F15" s="82"/>
      <c r="G15" s="73"/>
      <c r="H15" s="66">
        <v>0.62991999999999992</v>
      </c>
      <c r="I15" s="38"/>
      <c r="J15" s="38"/>
      <c r="K15" s="38"/>
      <c r="L15" s="38"/>
      <c r="M15" s="12"/>
      <c r="P15" s="28"/>
      <c r="S15" s="45"/>
      <c r="T15" s="157"/>
      <c r="U15" s="45"/>
      <c r="Y15" s="30"/>
      <c r="AA15" s="55"/>
      <c r="AB15" s="5"/>
      <c r="AC15" s="56"/>
      <c r="AF15" s="30"/>
      <c r="AH15" s="55"/>
      <c r="AJ15" s="56"/>
      <c r="AL15" s="17"/>
      <c r="AM15" s="18"/>
      <c r="AN15" s="19"/>
      <c r="AQ15" s="56"/>
      <c r="AS15" s="106"/>
      <c r="AT15" s="85"/>
      <c r="AU15" s="107"/>
      <c r="AV15" s="45"/>
      <c r="AW15" s="56"/>
      <c r="AX15" s="56"/>
      <c r="AY15" s="55"/>
      <c r="AZ15" s="55"/>
    </row>
    <row r="16" spans="1:52" x14ac:dyDescent="0.25">
      <c r="A16" s="1" t="s">
        <v>12</v>
      </c>
      <c r="B16" s="7"/>
      <c r="C16" s="46"/>
      <c r="D16" s="80"/>
      <c r="E16" s="41" t="s">
        <v>26</v>
      </c>
      <c r="F16" s="81"/>
      <c r="G16" s="73"/>
      <c r="H16" s="66">
        <v>3.9369999999999998</v>
      </c>
      <c r="I16" s="37"/>
      <c r="J16" s="37"/>
      <c r="K16" s="37"/>
      <c r="L16" s="37"/>
      <c r="M16" s="24"/>
      <c r="P16" s="28"/>
      <c r="S16" s="45"/>
      <c r="T16" s="157"/>
      <c r="U16" s="45"/>
      <c r="Y16" s="30"/>
      <c r="AA16" s="55"/>
      <c r="AB16" s="5"/>
      <c r="AC16" s="56"/>
      <c r="AF16" s="30"/>
      <c r="AH16" s="55"/>
      <c r="AJ16" s="56"/>
      <c r="AL16" s="17"/>
      <c r="AM16" s="18"/>
      <c r="AN16" s="19"/>
      <c r="AQ16" s="56"/>
      <c r="AS16" s="67"/>
      <c r="AT16" s="92" t="s">
        <v>26</v>
      </c>
      <c r="AU16" s="75"/>
      <c r="AV16" s="45"/>
      <c r="AW16" s="51"/>
      <c r="AX16" s="108" t="s">
        <v>24</v>
      </c>
      <c r="AY16" s="55"/>
      <c r="AZ16" s="55"/>
    </row>
    <row r="17" spans="1:52" x14ac:dyDescent="0.25">
      <c r="A17" s="1" t="s">
        <v>7</v>
      </c>
      <c r="B17" s="7">
        <v>7</v>
      </c>
      <c r="C17" s="49" t="s">
        <v>13</v>
      </c>
      <c r="D17" s="76"/>
      <c r="E17" s="3"/>
      <c r="F17" s="83"/>
      <c r="G17" s="74"/>
      <c r="H17" s="66">
        <v>0.62991999999999992</v>
      </c>
      <c r="I17" s="68" t="s">
        <v>38</v>
      </c>
      <c r="J17" s="68" t="s">
        <v>9</v>
      </c>
      <c r="K17" s="69" t="s">
        <v>39</v>
      </c>
      <c r="L17" s="69" t="s">
        <v>10</v>
      </c>
      <c r="M17" s="12"/>
      <c r="P17" s="30"/>
      <c r="S17" s="45"/>
      <c r="T17" s="157"/>
      <c r="U17" s="45"/>
      <c r="V17" s="93" t="s">
        <v>51</v>
      </c>
      <c r="Y17" s="30"/>
      <c r="AA17" s="55"/>
      <c r="AB17" s="186">
        <f>$H70-AB55</f>
        <v>122.19274900000005</v>
      </c>
      <c r="AC17" s="58" t="s">
        <v>16</v>
      </c>
      <c r="AF17" s="30"/>
      <c r="AH17" s="55"/>
      <c r="AI17" s="110">
        <f>$H70-AI55</f>
        <v>126.91714900000005</v>
      </c>
      <c r="AJ17" s="58" t="s">
        <v>16</v>
      </c>
      <c r="AL17" s="17"/>
      <c r="AM17" s="18"/>
      <c r="AN17" s="19"/>
      <c r="AP17" s="110">
        <f>$H70-AP55</f>
        <v>122.19274900000005</v>
      </c>
      <c r="AQ17" s="58" t="s">
        <v>16</v>
      </c>
      <c r="AS17" s="101"/>
      <c r="AT17" s="85"/>
      <c r="AU17" s="105"/>
      <c r="AV17" s="45"/>
      <c r="AW17" s="109">
        <f>SUM(H4:H19)</f>
        <v>38.570868999999988</v>
      </c>
      <c r="AX17" s="58" t="s">
        <v>16</v>
      </c>
      <c r="AY17" s="55"/>
      <c r="AZ17" s="58"/>
    </row>
    <row r="18" spans="1:52" x14ac:dyDescent="0.25">
      <c r="A18" s="1" t="s">
        <v>11</v>
      </c>
      <c r="B18" s="7"/>
      <c r="C18" s="46"/>
      <c r="D18" s="76"/>
      <c r="E18" s="40" t="s">
        <v>26</v>
      </c>
      <c r="F18" s="78"/>
      <c r="G18" s="74"/>
      <c r="H18" s="66">
        <v>4.7243999999999993</v>
      </c>
      <c r="I18" s="37"/>
      <c r="J18" s="37"/>
      <c r="K18" s="37"/>
      <c r="L18" s="37"/>
      <c r="M18" s="24"/>
      <c r="P18" s="30"/>
      <c r="S18" s="45"/>
      <c r="T18" s="157"/>
      <c r="U18" s="45"/>
      <c r="Y18" s="30"/>
      <c r="AA18" s="55"/>
      <c r="AB18" s="5"/>
      <c r="AC18" s="56"/>
      <c r="AF18" s="30"/>
      <c r="AH18" s="55"/>
      <c r="AJ18" s="56"/>
      <c r="AL18" s="17"/>
      <c r="AM18" s="18"/>
      <c r="AN18" s="19"/>
      <c r="AQ18" s="56"/>
      <c r="AS18" s="101"/>
      <c r="AT18" s="86" t="s">
        <v>26</v>
      </c>
      <c r="AU18" s="102"/>
      <c r="AV18" s="45"/>
      <c r="AW18" s="55"/>
      <c r="AX18" s="55"/>
      <c r="AY18" s="55"/>
      <c r="AZ18" s="112" t="s">
        <v>42</v>
      </c>
    </row>
    <row r="19" spans="1:52" ht="17.25" thickBot="1" x14ac:dyDescent="0.3">
      <c r="A19" s="1" t="s">
        <v>7</v>
      </c>
      <c r="B19" s="7">
        <v>8</v>
      </c>
      <c r="C19" s="46" t="s">
        <v>53</v>
      </c>
      <c r="D19" s="79"/>
      <c r="E19" s="3"/>
      <c r="F19" s="82"/>
      <c r="G19" s="74"/>
      <c r="H19" s="66">
        <v>0.62991999999999992</v>
      </c>
      <c r="I19" s="37"/>
      <c r="J19" s="37"/>
      <c r="K19" s="37"/>
      <c r="L19" s="37"/>
      <c r="M19" s="12"/>
      <c r="P19" s="30"/>
      <c r="S19" s="45"/>
      <c r="T19" s="157"/>
      <c r="U19" s="45"/>
      <c r="Y19" s="30"/>
      <c r="AA19" s="55"/>
      <c r="AB19" s="5"/>
      <c r="AC19" s="56"/>
      <c r="AF19" s="30"/>
      <c r="AH19" s="55"/>
      <c r="AJ19" s="56"/>
      <c r="AL19" s="17"/>
      <c r="AM19" s="18"/>
      <c r="AN19" s="19"/>
      <c r="AQ19" s="56"/>
      <c r="AS19" s="106"/>
      <c r="AT19" s="85"/>
      <c r="AU19" s="107"/>
      <c r="AV19" s="115"/>
      <c r="AW19" s="56"/>
      <c r="AX19" s="56"/>
      <c r="AY19" s="55"/>
      <c r="AZ19" s="55"/>
    </row>
    <row r="20" spans="1:52" x14ac:dyDescent="0.25">
      <c r="A20" s="1" t="s">
        <v>12</v>
      </c>
      <c r="B20" s="7"/>
      <c r="C20" s="46"/>
      <c r="D20" s="80"/>
      <c r="E20" s="41" t="s">
        <v>26</v>
      </c>
      <c r="F20" s="81"/>
      <c r="G20" s="73"/>
      <c r="H20" s="66">
        <v>3.9369999999999998</v>
      </c>
      <c r="I20" s="37"/>
      <c r="J20" s="37"/>
      <c r="K20" s="37"/>
      <c r="L20" s="37"/>
      <c r="M20" s="24"/>
      <c r="P20" s="30"/>
      <c r="S20" s="45"/>
      <c r="T20" s="157"/>
      <c r="U20" s="45"/>
      <c r="Y20" s="30"/>
      <c r="AA20" s="55"/>
      <c r="AB20" s="5"/>
      <c r="AC20" s="56"/>
      <c r="AF20" s="30"/>
      <c r="AH20" s="55"/>
      <c r="AJ20" s="56"/>
      <c r="AL20" s="17"/>
      <c r="AM20" s="18"/>
      <c r="AN20" s="19"/>
      <c r="AQ20" s="56"/>
      <c r="AS20" s="67"/>
      <c r="AT20" s="111"/>
      <c r="AU20" s="75"/>
      <c r="AV20" s="45"/>
      <c r="AW20" s="56"/>
      <c r="AX20" s="56"/>
      <c r="AY20" s="55"/>
      <c r="AZ20" s="55"/>
    </row>
    <row r="21" spans="1:52" x14ac:dyDescent="0.25">
      <c r="A21" s="1" t="s">
        <v>7</v>
      </c>
      <c r="B21" s="7">
        <v>9</v>
      </c>
      <c r="C21" s="49" t="s">
        <v>13</v>
      </c>
      <c r="D21" s="76"/>
      <c r="E21" s="3"/>
      <c r="F21" s="83"/>
      <c r="G21" s="74"/>
      <c r="H21" s="66">
        <v>0.62991999999999992</v>
      </c>
      <c r="I21" s="68" t="s">
        <v>38</v>
      </c>
      <c r="J21" s="68" t="s">
        <v>9</v>
      </c>
      <c r="K21" s="69" t="s">
        <v>39</v>
      </c>
      <c r="L21" s="69" t="s">
        <v>10</v>
      </c>
      <c r="M21" s="12"/>
      <c r="P21" s="30"/>
      <c r="S21" s="45"/>
      <c r="T21" s="157"/>
      <c r="U21" s="45"/>
      <c r="Y21" s="30"/>
      <c r="AA21" s="55"/>
      <c r="AB21" s="5"/>
      <c r="AC21" s="56"/>
      <c r="AF21" s="30"/>
      <c r="AH21" s="55"/>
      <c r="AJ21" s="56"/>
      <c r="AL21" s="17"/>
      <c r="AM21" s="18"/>
      <c r="AN21" s="19"/>
      <c r="AQ21" s="56"/>
      <c r="AS21" s="101"/>
      <c r="AT21" s="111"/>
      <c r="AU21" s="105"/>
      <c r="AV21" s="45"/>
      <c r="AW21" s="55"/>
      <c r="AX21" s="55"/>
      <c r="AY21" s="55"/>
      <c r="AZ21" s="55"/>
    </row>
    <row r="22" spans="1:52" x14ac:dyDescent="0.25">
      <c r="A22" s="1" t="s">
        <v>11</v>
      </c>
      <c r="B22" s="7"/>
      <c r="C22" s="46"/>
      <c r="D22" s="76"/>
      <c r="E22" s="40" t="s">
        <v>26</v>
      </c>
      <c r="F22" s="78"/>
      <c r="G22" s="74"/>
      <c r="H22" s="66">
        <v>4.7243999999999993</v>
      </c>
      <c r="I22" s="37"/>
      <c r="J22" s="37"/>
      <c r="K22" s="37"/>
      <c r="L22" s="37"/>
      <c r="M22" s="24"/>
      <c r="P22" s="30"/>
      <c r="S22" s="45"/>
      <c r="T22" s="157"/>
      <c r="U22" s="45"/>
      <c r="Y22" s="30"/>
      <c r="AA22" s="55"/>
      <c r="AB22" s="5"/>
      <c r="AC22" s="56"/>
      <c r="AF22" s="30"/>
      <c r="AH22" s="55"/>
      <c r="AJ22" s="56"/>
      <c r="AL22" s="17"/>
      <c r="AM22" s="18"/>
      <c r="AN22" s="19"/>
      <c r="AQ22" s="56"/>
      <c r="AS22" s="101"/>
      <c r="AT22" s="111"/>
      <c r="AU22" s="102"/>
      <c r="AV22" s="45"/>
      <c r="AW22" s="55"/>
      <c r="AX22" s="55"/>
      <c r="AY22" s="55"/>
      <c r="AZ22" s="55"/>
    </row>
    <row r="23" spans="1:52" x14ac:dyDescent="0.25">
      <c r="A23" s="1" t="s">
        <v>7</v>
      </c>
      <c r="B23" s="7">
        <v>10</v>
      </c>
      <c r="C23" s="46" t="s">
        <v>53</v>
      </c>
      <c r="D23" s="79"/>
      <c r="E23" s="3"/>
      <c r="F23" s="82"/>
      <c r="G23" s="74"/>
      <c r="H23" s="66">
        <v>0.62991999999999992</v>
      </c>
      <c r="I23" s="37"/>
      <c r="J23" s="37"/>
      <c r="K23" s="37"/>
      <c r="L23" s="37"/>
      <c r="M23" s="12"/>
      <c r="O23" s="4"/>
      <c r="P23" s="28"/>
      <c r="Q23" s="4"/>
      <c r="S23" s="45"/>
      <c r="T23" s="157"/>
      <c r="U23" s="45"/>
      <c r="Y23" s="30"/>
      <c r="AA23" s="55"/>
      <c r="AB23" s="5"/>
      <c r="AC23" s="56"/>
      <c r="AF23" s="30"/>
      <c r="AH23" s="55"/>
      <c r="AJ23" s="56"/>
      <c r="AL23" s="17"/>
      <c r="AM23" s="18"/>
      <c r="AN23" s="19"/>
      <c r="AQ23" s="56"/>
      <c r="AS23" s="106"/>
      <c r="AT23" s="111"/>
      <c r="AU23" s="107"/>
      <c r="AV23" s="45"/>
      <c r="AW23" s="55"/>
      <c r="AX23" s="55"/>
      <c r="AY23" s="55"/>
      <c r="AZ23" s="55"/>
    </row>
    <row r="24" spans="1:52" x14ac:dyDescent="0.25">
      <c r="A24" s="1" t="s">
        <v>12</v>
      </c>
      <c r="B24" s="7"/>
      <c r="C24" s="46"/>
      <c r="D24" s="80"/>
      <c r="E24" s="41" t="s">
        <v>26</v>
      </c>
      <c r="F24" s="81"/>
      <c r="G24" s="74"/>
      <c r="H24" s="66">
        <v>3.9369999999999998</v>
      </c>
      <c r="I24" s="37"/>
      <c r="J24" s="37"/>
      <c r="K24" s="37"/>
      <c r="L24" s="37"/>
      <c r="M24" s="24"/>
      <c r="P24" s="30"/>
      <c r="S24" s="45"/>
      <c r="T24" s="157"/>
      <c r="U24" s="45"/>
      <c r="Y24" s="30"/>
      <c r="AA24" s="55"/>
      <c r="AB24" s="5"/>
      <c r="AC24" s="56"/>
      <c r="AF24" s="30"/>
      <c r="AH24" s="55"/>
      <c r="AJ24" s="56"/>
      <c r="AL24" s="17"/>
      <c r="AM24" s="18"/>
      <c r="AN24" s="19"/>
      <c r="AQ24" s="56"/>
      <c r="AS24" s="67"/>
      <c r="AT24" s="111"/>
      <c r="AU24" s="75"/>
      <c r="AV24" s="45"/>
      <c r="AW24" s="56"/>
      <c r="AX24" s="56"/>
      <c r="AY24" s="55"/>
      <c r="AZ24" s="55"/>
    </row>
    <row r="25" spans="1:52" x14ac:dyDescent="0.25">
      <c r="A25" s="1" t="s">
        <v>7</v>
      </c>
      <c r="B25" s="7">
        <v>11</v>
      </c>
      <c r="C25" s="95" t="s">
        <v>40</v>
      </c>
      <c r="D25" s="76"/>
      <c r="E25" s="3"/>
      <c r="F25" s="83"/>
      <c r="G25" s="74"/>
      <c r="H25" s="66">
        <v>0.62991999999999992</v>
      </c>
      <c r="I25" s="174"/>
      <c r="J25" s="174"/>
      <c r="K25" s="174"/>
      <c r="L25" s="174"/>
      <c r="M25" s="12"/>
      <c r="P25" s="30"/>
      <c r="S25" s="45"/>
      <c r="T25" s="157"/>
      <c r="U25" s="45"/>
      <c r="Y25" s="30"/>
      <c r="AA25" s="55"/>
      <c r="AB25" s="5"/>
      <c r="AC25" s="56"/>
      <c r="AF25" s="30"/>
      <c r="AH25" s="55"/>
      <c r="AJ25" s="56"/>
      <c r="AL25" s="17"/>
      <c r="AM25" s="18"/>
      <c r="AN25" s="19"/>
      <c r="AQ25" s="56"/>
      <c r="AS25" s="101"/>
      <c r="AT25" s="111"/>
      <c r="AU25" s="105"/>
      <c r="AV25" s="45"/>
      <c r="AW25" s="56"/>
      <c r="AX25" s="56"/>
      <c r="AY25" s="55"/>
      <c r="AZ25" s="55"/>
    </row>
    <row r="26" spans="1:52" x14ac:dyDescent="0.25">
      <c r="A26" s="1" t="s">
        <v>11</v>
      </c>
      <c r="B26" s="7"/>
      <c r="C26" s="46"/>
      <c r="D26" s="76"/>
      <c r="E26" s="40" t="s">
        <v>26</v>
      </c>
      <c r="F26" s="78"/>
      <c r="G26" s="74"/>
      <c r="H26" s="66">
        <v>4.7243999999999993</v>
      </c>
      <c r="I26" s="37"/>
      <c r="J26" s="37"/>
      <c r="K26" s="37"/>
      <c r="L26" s="37"/>
      <c r="M26" s="24"/>
      <c r="P26" s="30"/>
      <c r="S26" s="45"/>
      <c r="T26" s="157"/>
      <c r="U26" s="45"/>
      <c r="Y26" s="30"/>
      <c r="AA26" s="55"/>
      <c r="AB26" s="5"/>
      <c r="AC26" s="56"/>
      <c r="AF26" s="30"/>
      <c r="AH26" s="55"/>
      <c r="AJ26" s="56"/>
      <c r="AL26" s="17"/>
      <c r="AM26" s="18"/>
      <c r="AN26" s="19"/>
      <c r="AQ26" s="56"/>
      <c r="AS26" s="101"/>
      <c r="AT26" s="111"/>
      <c r="AU26" s="102"/>
      <c r="AV26" s="45"/>
      <c r="AW26" s="56"/>
      <c r="AX26" s="56"/>
      <c r="AY26" s="55"/>
      <c r="AZ26" s="55"/>
    </row>
    <row r="27" spans="1:52" x14ac:dyDescent="0.25">
      <c r="A27" s="1" t="s">
        <v>7</v>
      </c>
      <c r="B27" s="7">
        <v>12</v>
      </c>
      <c r="C27" s="46" t="s">
        <v>53</v>
      </c>
      <c r="D27" s="79"/>
      <c r="E27" s="3"/>
      <c r="F27" s="82"/>
      <c r="G27" s="74"/>
      <c r="H27" s="66">
        <v>0.62991999999999992</v>
      </c>
      <c r="I27" s="37"/>
      <c r="J27" s="37"/>
      <c r="K27" s="37"/>
      <c r="L27" s="37"/>
      <c r="M27" s="12"/>
      <c r="P27" s="30"/>
      <c r="S27" s="45"/>
      <c r="T27" s="157"/>
      <c r="U27" s="45"/>
      <c r="Y27" s="30"/>
      <c r="AB27" s="5"/>
      <c r="AC27" s="56"/>
      <c r="AF27" s="30"/>
      <c r="AJ27" s="56"/>
      <c r="AL27" s="17"/>
      <c r="AM27" s="18"/>
      <c r="AN27" s="19"/>
      <c r="AQ27" s="56"/>
      <c r="AS27" s="106"/>
      <c r="AT27" s="111"/>
      <c r="AU27" s="107"/>
      <c r="AV27" s="45"/>
      <c r="AW27" s="56"/>
      <c r="AX27" s="56"/>
      <c r="AY27" s="55"/>
      <c r="AZ27" s="55"/>
    </row>
    <row r="28" spans="1:52" x14ac:dyDescent="0.25">
      <c r="A28" s="1" t="s">
        <v>12</v>
      </c>
      <c r="B28" s="7"/>
      <c r="C28" s="94"/>
      <c r="D28" s="80"/>
      <c r="E28" s="41" t="s">
        <v>26</v>
      </c>
      <c r="F28" s="81"/>
      <c r="G28" s="73"/>
      <c r="H28" s="66">
        <v>3.9369999999999998</v>
      </c>
      <c r="I28" s="37"/>
      <c r="J28" s="37"/>
      <c r="K28" s="37"/>
      <c r="L28" s="37"/>
      <c r="M28" s="25"/>
      <c r="P28" s="30"/>
      <c r="S28" s="45"/>
      <c r="T28" s="157"/>
      <c r="U28" s="45"/>
      <c r="Y28" s="30"/>
      <c r="AB28" s="5"/>
      <c r="AC28" s="56"/>
      <c r="AF28" s="30"/>
      <c r="AJ28" s="56"/>
      <c r="AL28" s="17"/>
      <c r="AM28" s="18"/>
      <c r="AN28" s="19"/>
      <c r="AQ28" s="56"/>
      <c r="AS28" s="67"/>
      <c r="AT28" s="111"/>
      <c r="AU28" s="75"/>
      <c r="AV28" s="116"/>
      <c r="AW28" s="56"/>
      <c r="AX28" s="56"/>
      <c r="AY28" s="55"/>
      <c r="AZ28" s="55"/>
    </row>
    <row r="29" spans="1:52" x14ac:dyDescent="0.25">
      <c r="A29" s="1" t="s">
        <v>7</v>
      </c>
      <c r="B29" s="7">
        <v>13</v>
      </c>
      <c r="C29" s="95" t="s">
        <v>40</v>
      </c>
      <c r="D29" s="76"/>
      <c r="E29" s="3"/>
      <c r="F29" s="83"/>
      <c r="G29" s="74"/>
      <c r="H29" s="66">
        <v>0.62991999999999992</v>
      </c>
      <c r="I29" s="37"/>
      <c r="J29" s="37"/>
      <c r="K29" s="37"/>
      <c r="L29" s="37"/>
      <c r="M29" s="12"/>
      <c r="P29" s="30"/>
      <c r="S29" s="45"/>
      <c r="T29" s="157"/>
      <c r="U29" s="45"/>
      <c r="Y29" s="30"/>
      <c r="AA29" s="55"/>
      <c r="AB29" s="5"/>
      <c r="AC29" s="56"/>
      <c r="AF29" s="30"/>
      <c r="AH29" s="55"/>
      <c r="AJ29" s="56"/>
      <c r="AL29" s="17"/>
      <c r="AM29" s="18"/>
      <c r="AN29" s="19"/>
      <c r="AQ29" s="56"/>
      <c r="AS29" s="101"/>
      <c r="AT29" s="111"/>
      <c r="AU29" s="105"/>
      <c r="AV29" s="45"/>
      <c r="AW29" s="56"/>
      <c r="AX29" s="56"/>
      <c r="AY29" s="55"/>
      <c r="AZ29" s="55"/>
    </row>
    <row r="30" spans="1:52" x14ac:dyDescent="0.25">
      <c r="A30" s="1" t="s">
        <v>11</v>
      </c>
      <c r="B30" s="7"/>
      <c r="C30" s="46"/>
      <c r="D30" s="76"/>
      <c r="E30" s="40" t="s">
        <v>26</v>
      </c>
      <c r="F30" s="78"/>
      <c r="G30" s="74"/>
      <c r="H30" s="66">
        <v>4.7243999999999993</v>
      </c>
      <c r="I30" s="37"/>
      <c r="J30" s="37"/>
      <c r="K30" s="37"/>
      <c r="L30" s="37"/>
      <c r="M30" s="24"/>
      <c r="P30" s="30"/>
      <c r="S30" s="45"/>
      <c r="T30" s="157"/>
      <c r="U30" s="45"/>
      <c r="Y30" s="30"/>
      <c r="AA30" s="55"/>
      <c r="AB30" s="5"/>
      <c r="AC30" s="56"/>
      <c r="AF30" s="30"/>
      <c r="AH30" s="55"/>
      <c r="AJ30" s="56"/>
      <c r="AL30" s="17"/>
      <c r="AM30" s="18"/>
      <c r="AN30" s="19"/>
      <c r="AQ30" s="56"/>
      <c r="AS30" s="101"/>
      <c r="AT30" s="111"/>
      <c r="AU30" s="102"/>
      <c r="AV30" s="45"/>
      <c r="AW30" s="117"/>
      <c r="AX30" s="117"/>
      <c r="AY30" s="55"/>
      <c r="AZ30" s="55"/>
    </row>
    <row r="31" spans="1:52" x14ac:dyDescent="0.25">
      <c r="A31" s="1" t="s">
        <v>7</v>
      </c>
      <c r="B31" s="7">
        <v>14</v>
      </c>
      <c r="C31" s="46" t="s">
        <v>53</v>
      </c>
      <c r="D31" s="79"/>
      <c r="E31" s="3"/>
      <c r="F31" s="82"/>
      <c r="G31" s="74"/>
      <c r="H31" s="66">
        <v>0.62991999999999992</v>
      </c>
      <c r="I31" s="37"/>
      <c r="J31" s="37"/>
      <c r="K31" s="37"/>
      <c r="L31" s="37"/>
      <c r="M31" s="12"/>
      <c r="P31" s="30"/>
      <c r="S31" s="45"/>
      <c r="T31" s="157"/>
      <c r="U31" s="45"/>
      <c r="Y31" s="30"/>
      <c r="AA31" s="55"/>
      <c r="AB31" s="5"/>
      <c r="AC31" s="56"/>
      <c r="AF31" s="30"/>
      <c r="AH31" s="55"/>
      <c r="AJ31" s="56"/>
      <c r="AL31" s="17"/>
      <c r="AM31" s="18"/>
      <c r="AN31" s="19"/>
      <c r="AQ31" s="56"/>
      <c r="AS31" s="106"/>
      <c r="AT31" s="111"/>
      <c r="AU31" s="85"/>
      <c r="AV31" s="118"/>
      <c r="AW31" s="55"/>
      <c r="AX31" s="55"/>
      <c r="AY31" s="55"/>
      <c r="AZ31" s="55"/>
    </row>
    <row r="32" spans="1:52" x14ac:dyDescent="0.25">
      <c r="A32" s="1" t="s">
        <v>12</v>
      </c>
      <c r="B32" s="7"/>
      <c r="C32" s="46"/>
      <c r="D32" s="80"/>
      <c r="E32" s="41" t="s">
        <v>26</v>
      </c>
      <c r="F32" s="81"/>
      <c r="G32" s="73"/>
      <c r="H32" s="66">
        <v>3.9369999999999998</v>
      </c>
      <c r="I32" s="37"/>
      <c r="J32" s="37"/>
      <c r="K32" s="37"/>
      <c r="L32" s="37"/>
      <c r="M32" s="24"/>
      <c r="P32" s="30"/>
      <c r="S32" s="45"/>
      <c r="T32" s="157"/>
      <c r="U32" s="45"/>
      <c r="Y32" s="30"/>
      <c r="AA32" s="55"/>
      <c r="AB32" s="5"/>
      <c r="AC32" s="56"/>
      <c r="AF32" s="30"/>
      <c r="AH32" s="55"/>
      <c r="AJ32" s="56"/>
      <c r="AL32" s="17"/>
      <c r="AM32" s="18"/>
      <c r="AN32" s="19"/>
      <c r="AQ32" s="56"/>
      <c r="AS32" s="67"/>
      <c r="AT32" s="111"/>
      <c r="AU32" s="75"/>
      <c r="AV32" s="45"/>
      <c r="AW32" s="55"/>
      <c r="AX32" s="55"/>
      <c r="AY32" s="55"/>
      <c r="AZ32" s="55"/>
    </row>
    <row r="33" spans="1:52" x14ac:dyDescent="0.25">
      <c r="A33" s="1" t="s">
        <v>7</v>
      </c>
      <c r="B33" s="7">
        <v>15</v>
      </c>
      <c r="C33" s="95" t="s">
        <v>40</v>
      </c>
      <c r="D33" s="76"/>
      <c r="E33" s="3"/>
      <c r="F33" s="77"/>
      <c r="G33" s="73"/>
      <c r="H33" s="66">
        <v>0.62991999999999992</v>
      </c>
      <c r="I33" s="39"/>
      <c r="J33" s="39"/>
      <c r="K33" s="38"/>
      <c r="L33" s="38"/>
      <c r="M33" s="12"/>
      <c r="P33" s="30"/>
      <c r="S33" s="45"/>
      <c r="T33" s="157"/>
      <c r="U33" s="45"/>
      <c r="Y33" s="30"/>
      <c r="AB33" s="5"/>
      <c r="AC33" s="56"/>
      <c r="AF33" s="30"/>
      <c r="AJ33" s="56"/>
      <c r="AL33" s="17"/>
      <c r="AM33" s="18"/>
      <c r="AN33" s="19"/>
      <c r="AQ33" s="56"/>
      <c r="AS33" s="106"/>
      <c r="AT33" s="111"/>
      <c r="AU33" s="107"/>
      <c r="AV33" s="55"/>
      <c r="AW33" s="55"/>
      <c r="AX33" s="55"/>
      <c r="AY33" s="55"/>
      <c r="AZ33" s="55"/>
    </row>
    <row r="34" spans="1:52" x14ac:dyDescent="0.25">
      <c r="A34" s="1" t="s">
        <v>11</v>
      </c>
      <c r="B34" s="7"/>
      <c r="C34" s="46"/>
      <c r="D34" s="76"/>
      <c r="E34" s="40" t="s">
        <v>26</v>
      </c>
      <c r="F34" s="78"/>
      <c r="G34" s="74"/>
      <c r="H34" s="66">
        <v>4.7243999999999993</v>
      </c>
      <c r="I34" s="37"/>
      <c r="J34" s="37"/>
      <c r="K34" s="37"/>
      <c r="L34" s="37"/>
      <c r="M34" s="25"/>
      <c r="P34" s="30"/>
      <c r="S34" s="45"/>
      <c r="T34" s="157"/>
      <c r="U34" s="45"/>
      <c r="Y34" s="30"/>
      <c r="AB34" s="5"/>
      <c r="AC34" s="56"/>
      <c r="AF34" s="30"/>
      <c r="AJ34" s="56"/>
      <c r="AL34" s="17"/>
      <c r="AM34" s="18"/>
      <c r="AN34" s="19"/>
      <c r="AQ34" s="56"/>
      <c r="AS34" s="119"/>
      <c r="AT34" s="111"/>
      <c r="AU34" s="120"/>
      <c r="AV34" s="45"/>
      <c r="AW34" s="55"/>
      <c r="AX34" s="55"/>
      <c r="AY34" s="55"/>
      <c r="AZ34" s="55"/>
    </row>
    <row r="35" spans="1:52" x14ac:dyDescent="0.25">
      <c r="A35" s="1" t="s">
        <v>7</v>
      </c>
      <c r="B35" s="7">
        <v>16</v>
      </c>
      <c r="C35" s="46" t="s">
        <v>53</v>
      </c>
      <c r="D35" s="79"/>
      <c r="E35" s="3"/>
      <c r="F35" s="82"/>
      <c r="G35" s="73"/>
      <c r="H35" s="66">
        <v>0.62991999999999992</v>
      </c>
      <c r="I35" s="37"/>
      <c r="J35" s="37"/>
      <c r="K35" s="37"/>
      <c r="L35" s="37"/>
      <c r="M35" s="12"/>
      <c r="P35" s="30"/>
      <c r="S35" s="45"/>
      <c r="T35" s="157"/>
      <c r="U35" s="45"/>
      <c r="Y35" s="30"/>
      <c r="AB35" s="5"/>
      <c r="AC35" s="56"/>
      <c r="AF35" s="30"/>
      <c r="AJ35" s="56"/>
      <c r="AL35" s="17"/>
      <c r="AM35" s="18"/>
      <c r="AN35" s="19"/>
      <c r="AQ35" s="56"/>
      <c r="AS35" s="122"/>
      <c r="AT35" s="111"/>
      <c r="AU35" s="123"/>
      <c r="AV35" s="45"/>
      <c r="AW35" s="55"/>
      <c r="AX35" s="55"/>
      <c r="AY35" s="55"/>
      <c r="AZ35" s="55"/>
    </row>
    <row r="36" spans="1:52" x14ac:dyDescent="0.25">
      <c r="A36" s="1" t="s">
        <v>12</v>
      </c>
      <c r="B36" s="44"/>
      <c r="D36" s="80"/>
      <c r="E36" s="41" t="s">
        <v>26</v>
      </c>
      <c r="F36" s="81"/>
      <c r="G36" s="73"/>
      <c r="H36" s="66">
        <v>43.307000000000002</v>
      </c>
      <c r="I36" s="39"/>
      <c r="J36" s="39"/>
      <c r="K36" s="38"/>
      <c r="L36" s="38"/>
      <c r="M36" s="12"/>
      <c r="P36" s="28"/>
      <c r="S36" s="45"/>
      <c r="T36" s="157"/>
      <c r="U36" s="45"/>
      <c r="Y36" s="30"/>
      <c r="AB36" s="5"/>
      <c r="AC36" s="56"/>
      <c r="AF36" s="30"/>
      <c r="AJ36" s="56"/>
      <c r="AL36" s="17"/>
      <c r="AM36" s="18"/>
      <c r="AN36" s="19"/>
      <c r="AQ36" s="56"/>
      <c r="AS36" s="124"/>
      <c r="AT36" s="111"/>
      <c r="AU36" s="125"/>
      <c r="AV36" s="45"/>
      <c r="AW36" s="55"/>
      <c r="AX36" s="55"/>
      <c r="AY36" s="55"/>
      <c r="AZ36" s="55"/>
    </row>
    <row r="37" spans="1:52" ht="17.25" thickBot="1" x14ac:dyDescent="0.3">
      <c r="A37" s="1" t="s">
        <v>7</v>
      </c>
      <c r="B37" s="7">
        <v>17</v>
      </c>
      <c r="C37" s="46" t="s">
        <v>28</v>
      </c>
      <c r="D37" s="76"/>
      <c r="E37" s="3"/>
      <c r="F37" s="77"/>
      <c r="G37" s="73"/>
      <c r="H37" s="66">
        <v>0.62991999999999992</v>
      </c>
      <c r="I37" s="37"/>
      <c r="J37" s="37"/>
      <c r="K37" s="37"/>
      <c r="L37" s="37"/>
      <c r="M37" s="12"/>
      <c r="P37" s="28"/>
      <c r="S37" s="45"/>
      <c r="T37" s="157"/>
      <c r="U37" s="45"/>
      <c r="X37" s="11"/>
      <c r="Y37" s="30"/>
      <c r="Z37" s="11"/>
      <c r="AA37" s="57"/>
      <c r="AB37" s="5"/>
      <c r="AC37" s="56"/>
      <c r="AF37" s="30"/>
      <c r="AH37" s="55"/>
      <c r="AJ37" s="56"/>
      <c r="AL37" s="26"/>
      <c r="AM37" s="18"/>
      <c r="AN37" s="27"/>
      <c r="AO37" s="11"/>
      <c r="AQ37" s="56"/>
      <c r="AS37" s="106"/>
      <c r="AT37" s="111"/>
      <c r="AU37" s="107"/>
      <c r="AV37" s="45"/>
      <c r="AW37" s="55"/>
      <c r="AX37" s="55"/>
      <c r="AY37" s="55"/>
      <c r="AZ37" s="55"/>
    </row>
    <row r="38" spans="1:52" x14ac:dyDescent="0.25">
      <c r="A38" s="1" t="s">
        <v>11</v>
      </c>
      <c r="C38" s="46"/>
      <c r="D38" s="76"/>
      <c r="E38" s="40" t="s">
        <v>26</v>
      </c>
      <c r="F38" s="78"/>
      <c r="G38" s="73"/>
      <c r="H38" s="66">
        <v>4.7243999999999993</v>
      </c>
      <c r="I38" s="37"/>
      <c r="J38" s="37"/>
      <c r="K38" s="37"/>
      <c r="L38" s="37"/>
      <c r="M38" s="12"/>
      <c r="P38" s="30"/>
      <c r="S38" s="45"/>
      <c r="T38" s="157"/>
      <c r="U38" s="45"/>
      <c r="X38" s="59"/>
      <c r="Y38" s="60"/>
      <c r="Z38" s="61"/>
      <c r="AA38" s="55"/>
      <c r="AB38" s="5"/>
      <c r="AC38" s="56"/>
      <c r="AF38" s="30"/>
      <c r="AH38" s="55"/>
      <c r="AJ38" s="56"/>
      <c r="AL38" s="29"/>
      <c r="AM38" s="30"/>
      <c r="AO38" s="13"/>
      <c r="AQ38" s="56"/>
      <c r="AS38" s="119"/>
      <c r="AT38" s="113"/>
      <c r="AU38" s="120"/>
      <c r="AV38" s="45"/>
      <c r="AW38" s="55"/>
      <c r="AX38" s="55"/>
      <c r="AY38" s="55"/>
      <c r="AZ38" s="55"/>
    </row>
    <row r="39" spans="1:52" x14ac:dyDescent="0.25">
      <c r="A39" s="1" t="s">
        <v>7</v>
      </c>
      <c r="B39" s="7">
        <v>18</v>
      </c>
      <c r="C39" s="48" t="s">
        <v>41</v>
      </c>
      <c r="D39" s="76"/>
      <c r="E39" s="3"/>
      <c r="F39" s="77"/>
      <c r="G39" s="73"/>
      <c r="H39" s="66">
        <v>0.62991999999999992</v>
      </c>
      <c r="I39" s="39"/>
      <c r="J39" s="39"/>
      <c r="K39" s="38"/>
      <c r="L39" s="38"/>
      <c r="M39" s="12"/>
      <c r="P39" s="30"/>
      <c r="S39" s="45"/>
      <c r="T39" s="157"/>
      <c r="U39" s="45"/>
      <c r="X39" s="59"/>
      <c r="Y39" s="60"/>
      <c r="Z39" s="61"/>
      <c r="AA39" s="55"/>
      <c r="AB39" s="5"/>
      <c r="AC39" s="56"/>
      <c r="AE39" s="59"/>
      <c r="AF39" s="60"/>
      <c r="AG39" s="61"/>
      <c r="AH39" s="55"/>
      <c r="AJ39" s="56"/>
      <c r="AM39" s="30"/>
      <c r="AQ39" s="56"/>
      <c r="AS39" s="106"/>
      <c r="AT39" s="111"/>
      <c r="AU39" s="107"/>
      <c r="AV39" s="45"/>
      <c r="AW39" s="51"/>
      <c r="AX39" s="108"/>
      <c r="AY39" s="55"/>
      <c r="AZ39" s="55"/>
    </row>
    <row r="40" spans="1:52" x14ac:dyDescent="0.25">
      <c r="A40" s="1" t="s">
        <v>55</v>
      </c>
      <c r="B40" s="7"/>
      <c r="D40" s="80"/>
      <c r="E40" s="41" t="s">
        <v>26</v>
      </c>
      <c r="F40" s="81"/>
      <c r="G40" s="73"/>
      <c r="H40" s="66">
        <v>3.9369999999999998</v>
      </c>
      <c r="I40" s="39"/>
      <c r="J40" s="39"/>
      <c r="K40" s="38"/>
      <c r="L40" s="38"/>
      <c r="M40" s="12"/>
      <c r="P40" s="30"/>
      <c r="S40" s="45"/>
      <c r="T40" s="157"/>
      <c r="U40" s="45"/>
      <c r="X40" s="59"/>
      <c r="Y40" s="60"/>
      <c r="Z40" s="61"/>
      <c r="AA40" s="55"/>
      <c r="AB40" s="5"/>
      <c r="AC40" s="56"/>
      <c r="AE40" s="59"/>
      <c r="AF40" s="60"/>
      <c r="AG40" s="61"/>
      <c r="AH40" s="55"/>
      <c r="AJ40" s="56"/>
      <c r="AM40" s="30"/>
      <c r="AQ40" s="56"/>
      <c r="AS40" s="119"/>
      <c r="AT40" s="111"/>
      <c r="AU40" s="120"/>
      <c r="AV40" s="116"/>
      <c r="AW40" s="109"/>
      <c r="AX40" s="58"/>
      <c r="AY40" s="55"/>
      <c r="AZ40" s="55"/>
    </row>
    <row r="41" spans="1:52" x14ac:dyDescent="0.25">
      <c r="A41" s="1" t="s">
        <v>7</v>
      </c>
      <c r="B41" s="7">
        <v>19</v>
      </c>
      <c r="C41" s="46" t="s">
        <v>53</v>
      </c>
      <c r="D41" s="79"/>
      <c r="E41" s="3"/>
      <c r="F41" s="82"/>
      <c r="G41" s="73"/>
      <c r="H41" s="66">
        <v>0.62991999999999992</v>
      </c>
      <c r="I41" s="37"/>
      <c r="J41" s="37"/>
      <c r="K41" s="37"/>
      <c r="L41" s="37"/>
      <c r="M41" s="12"/>
      <c r="P41" s="30"/>
      <c r="S41" s="45"/>
      <c r="T41" s="157"/>
      <c r="U41" s="45"/>
      <c r="X41" s="59"/>
      <c r="Y41" s="60"/>
      <c r="Z41" s="61"/>
      <c r="AA41" s="55"/>
      <c r="AB41" s="5"/>
      <c r="AC41" s="56"/>
      <c r="AE41" s="59"/>
      <c r="AF41" s="60"/>
      <c r="AG41" s="61"/>
      <c r="AH41" s="55"/>
      <c r="AJ41" s="56"/>
      <c r="AL41" s="4"/>
      <c r="AM41" s="28"/>
      <c r="AN41" s="4"/>
      <c r="AQ41" s="56"/>
      <c r="AS41" s="122"/>
      <c r="AT41" s="111"/>
      <c r="AU41" s="123"/>
      <c r="AV41" s="45"/>
      <c r="AW41" s="55"/>
      <c r="AX41" s="55"/>
      <c r="AY41" s="55"/>
      <c r="AZ41" s="55"/>
    </row>
    <row r="42" spans="1:52" x14ac:dyDescent="0.25">
      <c r="A42" s="1" t="s">
        <v>56</v>
      </c>
      <c r="B42" s="7"/>
      <c r="D42" s="76"/>
      <c r="E42" s="40" t="s">
        <v>26</v>
      </c>
      <c r="F42" s="78"/>
      <c r="G42" s="73"/>
      <c r="H42" s="66">
        <v>4.7243999999999993</v>
      </c>
      <c r="I42" s="39"/>
      <c r="J42" s="39"/>
      <c r="K42" s="38"/>
      <c r="L42" s="38"/>
      <c r="M42" s="12"/>
      <c r="P42" s="28"/>
      <c r="S42" s="45"/>
      <c r="T42" s="157"/>
      <c r="U42" s="45"/>
      <c r="X42" s="59"/>
      <c r="Y42" s="60"/>
      <c r="Z42" s="61"/>
      <c r="AA42" s="55"/>
      <c r="AB42" s="5"/>
      <c r="AC42" s="56"/>
      <c r="AE42" s="59"/>
      <c r="AF42" s="60"/>
      <c r="AG42" s="61"/>
      <c r="AH42" s="55"/>
      <c r="AJ42" s="56"/>
      <c r="AL42" s="4"/>
      <c r="AM42" s="28"/>
      <c r="AN42" s="4"/>
      <c r="AQ42" s="56"/>
      <c r="AS42" s="124"/>
      <c r="AT42" s="111"/>
      <c r="AU42" s="125"/>
      <c r="AV42" s="45"/>
      <c r="AW42" s="55"/>
      <c r="AX42" s="55"/>
      <c r="AY42" s="55"/>
      <c r="AZ42" s="55"/>
    </row>
    <row r="43" spans="1:52" x14ac:dyDescent="0.25">
      <c r="A43" s="1" t="s">
        <v>7</v>
      </c>
      <c r="B43" s="7">
        <v>20</v>
      </c>
      <c r="C43" s="95" t="s">
        <v>40</v>
      </c>
      <c r="D43" s="76"/>
      <c r="E43" s="3"/>
      <c r="F43" s="77"/>
      <c r="G43" s="73"/>
      <c r="H43" s="66">
        <v>0.62991999999999992</v>
      </c>
      <c r="I43" s="37"/>
      <c r="J43" s="37"/>
      <c r="K43" s="37"/>
      <c r="L43" s="37"/>
      <c r="M43" s="12"/>
      <c r="P43" s="28"/>
      <c r="S43" s="45"/>
      <c r="T43" s="157"/>
      <c r="U43" s="45"/>
      <c r="X43" s="59"/>
      <c r="Y43" s="60"/>
      <c r="Z43" s="61"/>
      <c r="AA43" s="55"/>
      <c r="AB43" s="5"/>
      <c r="AC43" s="56"/>
      <c r="AE43" s="59"/>
      <c r="AF43" s="60"/>
      <c r="AG43" s="61"/>
      <c r="AH43" s="55"/>
      <c r="AJ43" s="56"/>
      <c r="AM43" s="30"/>
      <c r="AQ43" s="56"/>
      <c r="AS43" s="106"/>
      <c r="AT43" s="111"/>
      <c r="AU43" s="107"/>
      <c r="AV43" s="45"/>
      <c r="AW43" s="55"/>
      <c r="AX43" s="55"/>
      <c r="AY43" s="55"/>
      <c r="AZ43" s="55"/>
    </row>
    <row r="44" spans="1:52" x14ac:dyDescent="0.25">
      <c r="A44" s="1" t="s">
        <v>55</v>
      </c>
      <c r="B44" s="7"/>
      <c r="C44" s="46"/>
      <c r="D44" s="80"/>
      <c r="E44" s="41" t="s">
        <v>26</v>
      </c>
      <c r="F44" s="81"/>
      <c r="G44" s="73"/>
      <c r="H44" s="66">
        <v>3.9369999999999998</v>
      </c>
      <c r="I44" s="37"/>
      <c r="J44" s="37"/>
      <c r="K44" s="37"/>
      <c r="L44" s="37"/>
      <c r="M44" s="12"/>
      <c r="P44" s="30"/>
      <c r="S44" s="45"/>
      <c r="T44" s="157"/>
      <c r="U44" s="45"/>
      <c r="X44" s="59"/>
      <c r="Y44" s="60"/>
      <c r="Z44" s="61"/>
      <c r="AA44" s="55"/>
      <c r="AB44" s="5"/>
      <c r="AC44" s="56"/>
      <c r="AE44" s="59"/>
      <c r="AF44" s="60"/>
      <c r="AG44" s="61"/>
      <c r="AH44" s="55"/>
      <c r="AJ44" s="56"/>
      <c r="AM44" s="30"/>
      <c r="AQ44" s="56"/>
      <c r="AS44" s="119"/>
      <c r="AT44" s="113"/>
      <c r="AU44" s="120"/>
      <c r="AV44" s="45"/>
      <c r="AW44" s="55"/>
      <c r="AX44" s="55"/>
      <c r="AY44" s="55"/>
      <c r="AZ44" s="55"/>
    </row>
    <row r="45" spans="1:52" x14ac:dyDescent="0.25">
      <c r="A45" s="1" t="s">
        <v>7</v>
      </c>
      <c r="B45" s="7">
        <v>21</v>
      </c>
      <c r="C45" s="46" t="s">
        <v>53</v>
      </c>
      <c r="D45" s="76"/>
      <c r="E45" s="3"/>
      <c r="F45" s="83"/>
      <c r="G45" s="73"/>
      <c r="H45" s="66">
        <v>0.62991999999999992</v>
      </c>
      <c r="I45" s="37"/>
      <c r="J45" s="37"/>
      <c r="K45" s="37"/>
      <c r="L45" s="37"/>
      <c r="M45" s="12"/>
      <c r="P45" s="30"/>
      <c r="S45" s="45"/>
      <c r="T45" s="157"/>
      <c r="U45" s="45"/>
      <c r="X45" s="59"/>
      <c r="Y45" s="60"/>
      <c r="Z45" s="61"/>
      <c r="AA45" s="55"/>
      <c r="AB45" s="5"/>
      <c r="AC45" s="56"/>
      <c r="AE45" s="59"/>
      <c r="AF45" s="60"/>
      <c r="AG45" s="61"/>
      <c r="AH45" s="55"/>
      <c r="AJ45" s="56"/>
      <c r="AL45" s="4"/>
      <c r="AM45" s="28"/>
      <c r="AN45" s="4"/>
      <c r="AQ45" s="56"/>
      <c r="AS45" s="119"/>
      <c r="AT45" s="113"/>
      <c r="AU45" s="120"/>
      <c r="AV45" s="45"/>
      <c r="AW45" s="51"/>
      <c r="AX45" s="108"/>
      <c r="AY45" s="55"/>
      <c r="AZ45" s="130" t="s">
        <v>43</v>
      </c>
    </row>
    <row r="46" spans="1:52" x14ac:dyDescent="0.25">
      <c r="A46" s="1" t="s">
        <v>56</v>
      </c>
      <c r="B46" s="7"/>
      <c r="D46" s="76"/>
      <c r="E46" s="40" t="s">
        <v>26</v>
      </c>
      <c r="F46" s="78"/>
      <c r="G46" s="73"/>
      <c r="H46" s="66">
        <v>4.7243999999999993</v>
      </c>
      <c r="I46" s="39"/>
      <c r="J46" s="39"/>
      <c r="K46" s="38"/>
      <c r="L46" s="38"/>
      <c r="M46" s="7"/>
      <c r="P46" s="30"/>
      <c r="S46" s="45"/>
      <c r="T46" s="157"/>
      <c r="U46" s="45"/>
      <c r="X46" s="59"/>
      <c r="Y46" s="60"/>
      <c r="Z46" s="61"/>
      <c r="AA46" s="55"/>
      <c r="AB46" s="5"/>
      <c r="AC46" s="56"/>
      <c r="AE46" s="59"/>
      <c r="AF46" s="60"/>
      <c r="AG46" s="61"/>
      <c r="AH46" s="55"/>
      <c r="AJ46" s="56"/>
      <c r="AL46" s="4"/>
      <c r="AM46" s="28"/>
      <c r="AN46" s="4"/>
      <c r="AQ46" s="56"/>
      <c r="AS46" s="121"/>
      <c r="AT46" s="113"/>
      <c r="AU46" s="126"/>
      <c r="AV46" s="45"/>
      <c r="AW46" s="127"/>
      <c r="AX46" s="58"/>
      <c r="AY46" s="55"/>
      <c r="AZ46" s="55"/>
    </row>
    <row r="47" spans="1:52" x14ac:dyDescent="0.25">
      <c r="A47" s="1" t="s">
        <v>7</v>
      </c>
      <c r="B47" s="7">
        <v>22</v>
      </c>
      <c r="C47" s="95" t="s">
        <v>40</v>
      </c>
      <c r="D47" s="79"/>
      <c r="E47" s="3"/>
      <c r="F47" s="82"/>
      <c r="G47" s="73"/>
      <c r="H47" s="66">
        <v>0.62991999999999992</v>
      </c>
      <c r="I47" s="39"/>
      <c r="J47" s="39"/>
      <c r="K47" s="38"/>
      <c r="L47" s="38"/>
      <c r="M47" s="7"/>
      <c r="P47" s="30"/>
      <c r="S47" s="45"/>
      <c r="T47" s="157"/>
      <c r="U47" s="45"/>
      <c r="X47" s="59"/>
      <c r="Y47" s="60"/>
      <c r="Z47" s="61"/>
      <c r="AA47" s="55"/>
      <c r="AB47" s="5"/>
      <c r="AC47" s="56"/>
      <c r="AE47" s="59"/>
      <c r="AF47" s="60"/>
      <c r="AG47" s="61"/>
      <c r="AH47" s="55"/>
      <c r="AJ47" s="56"/>
      <c r="AM47" s="30"/>
      <c r="AQ47" s="56"/>
      <c r="AS47" s="128"/>
      <c r="AT47" s="113"/>
      <c r="AU47" s="129"/>
      <c r="AV47" s="45"/>
      <c r="AW47" s="55"/>
      <c r="AX47" s="55"/>
      <c r="AY47" s="55"/>
    </row>
    <row r="48" spans="1:52" x14ac:dyDescent="0.25">
      <c r="A48" s="1" t="s">
        <v>55</v>
      </c>
      <c r="B48" s="7"/>
      <c r="C48" s="46"/>
      <c r="D48" s="80"/>
      <c r="E48" s="41" t="s">
        <v>26</v>
      </c>
      <c r="F48" s="81"/>
      <c r="G48" s="73"/>
      <c r="H48" s="66">
        <v>3.9369999999999998</v>
      </c>
      <c r="I48" s="37"/>
      <c r="J48" s="37"/>
      <c r="K48" s="37"/>
      <c r="L48" s="37"/>
      <c r="M48" s="7"/>
      <c r="P48" s="30"/>
      <c r="S48" s="45"/>
      <c r="T48" s="157"/>
      <c r="U48" s="45"/>
      <c r="X48" s="59"/>
      <c r="Y48" s="60"/>
      <c r="Z48" s="61"/>
      <c r="AA48" s="55"/>
      <c r="AB48" s="5"/>
      <c r="AC48" s="56"/>
      <c r="AE48" s="59"/>
      <c r="AF48" s="60"/>
      <c r="AG48" s="61"/>
      <c r="AH48" s="55"/>
      <c r="AJ48" s="56"/>
      <c r="AM48" s="30"/>
      <c r="AQ48" s="56"/>
      <c r="AS48" s="119"/>
      <c r="AT48" s="113"/>
      <c r="AU48" s="120"/>
      <c r="AV48" s="45"/>
      <c r="AW48" s="55" t="s">
        <v>44</v>
      </c>
      <c r="AX48" s="55"/>
      <c r="AY48" s="55"/>
      <c r="AZ48" s="55"/>
    </row>
    <row r="49" spans="1:52" x14ac:dyDescent="0.25">
      <c r="A49" s="1" t="s">
        <v>7</v>
      </c>
      <c r="B49" s="7">
        <v>23</v>
      </c>
      <c r="C49" s="46" t="s">
        <v>53</v>
      </c>
      <c r="D49" s="79"/>
      <c r="E49" s="3"/>
      <c r="F49" s="82"/>
      <c r="G49" s="73"/>
      <c r="H49" s="66">
        <v>0.62991999999999992</v>
      </c>
      <c r="I49" s="39"/>
      <c r="J49" s="39"/>
      <c r="K49" s="38"/>
      <c r="L49" s="38"/>
      <c r="M49" s="7"/>
      <c r="P49" s="30"/>
      <c r="S49" s="45"/>
      <c r="T49" s="157"/>
      <c r="U49" s="45"/>
      <c r="X49" s="59"/>
      <c r="Y49" s="60"/>
      <c r="Z49" s="61"/>
      <c r="AA49" s="55"/>
      <c r="AB49" s="5"/>
      <c r="AC49" s="56"/>
      <c r="AE49" s="59"/>
      <c r="AF49" s="60"/>
      <c r="AG49" s="61"/>
      <c r="AH49" s="55"/>
      <c r="AJ49" s="56"/>
      <c r="AM49" s="30"/>
      <c r="AQ49" s="56"/>
      <c r="AS49" s="128"/>
      <c r="AT49" s="113"/>
      <c r="AU49" s="129"/>
      <c r="AV49" s="45"/>
      <c r="AW49" s="55" t="s">
        <v>45</v>
      </c>
      <c r="AX49" s="55"/>
      <c r="AY49" s="55"/>
      <c r="AZ49" s="55"/>
    </row>
    <row r="50" spans="1:52" x14ac:dyDescent="0.25">
      <c r="A50" s="1" t="s">
        <v>11</v>
      </c>
      <c r="B50" s="7"/>
      <c r="D50" s="76"/>
      <c r="E50" s="40" t="s">
        <v>26</v>
      </c>
      <c r="F50" s="78"/>
      <c r="G50" s="73"/>
      <c r="H50" s="66">
        <v>4.7243999999999993</v>
      </c>
      <c r="I50" s="37"/>
      <c r="J50" s="37"/>
      <c r="K50" s="37"/>
      <c r="L50" s="37"/>
      <c r="M50" s="7"/>
      <c r="P50" s="30"/>
      <c r="S50" s="45"/>
      <c r="T50" s="157"/>
      <c r="U50" s="45"/>
      <c r="X50" s="59"/>
      <c r="Y50" s="60"/>
      <c r="Z50" s="61"/>
      <c r="AA50" s="55"/>
      <c r="AB50" s="5"/>
      <c r="AC50" s="56"/>
      <c r="AE50" s="59"/>
      <c r="AF50" s="60"/>
      <c r="AG50" s="61"/>
      <c r="AH50" s="55"/>
      <c r="AJ50" s="56"/>
      <c r="AM50" s="30"/>
      <c r="AQ50" s="56"/>
      <c r="AS50" s="119"/>
      <c r="AT50" s="113"/>
      <c r="AU50" s="120"/>
      <c r="AV50" s="45"/>
      <c r="AW50" s="155" t="s">
        <v>46</v>
      </c>
      <c r="AX50" s="58" t="s">
        <v>16</v>
      </c>
      <c r="AY50" s="55"/>
      <c r="AZ50" s="55"/>
    </row>
    <row r="51" spans="1:52" x14ac:dyDescent="0.25">
      <c r="A51" s="1" t="s">
        <v>7</v>
      </c>
      <c r="B51" s="7">
        <v>24</v>
      </c>
      <c r="C51" s="49" t="s">
        <v>13</v>
      </c>
      <c r="D51" s="76"/>
      <c r="E51" s="3"/>
      <c r="F51" s="83"/>
      <c r="G51" s="73"/>
      <c r="H51" s="66">
        <v>0.62991999999999992</v>
      </c>
      <c r="I51" s="68" t="s">
        <v>38</v>
      </c>
      <c r="J51" s="68" t="s">
        <v>9</v>
      </c>
      <c r="K51" s="69" t="s">
        <v>39</v>
      </c>
      <c r="L51" s="69" t="s">
        <v>10</v>
      </c>
      <c r="M51" s="7"/>
      <c r="P51" s="30"/>
      <c r="S51" s="45"/>
      <c r="T51" s="157"/>
      <c r="U51" s="45"/>
      <c r="X51" s="59"/>
      <c r="Y51" s="60"/>
      <c r="Z51" s="61"/>
      <c r="AA51" s="55"/>
      <c r="AB51" s="5"/>
      <c r="AC51" s="56"/>
      <c r="AE51" s="59"/>
      <c r="AF51" s="60"/>
      <c r="AG51" s="61"/>
      <c r="AH51" s="55"/>
      <c r="AJ51" s="56"/>
      <c r="AM51" s="30"/>
      <c r="AQ51" s="56"/>
      <c r="AS51" s="119"/>
      <c r="AT51" s="113"/>
      <c r="AU51" s="120"/>
      <c r="AV51" s="45"/>
      <c r="AW51" s="55"/>
      <c r="AX51" s="55"/>
      <c r="AY51" s="55"/>
      <c r="AZ51" s="55"/>
    </row>
    <row r="52" spans="1:52" x14ac:dyDescent="0.25">
      <c r="A52" s="1" t="s">
        <v>12</v>
      </c>
      <c r="B52" s="7"/>
      <c r="C52" s="46"/>
      <c r="D52" s="80"/>
      <c r="E52" s="41" t="s">
        <v>26</v>
      </c>
      <c r="F52" s="81"/>
      <c r="G52" s="73"/>
      <c r="H52" s="66">
        <v>3.9369999999999998</v>
      </c>
      <c r="I52" s="37"/>
      <c r="J52" s="37"/>
      <c r="K52" s="37"/>
      <c r="L52" s="37"/>
      <c r="M52" s="7"/>
      <c r="P52" s="30"/>
      <c r="S52" s="45"/>
      <c r="T52" s="157"/>
      <c r="U52" s="45"/>
      <c r="X52" s="59"/>
      <c r="Y52" s="60"/>
      <c r="Z52" s="61"/>
      <c r="AA52" s="55"/>
      <c r="AB52" s="5"/>
      <c r="AC52" s="56"/>
      <c r="AE52" s="59"/>
      <c r="AF52" s="60"/>
      <c r="AG52" s="61"/>
      <c r="AH52" s="55"/>
      <c r="AJ52" s="56"/>
      <c r="AM52" s="30"/>
      <c r="AQ52" s="56"/>
      <c r="AS52" s="121"/>
      <c r="AT52" s="113"/>
      <c r="AU52" s="126"/>
      <c r="AV52" s="116"/>
      <c r="AW52" s="56"/>
      <c r="AX52" s="56"/>
      <c r="AY52" s="55"/>
      <c r="AZ52" s="58"/>
    </row>
    <row r="53" spans="1:52" x14ac:dyDescent="0.25">
      <c r="A53" s="1" t="s">
        <v>7</v>
      </c>
      <c r="B53" s="7">
        <v>25</v>
      </c>
      <c r="C53" s="46" t="s">
        <v>53</v>
      </c>
      <c r="D53" s="79"/>
      <c r="E53" s="3"/>
      <c r="F53" s="82"/>
      <c r="G53" s="73"/>
      <c r="H53" s="66">
        <v>0.62991999999999992</v>
      </c>
      <c r="I53" s="39"/>
      <c r="J53" s="39"/>
      <c r="K53" s="38"/>
      <c r="L53" s="38"/>
      <c r="M53" s="7"/>
      <c r="P53" s="30"/>
      <c r="S53" s="45"/>
      <c r="T53" s="157"/>
      <c r="U53" s="45"/>
      <c r="X53" s="59"/>
      <c r="Y53" s="60"/>
      <c r="Z53" s="61"/>
      <c r="AA53" s="55"/>
      <c r="AB53" s="5"/>
      <c r="AC53" s="56"/>
      <c r="AE53" s="59"/>
      <c r="AF53" s="60"/>
      <c r="AG53" s="61"/>
      <c r="AH53" s="55"/>
      <c r="AJ53" s="56"/>
      <c r="AK53" s="1" t="s">
        <v>25</v>
      </c>
      <c r="AM53" s="30"/>
      <c r="AQ53" s="56"/>
      <c r="AS53" s="128"/>
      <c r="AT53" s="113"/>
      <c r="AU53" s="129"/>
      <c r="AV53" s="45"/>
      <c r="AW53" s="56" t="s">
        <v>47</v>
      </c>
      <c r="AX53" s="56"/>
      <c r="AY53" s="55"/>
      <c r="AZ53" s="58"/>
    </row>
    <row r="54" spans="1:52" x14ac:dyDescent="0.25">
      <c r="A54" s="1" t="s">
        <v>11</v>
      </c>
      <c r="B54" s="7"/>
      <c r="C54" s="46"/>
      <c r="D54" s="76"/>
      <c r="E54" s="40" t="s">
        <v>26</v>
      </c>
      <c r="F54" s="78"/>
      <c r="G54" s="73"/>
      <c r="H54" s="66">
        <v>4.7243999999999993</v>
      </c>
      <c r="I54" s="37"/>
      <c r="J54" s="37"/>
      <c r="K54" s="37"/>
      <c r="L54" s="37"/>
      <c r="M54" s="7"/>
      <c r="P54" s="30"/>
      <c r="S54" s="45"/>
      <c r="T54" s="157"/>
      <c r="U54" s="45"/>
      <c r="X54" s="59"/>
      <c r="Y54" s="60"/>
      <c r="Z54" s="61"/>
      <c r="AA54" s="55"/>
      <c r="AB54" s="5"/>
      <c r="AE54" s="59"/>
      <c r="AF54" s="60"/>
      <c r="AG54" s="61"/>
      <c r="AH54" s="55"/>
      <c r="AM54" s="30"/>
      <c r="AQ54" s="1"/>
      <c r="AS54" s="119"/>
      <c r="AT54" s="113"/>
      <c r="AU54" s="120"/>
      <c r="AV54" s="45"/>
      <c r="AW54" s="51">
        <f>G70-AW16</f>
        <v>0.93540000000000023</v>
      </c>
      <c r="AX54" s="108" t="s">
        <v>24</v>
      </c>
      <c r="AY54" s="55"/>
      <c r="AZ54" s="58"/>
    </row>
    <row r="55" spans="1:52" x14ac:dyDescent="0.25">
      <c r="A55" s="1" t="s">
        <v>7</v>
      </c>
      <c r="B55" s="7">
        <v>26</v>
      </c>
      <c r="C55" s="49" t="s">
        <v>13</v>
      </c>
      <c r="D55" s="76"/>
      <c r="E55" s="3"/>
      <c r="F55" s="83"/>
      <c r="G55" s="73"/>
      <c r="H55" s="66">
        <v>0.62991999999999992</v>
      </c>
      <c r="I55" s="68" t="s">
        <v>38</v>
      </c>
      <c r="J55" s="68" t="s">
        <v>9</v>
      </c>
      <c r="K55" s="69" t="s">
        <v>39</v>
      </c>
      <c r="L55" s="69" t="s">
        <v>10</v>
      </c>
      <c r="M55" s="7"/>
      <c r="P55" s="30"/>
      <c r="S55" s="45"/>
      <c r="T55" s="157"/>
      <c r="U55" s="45"/>
      <c r="X55" s="59"/>
      <c r="Y55" s="60"/>
      <c r="Z55" s="61"/>
      <c r="AA55" s="55"/>
      <c r="AB55" s="43">
        <f>SUM(H38:H68)</f>
        <v>77.625828999999982</v>
      </c>
      <c r="AC55" s="58" t="s">
        <v>16</v>
      </c>
      <c r="AE55" s="59"/>
      <c r="AF55" s="60"/>
      <c r="AG55" s="61"/>
      <c r="AH55" s="55"/>
      <c r="AI55" s="43">
        <f>SUM(H39:H68)</f>
        <v>72.901428999999979</v>
      </c>
      <c r="AJ55" s="58" t="s">
        <v>16</v>
      </c>
      <c r="AM55" s="30"/>
      <c r="AP55" s="43">
        <f>SUM(H38:H68)</f>
        <v>77.625828999999982</v>
      </c>
      <c r="AQ55" s="58" t="s">
        <v>16</v>
      </c>
      <c r="AR55" s="43"/>
      <c r="AS55" s="119"/>
      <c r="AT55" s="113"/>
      <c r="AU55" s="120"/>
      <c r="AV55" s="45"/>
      <c r="AW55" s="127">
        <f>$H70-AW17</f>
        <v>161.24770900000004</v>
      </c>
      <c r="AX55" s="58" t="s">
        <v>16</v>
      </c>
      <c r="AY55" s="55"/>
      <c r="AZ55" s="58"/>
    </row>
    <row r="56" spans="1:52" x14ac:dyDescent="0.25">
      <c r="A56" s="1" t="s">
        <v>12</v>
      </c>
      <c r="B56" s="7"/>
      <c r="C56" s="46"/>
      <c r="D56" s="80"/>
      <c r="E56" s="41" t="s">
        <v>26</v>
      </c>
      <c r="F56" s="87"/>
      <c r="G56" s="91"/>
      <c r="H56" s="66">
        <v>3.9369999999999998</v>
      </c>
      <c r="I56" s="37"/>
      <c r="J56" s="37"/>
      <c r="K56" s="37"/>
      <c r="L56" s="37"/>
      <c r="M56" s="7"/>
      <c r="P56" s="30"/>
      <c r="S56" s="45"/>
      <c r="T56" s="157"/>
      <c r="U56" s="45"/>
      <c r="X56" s="59"/>
      <c r="Y56" s="60"/>
      <c r="Z56" s="61"/>
      <c r="AA56" s="55"/>
      <c r="AB56" s="5"/>
      <c r="AC56" s="56"/>
      <c r="AE56" s="59"/>
      <c r="AF56" s="60"/>
      <c r="AG56" s="61"/>
      <c r="AH56" s="55"/>
      <c r="AJ56" s="56"/>
      <c r="AM56" s="30"/>
      <c r="AQ56" s="56"/>
      <c r="AS56" s="121"/>
      <c r="AT56" s="113"/>
      <c r="AU56" s="126"/>
      <c r="AV56" s="45"/>
      <c r="AW56" s="55"/>
      <c r="AX56" s="55"/>
      <c r="AY56" s="55"/>
      <c r="AZ56" s="58"/>
    </row>
    <row r="57" spans="1:52" x14ac:dyDescent="0.25">
      <c r="A57" s="1" t="s">
        <v>7</v>
      </c>
      <c r="B57" s="7">
        <v>27</v>
      </c>
      <c r="C57" s="46" t="s">
        <v>53</v>
      </c>
      <c r="D57" s="79"/>
      <c r="E57" s="3"/>
      <c r="F57" s="88"/>
      <c r="G57" s="91"/>
      <c r="H57" s="66">
        <v>0.62991999999999992</v>
      </c>
      <c r="I57" s="39"/>
      <c r="J57" s="39"/>
      <c r="K57" s="38"/>
      <c r="L57" s="38"/>
      <c r="M57" s="7"/>
      <c r="P57" s="30"/>
      <c r="S57" s="45"/>
      <c r="T57" s="157"/>
      <c r="U57" s="45"/>
      <c r="X57" s="59"/>
      <c r="Y57" s="60"/>
      <c r="Z57" s="61"/>
      <c r="AA57" s="55"/>
      <c r="AB57" s="5"/>
      <c r="AC57" s="56"/>
      <c r="AE57" s="59"/>
      <c r="AF57" s="60"/>
      <c r="AG57" s="61"/>
      <c r="AH57" s="55"/>
      <c r="AJ57" s="56"/>
      <c r="AM57" s="30"/>
      <c r="AQ57" s="56"/>
      <c r="AS57" s="128"/>
      <c r="AT57" s="113"/>
      <c r="AU57" s="129"/>
      <c r="AV57" s="45"/>
      <c r="AW57" s="56" t="s">
        <v>48</v>
      </c>
      <c r="AX57" s="56"/>
      <c r="AY57" s="55"/>
      <c r="AZ57" s="55"/>
    </row>
    <row r="58" spans="1:52" x14ac:dyDescent="0.25">
      <c r="A58" s="1" t="s">
        <v>11</v>
      </c>
      <c r="B58" s="7"/>
      <c r="C58" s="46"/>
      <c r="D58" s="76"/>
      <c r="E58" s="40" t="s">
        <v>26</v>
      </c>
      <c r="F58" s="89"/>
      <c r="G58" s="91"/>
      <c r="H58" s="66">
        <v>4.7243999999999993</v>
      </c>
      <c r="I58" s="37"/>
      <c r="J58" s="37"/>
      <c r="K58" s="37"/>
      <c r="L58" s="37"/>
      <c r="M58" s="7"/>
      <c r="P58" s="30"/>
      <c r="S58" s="45"/>
      <c r="T58" s="157"/>
      <c r="U58" s="45"/>
      <c r="X58" s="59"/>
      <c r="Y58" s="60"/>
      <c r="Z58" s="61"/>
      <c r="AA58" s="55"/>
      <c r="AB58" s="5"/>
      <c r="AC58" s="56"/>
      <c r="AE58" s="59"/>
      <c r="AF58" s="60"/>
      <c r="AG58" s="61"/>
      <c r="AH58" s="55"/>
      <c r="AJ58" s="56"/>
      <c r="AM58" s="30"/>
      <c r="AQ58" s="56"/>
      <c r="AS58" s="119"/>
      <c r="AT58" s="113"/>
      <c r="AU58" s="120"/>
      <c r="AV58" s="45"/>
      <c r="AW58" s="155" t="s">
        <v>46</v>
      </c>
      <c r="AX58" s="58" t="s">
        <v>16</v>
      </c>
      <c r="AY58" s="55"/>
      <c r="AZ58" s="55"/>
    </row>
    <row r="59" spans="1:52" x14ac:dyDescent="0.25">
      <c r="A59" s="1" t="s">
        <v>7</v>
      </c>
      <c r="B59" s="7">
        <v>28</v>
      </c>
      <c r="C59" s="49" t="s">
        <v>13</v>
      </c>
      <c r="D59" s="76"/>
      <c r="E59" s="3"/>
      <c r="F59" s="90"/>
      <c r="G59" s="91"/>
      <c r="H59" s="66">
        <v>0.62991999999999992</v>
      </c>
      <c r="I59" s="68" t="s">
        <v>38</v>
      </c>
      <c r="J59" s="68" t="s">
        <v>9</v>
      </c>
      <c r="K59" s="69" t="s">
        <v>39</v>
      </c>
      <c r="L59" s="69" t="s">
        <v>10</v>
      </c>
      <c r="M59" s="7"/>
      <c r="P59" s="30"/>
      <c r="S59" s="45"/>
      <c r="T59" s="157"/>
      <c r="U59" s="45"/>
      <c r="X59" s="59"/>
      <c r="Y59" s="60"/>
      <c r="Z59" s="61"/>
      <c r="AA59" s="55"/>
      <c r="AB59" s="5"/>
      <c r="AC59" s="56"/>
      <c r="AE59" s="59"/>
      <c r="AF59" s="60"/>
      <c r="AG59" s="61"/>
      <c r="AH59" s="55"/>
      <c r="AJ59" s="56"/>
      <c r="AL59" s="4"/>
      <c r="AM59" s="28"/>
      <c r="AN59" s="4"/>
      <c r="AQ59" s="56"/>
      <c r="AS59" s="119"/>
      <c r="AT59" s="113"/>
      <c r="AU59" s="120"/>
      <c r="AV59" s="55"/>
      <c r="AW59" s="55"/>
      <c r="AX59" s="55"/>
      <c r="AY59" s="55"/>
      <c r="AZ59" s="55"/>
    </row>
    <row r="60" spans="1:52" x14ac:dyDescent="0.25">
      <c r="A60" s="1" t="s">
        <v>12</v>
      </c>
      <c r="B60" s="7"/>
      <c r="C60" s="47"/>
      <c r="D60" s="22"/>
      <c r="E60" s="92" t="s">
        <v>26</v>
      </c>
      <c r="F60" s="23"/>
      <c r="G60" s="91"/>
      <c r="H60" s="66">
        <v>3.9369999999999998</v>
      </c>
      <c r="I60" s="37"/>
      <c r="J60" s="37"/>
      <c r="K60" s="37"/>
      <c r="L60" s="37"/>
      <c r="M60" s="7"/>
      <c r="P60" s="28"/>
      <c r="S60" s="45"/>
      <c r="T60" s="157"/>
      <c r="U60" s="45"/>
      <c r="X60" s="59"/>
      <c r="Y60" s="60"/>
      <c r="Z60" s="61"/>
      <c r="AA60" s="55"/>
      <c r="AB60" s="5"/>
      <c r="AC60" s="56"/>
      <c r="AE60" s="59"/>
      <c r="AF60" s="60"/>
      <c r="AG60" s="61"/>
      <c r="AH60" s="55"/>
      <c r="AJ60" s="56"/>
      <c r="AL60" s="4"/>
      <c r="AM60" s="28"/>
      <c r="AN60" s="4"/>
      <c r="AQ60" s="56"/>
      <c r="AS60" s="121"/>
      <c r="AT60" s="113"/>
      <c r="AU60" s="131"/>
      <c r="AV60" s="45"/>
      <c r="AW60" s="55"/>
      <c r="AX60" s="55"/>
      <c r="AY60" s="55"/>
      <c r="AZ60" s="55"/>
    </row>
    <row r="61" spans="1:52" x14ac:dyDescent="0.25">
      <c r="A61" s="1" t="s">
        <v>7</v>
      </c>
      <c r="B61" s="7">
        <v>29</v>
      </c>
      <c r="C61" s="47" t="s">
        <v>53</v>
      </c>
      <c r="D61" s="20"/>
      <c r="E61" s="85"/>
      <c r="F61" s="21"/>
      <c r="G61" s="91">
        <v>1.6E-2</v>
      </c>
      <c r="H61" s="66">
        <f t="shared" ref="H61:H68" si="1">G61*39.37</f>
        <v>0.62991999999999992</v>
      </c>
      <c r="I61" s="39"/>
      <c r="J61" s="39"/>
      <c r="K61" s="38"/>
      <c r="L61" s="38"/>
      <c r="M61" s="7"/>
      <c r="P61" s="28"/>
      <c r="S61" s="45"/>
      <c r="T61" s="157"/>
      <c r="U61" s="45"/>
      <c r="X61" s="59"/>
      <c r="Y61" s="60"/>
      <c r="Z61" s="61"/>
      <c r="AA61" s="55"/>
      <c r="AB61" s="5"/>
      <c r="AC61" s="56"/>
      <c r="AE61" s="59"/>
      <c r="AF61" s="60"/>
      <c r="AG61" s="61"/>
      <c r="AH61" s="55"/>
      <c r="AJ61" s="56"/>
      <c r="AM61" s="30"/>
      <c r="AQ61" s="56"/>
      <c r="AS61" s="128"/>
      <c r="AT61" s="113"/>
      <c r="AU61" s="129"/>
      <c r="AV61" s="45"/>
      <c r="AW61" s="55"/>
      <c r="AX61" s="55"/>
      <c r="AY61" s="55"/>
      <c r="AZ61" s="55"/>
    </row>
    <row r="62" spans="1:52" x14ac:dyDescent="0.25">
      <c r="A62" s="1" t="s">
        <v>11</v>
      </c>
      <c r="B62" s="7"/>
      <c r="C62" s="47"/>
      <c r="D62" s="165"/>
      <c r="E62" s="145" t="s">
        <v>68</v>
      </c>
      <c r="F62" s="166"/>
      <c r="G62" s="73">
        <v>0.11</v>
      </c>
      <c r="H62" s="66">
        <f t="shared" si="1"/>
        <v>4.3306999999999993</v>
      </c>
      <c r="I62" s="37"/>
      <c r="J62" s="37"/>
      <c r="K62" s="37"/>
      <c r="L62" s="37"/>
      <c r="P62" s="30"/>
      <c r="S62" s="45"/>
      <c r="T62" s="157"/>
      <c r="U62" s="45"/>
      <c r="X62" s="59"/>
      <c r="Y62" s="60"/>
      <c r="Z62" s="61"/>
      <c r="AA62" s="55"/>
      <c r="AB62" s="5"/>
      <c r="AC62" s="56"/>
      <c r="AE62" s="59"/>
      <c r="AF62" s="60"/>
      <c r="AG62" s="61"/>
      <c r="AH62" s="55"/>
      <c r="AJ62" s="56"/>
      <c r="AM62" s="30"/>
      <c r="AQ62" s="56"/>
      <c r="AS62" s="119"/>
      <c r="AT62" s="113"/>
      <c r="AU62" s="120"/>
      <c r="AV62" s="45"/>
      <c r="AW62" s="55"/>
      <c r="AX62" s="55"/>
      <c r="AY62" s="55"/>
      <c r="AZ62" s="55"/>
    </row>
    <row r="63" spans="1:52" x14ac:dyDescent="0.25">
      <c r="A63" s="1" t="s">
        <v>7</v>
      </c>
      <c r="B63" s="7">
        <v>30</v>
      </c>
      <c r="C63" s="49" t="s">
        <v>13</v>
      </c>
      <c r="D63" s="165"/>
      <c r="E63" s="85"/>
      <c r="F63" s="166"/>
      <c r="G63" s="73">
        <v>1.6E-2</v>
      </c>
      <c r="H63" s="66">
        <f t="shared" si="1"/>
        <v>0.62991999999999992</v>
      </c>
      <c r="I63" s="68" t="s">
        <v>65</v>
      </c>
      <c r="J63" s="68" t="s">
        <v>9</v>
      </c>
      <c r="K63" s="69" t="s">
        <v>66</v>
      </c>
      <c r="L63" s="69" t="s">
        <v>10</v>
      </c>
      <c r="M63" s="12"/>
      <c r="P63" s="30"/>
      <c r="S63" s="45"/>
      <c r="T63" s="157"/>
      <c r="U63" s="45"/>
      <c r="X63" s="59"/>
      <c r="Y63" s="60"/>
      <c r="Z63" s="61"/>
      <c r="AA63" s="55"/>
      <c r="AB63" s="5"/>
      <c r="AC63" s="56"/>
      <c r="AE63" s="59"/>
      <c r="AF63" s="60"/>
      <c r="AG63" s="61"/>
      <c r="AH63" s="55"/>
      <c r="AJ63" s="56"/>
      <c r="AM63" s="30"/>
      <c r="AQ63" s="56"/>
      <c r="AS63" s="119"/>
      <c r="AT63" s="113"/>
      <c r="AU63" s="120"/>
      <c r="AV63" s="45"/>
      <c r="AW63" s="55"/>
      <c r="AX63" s="55"/>
      <c r="AY63" s="55"/>
      <c r="AZ63" s="55"/>
    </row>
    <row r="64" spans="1:52" x14ac:dyDescent="0.25">
      <c r="A64" s="1" t="s">
        <v>12</v>
      </c>
      <c r="B64" s="7"/>
      <c r="C64" s="47"/>
      <c r="D64" s="162"/>
      <c r="E64" s="163" t="s">
        <v>68</v>
      </c>
      <c r="F64" s="164"/>
      <c r="G64" s="72">
        <v>0.2</v>
      </c>
      <c r="H64" s="66">
        <f t="shared" si="1"/>
        <v>7.8739999999999997</v>
      </c>
      <c r="I64" s="37"/>
      <c r="J64" s="37"/>
      <c r="K64" s="37"/>
      <c r="L64" s="37"/>
      <c r="P64" s="30"/>
      <c r="S64" s="45"/>
      <c r="T64" s="159"/>
      <c r="U64" s="45"/>
      <c r="X64" s="59"/>
      <c r="Y64" s="60"/>
      <c r="Z64" s="61"/>
      <c r="AA64" s="55"/>
      <c r="AB64" s="5"/>
      <c r="AC64" s="56"/>
      <c r="AE64" s="59"/>
      <c r="AF64" s="60"/>
      <c r="AG64" s="61"/>
      <c r="AH64" s="55"/>
      <c r="AJ64" s="56"/>
      <c r="AL64" s="4"/>
      <c r="AM64" s="28"/>
      <c r="AN64" s="4"/>
      <c r="AQ64" s="56"/>
      <c r="AS64" s="121"/>
      <c r="AT64" s="113"/>
      <c r="AU64" s="126"/>
      <c r="AV64" s="45"/>
      <c r="AW64" s="55"/>
      <c r="AX64" s="55"/>
      <c r="AY64" s="55"/>
      <c r="AZ64" s="55"/>
    </row>
    <row r="65" spans="1:52" x14ac:dyDescent="0.25">
      <c r="A65" s="1" t="s">
        <v>7</v>
      </c>
      <c r="B65" s="7">
        <v>31</v>
      </c>
      <c r="C65" s="47" t="s">
        <v>54</v>
      </c>
      <c r="D65" s="149"/>
      <c r="E65" s="85"/>
      <c r="F65" s="150"/>
      <c r="G65" s="74">
        <v>1.6E-2</v>
      </c>
      <c r="H65" s="66">
        <f t="shared" si="1"/>
        <v>0.62991999999999992</v>
      </c>
      <c r="I65" s="37"/>
      <c r="J65" s="37"/>
      <c r="K65" s="37"/>
      <c r="L65" s="37"/>
      <c r="M65" s="7"/>
      <c r="P65" s="30"/>
      <c r="S65" s="45"/>
      <c r="T65" s="159"/>
      <c r="U65" s="45"/>
      <c r="X65" s="59"/>
      <c r="Y65" s="60"/>
      <c r="Z65" s="61"/>
      <c r="AA65" s="55"/>
      <c r="AB65" s="5"/>
      <c r="AC65" s="56"/>
      <c r="AE65" s="59"/>
      <c r="AF65" s="60"/>
      <c r="AG65" s="61"/>
      <c r="AH65" s="55"/>
      <c r="AJ65" s="56"/>
      <c r="AL65" s="4"/>
      <c r="AM65" s="28"/>
      <c r="AN65" s="4"/>
      <c r="AQ65" s="56"/>
      <c r="AS65" s="132"/>
      <c r="AT65" s="113"/>
      <c r="AU65" s="133"/>
      <c r="AV65" s="45"/>
      <c r="AW65" s="55"/>
      <c r="AX65" s="55"/>
      <c r="AY65" s="55"/>
      <c r="AZ65" s="55"/>
    </row>
    <row r="66" spans="1:52" ht="17.25" thickBot="1" x14ac:dyDescent="0.3">
      <c r="A66" s="1" t="s">
        <v>11</v>
      </c>
      <c r="B66" s="7"/>
      <c r="C66" s="46"/>
      <c r="D66" s="151"/>
      <c r="E66" s="145" t="s">
        <v>68</v>
      </c>
      <c r="F66" s="146"/>
      <c r="G66" s="84">
        <v>0.06</v>
      </c>
      <c r="H66" s="66">
        <f t="shared" si="1"/>
        <v>2.3621999999999996</v>
      </c>
      <c r="I66" s="37"/>
      <c r="J66" s="37"/>
      <c r="K66" s="37"/>
      <c r="L66" s="37"/>
      <c r="M66" s="7"/>
      <c r="P66" s="30"/>
      <c r="T66" s="30"/>
      <c r="X66" s="59"/>
      <c r="Y66" s="60"/>
      <c r="Z66" s="61"/>
      <c r="AA66" s="93"/>
      <c r="AB66" s="5"/>
      <c r="AC66" s="56"/>
      <c r="AE66" s="59"/>
      <c r="AF66" s="60"/>
      <c r="AG66" s="61"/>
      <c r="AH66" s="93"/>
      <c r="AJ66" s="56"/>
      <c r="AM66" s="28"/>
      <c r="AO66" s="4"/>
      <c r="AQ66" s="56"/>
      <c r="AS66" s="101"/>
      <c r="AT66" s="113"/>
      <c r="AU66" s="102"/>
      <c r="AV66" s="45"/>
      <c r="AW66" s="55"/>
      <c r="AX66" s="55"/>
      <c r="AY66" s="55"/>
      <c r="AZ66" s="55"/>
    </row>
    <row r="67" spans="1:52" ht="17.25" thickBot="1" x14ac:dyDescent="0.3">
      <c r="A67" s="1" t="s">
        <v>7</v>
      </c>
      <c r="B67" s="7">
        <v>32</v>
      </c>
      <c r="C67" s="46" t="s">
        <v>14</v>
      </c>
      <c r="D67" s="141"/>
      <c r="E67" s="142"/>
      <c r="F67" s="143"/>
      <c r="G67" s="74">
        <v>4.4999999999999998E-2</v>
      </c>
      <c r="H67" s="66">
        <f t="shared" si="1"/>
        <v>1.7716499999999997</v>
      </c>
      <c r="I67" s="70" t="s">
        <v>63</v>
      </c>
      <c r="J67" s="70" t="s">
        <v>9</v>
      </c>
      <c r="K67" s="71" t="s">
        <v>64</v>
      </c>
      <c r="L67" s="71" t="s">
        <v>10</v>
      </c>
      <c r="M67" s="7"/>
      <c r="O67" s="52"/>
      <c r="P67" s="32"/>
      <c r="Q67" s="53"/>
      <c r="S67" s="52"/>
      <c r="T67" s="32"/>
      <c r="U67" s="53"/>
      <c r="X67" s="62"/>
      <c r="Y67" s="32"/>
      <c r="Z67" s="63"/>
      <c r="AA67" s="55"/>
      <c r="AB67" s="5"/>
      <c r="AC67" s="56"/>
      <c r="AE67" s="62"/>
      <c r="AF67" s="32"/>
      <c r="AG67" s="63"/>
      <c r="AH67" s="55"/>
      <c r="AJ67" s="56"/>
      <c r="AL67" s="31"/>
      <c r="AM67" s="32"/>
      <c r="AN67" s="33"/>
      <c r="AQ67" s="56"/>
      <c r="AS67" s="134"/>
      <c r="AT67" s="113"/>
      <c r="AU67" s="135"/>
      <c r="AV67" s="55"/>
      <c r="AW67" s="55"/>
      <c r="AX67" s="55"/>
      <c r="AY67" s="55"/>
      <c r="AZ67" s="55"/>
    </row>
    <row r="68" spans="1:52" ht="17.25" thickBot="1" x14ac:dyDescent="0.3">
      <c r="A68" s="1" t="s">
        <v>6</v>
      </c>
      <c r="B68" s="7"/>
      <c r="C68" s="46"/>
      <c r="D68" s="152"/>
      <c r="E68" s="153"/>
      <c r="F68" s="154"/>
      <c r="G68" s="73">
        <v>1.2699999999999999E-2</v>
      </c>
      <c r="H68" s="66">
        <f t="shared" si="1"/>
        <v>0.49999899999999997</v>
      </c>
      <c r="I68" s="38"/>
      <c r="J68" s="38"/>
      <c r="K68" s="38"/>
      <c r="L68" s="38"/>
      <c r="M68" s="7"/>
      <c r="O68" s="34"/>
      <c r="P68" s="35"/>
      <c r="Q68" s="36"/>
      <c r="S68" s="34"/>
      <c r="T68" s="35"/>
      <c r="U68" s="36"/>
      <c r="X68" s="34"/>
      <c r="Y68" s="35"/>
      <c r="Z68" s="36"/>
      <c r="AA68" s="57"/>
      <c r="AB68" s="5"/>
      <c r="AC68" s="58"/>
      <c r="AE68" s="34"/>
      <c r="AF68" s="35"/>
      <c r="AG68" s="36"/>
      <c r="AH68" s="57"/>
      <c r="AJ68" s="58"/>
      <c r="AL68" s="34"/>
      <c r="AM68" s="35"/>
      <c r="AN68" s="36"/>
      <c r="AO68" s="11"/>
      <c r="AQ68" s="58"/>
      <c r="AS68" s="136"/>
      <c r="AT68" s="50"/>
      <c r="AU68" s="137"/>
      <c r="AV68" s="138"/>
      <c r="AW68" s="55"/>
      <c r="AX68" s="55"/>
      <c r="AY68" s="55"/>
      <c r="AZ68" s="55"/>
    </row>
    <row r="69" spans="1:52" x14ac:dyDescent="0.25">
      <c r="A69" s="1" t="s">
        <v>0</v>
      </c>
      <c r="B69" s="7"/>
      <c r="C69" s="46"/>
      <c r="E69" s="7"/>
      <c r="G69" s="42"/>
      <c r="H69" s="43"/>
      <c r="I69" s="6"/>
      <c r="J69" s="6"/>
      <c r="K69" s="6"/>
      <c r="L69" s="6"/>
      <c r="M69" s="7"/>
      <c r="X69" s="191" t="s">
        <v>60</v>
      </c>
      <c r="Y69" s="191"/>
      <c r="Z69" s="191"/>
      <c r="AA69" s="55"/>
      <c r="AB69" s="5"/>
      <c r="AE69" s="189" t="s">
        <v>30</v>
      </c>
      <c r="AF69" s="189"/>
      <c r="AG69" s="189"/>
      <c r="AH69" s="55"/>
      <c r="AL69" s="193" t="s">
        <v>32</v>
      </c>
      <c r="AM69" s="192"/>
      <c r="AN69" s="192"/>
      <c r="AQ69" s="1"/>
      <c r="AS69" s="55"/>
      <c r="AT69" s="55"/>
      <c r="AU69" s="55"/>
      <c r="AV69" s="55"/>
      <c r="AW69" s="55"/>
      <c r="AX69" s="55"/>
      <c r="AY69" s="55"/>
      <c r="AZ69" s="55"/>
    </row>
    <row r="70" spans="1:52" x14ac:dyDescent="0.25">
      <c r="B70" s="7"/>
      <c r="C70" s="46"/>
      <c r="E70" s="7"/>
      <c r="F70" s="1" t="s">
        <v>17</v>
      </c>
      <c r="G70" s="42">
        <f>SUM(G4:G68)</f>
        <v>0.93540000000000023</v>
      </c>
      <c r="H70" s="43">
        <f>SUM(H4:H68)</f>
        <v>199.81857800000003</v>
      </c>
      <c r="I70" s="6"/>
      <c r="J70" s="6"/>
      <c r="K70" s="6"/>
      <c r="L70" s="6"/>
      <c r="M70" s="7"/>
      <c r="X70" s="190" t="s">
        <v>61</v>
      </c>
      <c r="Y70" s="190"/>
      <c r="Z70" s="190"/>
      <c r="AA70" s="55"/>
      <c r="AB70" s="43">
        <f>SUM(AB4:AB68)</f>
        <v>199.81857800000003</v>
      </c>
      <c r="AC70" s="58" t="s">
        <v>16</v>
      </c>
      <c r="AE70" s="190" t="s">
        <v>31</v>
      </c>
      <c r="AF70" s="190"/>
      <c r="AG70" s="190"/>
      <c r="AH70" s="55"/>
      <c r="AI70" s="43">
        <f>SUM(AI4:AI68)</f>
        <v>199.81857800000003</v>
      </c>
      <c r="AJ70" s="58" t="s">
        <v>16</v>
      </c>
      <c r="AL70" s="192" t="s">
        <v>33</v>
      </c>
      <c r="AM70" s="192"/>
      <c r="AN70" s="192"/>
      <c r="AP70" s="43">
        <f>AP55+AP17</f>
        <v>199.81857800000003</v>
      </c>
      <c r="AQ70" s="58" t="s">
        <v>16</v>
      </c>
      <c r="AR70" s="43"/>
      <c r="AS70" s="55"/>
      <c r="AT70" s="55"/>
      <c r="AU70" s="55"/>
      <c r="AV70" s="55"/>
      <c r="AW70" s="127">
        <f>AW55+AW17</f>
        <v>199.81857800000003</v>
      </c>
      <c r="AX70" s="58" t="s">
        <v>16</v>
      </c>
      <c r="AY70" s="55"/>
      <c r="AZ70" s="58"/>
    </row>
    <row r="71" spans="1:52" x14ac:dyDescent="0.25">
      <c r="B71" s="7"/>
      <c r="C71" s="46"/>
      <c r="E71" s="7"/>
      <c r="G71" s="6" t="s">
        <v>24</v>
      </c>
      <c r="H71" s="6" t="s">
        <v>16</v>
      </c>
      <c r="I71" s="6"/>
      <c r="J71" s="6"/>
      <c r="K71" s="6"/>
      <c r="L71" s="6"/>
    </row>
    <row r="72" spans="1:52" x14ac:dyDescent="0.25">
      <c r="B72" s="7"/>
      <c r="C72" s="46"/>
      <c r="E72" s="7"/>
      <c r="F72" s="1" t="s">
        <v>18</v>
      </c>
      <c r="H72" s="43">
        <f>H70/39.37</f>
        <v>5.0754020320040647</v>
      </c>
      <c r="I72" s="6"/>
      <c r="J72" s="6"/>
      <c r="K72" s="6"/>
      <c r="L72" s="6"/>
    </row>
    <row r="73" spans="1:52" x14ac:dyDescent="0.25">
      <c r="C73" s="1"/>
      <c r="E73" s="7"/>
      <c r="I73" s="6"/>
      <c r="J73" s="6"/>
      <c r="K73" s="6"/>
      <c r="L73" s="6"/>
    </row>
    <row r="74" spans="1:52" x14ac:dyDescent="0.25">
      <c r="C74" s="1"/>
    </row>
    <row r="75" spans="1:52" x14ac:dyDescent="0.25">
      <c r="C75" s="1"/>
    </row>
    <row r="76" spans="1:52" x14ac:dyDescent="0.25">
      <c r="AH76" s="5"/>
      <c r="AJ76" s="5"/>
      <c r="AK76" s="5"/>
      <c r="AL76" s="5"/>
      <c r="AM76" s="5"/>
      <c r="AN76" s="5"/>
      <c r="AO76" s="5"/>
      <c r="AQ76" s="1"/>
      <c r="AR76" s="1"/>
    </row>
    <row r="77" spans="1:52" x14ac:dyDescent="0.25">
      <c r="AH77" s="5"/>
      <c r="AJ77" s="5"/>
      <c r="AK77" s="5"/>
      <c r="AL77" s="5"/>
      <c r="AM77" s="5"/>
      <c r="AN77" s="5"/>
      <c r="AO77" s="5"/>
      <c r="AQ77" s="1"/>
      <c r="AR77" s="1"/>
    </row>
    <row r="78" spans="1:52" x14ac:dyDescent="0.25">
      <c r="J78" s="46"/>
      <c r="AH78" s="5"/>
      <c r="AJ78" s="5"/>
      <c r="AK78" s="5"/>
      <c r="AL78" s="5"/>
      <c r="AM78" s="5"/>
      <c r="AN78" s="5"/>
      <c r="AO78" s="5"/>
      <c r="AQ78" s="1"/>
      <c r="AR78" s="1"/>
    </row>
    <row r="79" spans="1:52" x14ac:dyDescent="0.25">
      <c r="AH79" s="5"/>
      <c r="AJ79" s="5"/>
      <c r="AK79" s="5"/>
      <c r="AL79" s="5"/>
      <c r="AM79" s="5"/>
      <c r="AN79" s="5"/>
      <c r="AO79" s="5"/>
      <c r="AQ79" s="1"/>
      <c r="AR79" s="1"/>
    </row>
    <row r="80" spans="1:52" x14ac:dyDescent="0.25">
      <c r="AH80" s="5"/>
      <c r="AJ80" s="5"/>
      <c r="AK80" s="5"/>
      <c r="AL80" s="5"/>
      <c r="AM80" s="5"/>
      <c r="AN80" s="5"/>
      <c r="AO80" s="5"/>
      <c r="AQ80" s="1"/>
      <c r="AR80" s="1"/>
    </row>
    <row r="81" spans="34:44" x14ac:dyDescent="0.25">
      <c r="AH81" s="5"/>
      <c r="AJ81" s="5"/>
      <c r="AK81" s="5"/>
      <c r="AL81" s="5"/>
      <c r="AM81" s="5"/>
      <c r="AN81" s="5"/>
      <c r="AO81" s="5"/>
      <c r="AQ81" s="1"/>
      <c r="AR81" s="1"/>
    </row>
    <row r="82" spans="34:44" x14ac:dyDescent="0.25">
      <c r="AH82" s="5"/>
      <c r="AJ82" s="5"/>
      <c r="AK82" s="5"/>
      <c r="AL82" s="5"/>
      <c r="AM82" s="5"/>
      <c r="AN82" s="5"/>
      <c r="AO82" s="5"/>
      <c r="AQ82" s="1"/>
      <c r="AR82" s="1"/>
    </row>
    <row r="134" spans="1:1" x14ac:dyDescent="0.25">
      <c r="A134" s="1" t="s">
        <v>27</v>
      </c>
    </row>
  </sheetData>
  <mergeCells count="12">
    <mergeCell ref="AL2:AN2"/>
    <mergeCell ref="AL3:AN3"/>
    <mergeCell ref="AL69:AN69"/>
    <mergeCell ref="AL70:AN70"/>
    <mergeCell ref="AE2:AG2"/>
    <mergeCell ref="X2:Z2"/>
    <mergeCell ref="X3:Z3"/>
    <mergeCell ref="X69:Z69"/>
    <mergeCell ref="X70:Z70"/>
    <mergeCell ref="AE70:AG70"/>
    <mergeCell ref="AE3:AG3"/>
    <mergeCell ref="AE69:AG6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1"/>
  <sheetViews>
    <sheetView workbookViewId="0">
      <selection activeCell="M11" sqref="M11"/>
    </sheetView>
  </sheetViews>
  <sheetFormatPr defaultRowHeight="16.5" x14ac:dyDescent="0.25"/>
  <cols>
    <col min="1" max="1" width="12" style="1" bestFit="1" customWidth="1"/>
    <col min="2" max="2" width="11.125" style="1" bestFit="1" customWidth="1"/>
    <col min="3" max="3" width="13.875" style="48" bestFit="1" customWidth="1"/>
    <col min="4" max="4" width="11.375" style="1" customWidth="1"/>
    <col min="5" max="5" width="12.125" style="1" bestFit="1" customWidth="1"/>
    <col min="6" max="6" width="12.625" style="1" customWidth="1"/>
    <col min="7" max="7" width="12.625" style="5" hidden="1" customWidth="1"/>
    <col min="8" max="8" width="12.625" style="5" bestFit="1" customWidth="1"/>
  </cols>
  <sheetData>
    <row r="1" spans="1:22" x14ac:dyDescent="0.25">
      <c r="A1" s="1" t="s">
        <v>6</v>
      </c>
      <c r="B1" s="7"/>
      <c r="C1" s="46"/>
      <c r="D1" s="139"/>
      <c r="E1" s="140"/>
      <c r="F1" s="169"/>
      <c r="G1" s="91">
        <v>1.2699999999999999E-2</v>
      </c>
      <c r="H1" s="66">
        <f>G1*39.37</f>
        <v>0.49999899999999997</v>
      </c>
      <c r="I1" t="b">
        <f>A1=O1</f>
        <v>1</v>
      </c>
      <c r="J1" t="b">
        <f>E1=S1</f>
        <v>1</v>
      </c>
      <c r="K1" t="b">
        <f>H1=V1</f>
        <v>1</v>
      </c>
      <c r="N1">
        <v>32</v>
      </c>
      <c r="O1" s="1" t="s">
        <v>6</v>
      </c>
      <c r="P1" s="7"/>
      <c r="Q1" s="46"/>
      <c r="R1" s="141"/>
      <c r="S1" s="160"/>
      <c r="T1" s="188"/>
      <c r="U1" s="73">
        <v>1.2699999999999999E-2</v>
      </c>
      <c r="V1" s="66">
        <f t="shared" ref="V1:V8" si="0">U1*39.37</f>
        <v>0.49999899999999997</v>
      </c>
    </row>
    <row r="2" spans="1:22" x14ac:dyDescent="0.25">
      <c r="A2" s="1" t="s">
        <v>7</v>
      </c>
      <c r="B2" s="7">
        <v>1</v>
      </c>
      <c r="C2" s="46" t="s">
        <v>8</v>
      </c>
      <c r="D2" s="141"/>
      <c r="E2" s="142"/>
      <c r="F2" s="170"/>
      <c r="G2" s="172">
        <v>4.4999999999999998E-2</v>
      </c>
      <c r="H2" s="66">
        <f t="shared" ref="H2:H7" si="1">G2*39.37</f>
        <v>1.7716499999999997</v>
      </c>
      <c r="I2" t="b">
        <f t="shared" ref="I2:I33" si="2">A2=O2</f>
        <v>1</v>
      </c>
      <c r="J2" t="b">
        <f t="shared" ref="J2:J33" si="3">E2=S2</f>
        <v>1</v>
      </c>
      <c r="K2" t="b">
        <f t="shared" ref="K2:K33" si="4">H2=V2</f>
        <v>1</v>
      </c>
      <c r="N2">
        <v>31</v>
      </c>
      <c r="O2" s="1" t="s">
        <v>7</v>
      </c>
      <c r="P2" s="7">
        <v>32</v>
      </c>
      <c r="Q2" s="46" t="s">
        <v>14</v>
      </c>
      <c r="R2" s="141"/>
      <c r="S2" s="142"/>
      <c r="T2" s="143"/>
      <c r="U2" s="74">
        <v>4.4999999999999998E-2</v>
      </c>
      <c r="V2" s="66">
        <f t="shared" si="0"/>
        <v>1.7716499999999997</v>
      </c>
    </row>
    <row r="3" spans="1:22" x14ac:dyDescent="0.25">
      <c r="A3" s="1" t="s">
        <v>11</v>
      </c>
      <c r="B3" s="7"/>
      <c r="C3" s="46"/>
      <c r="D3" s="144"/>
      <c r="E3" s="145" t="s">
        <v>67</v>
      </c>
      <c r="F3" s="171"/>
      <c r="G3" s="173">
        <v>0.06</v>
      </c>
      <c r="H3" s="66">
        <f t="shared" si="1"/>
        <v>2.3621999999999996</v>
      </c>
      <c r="I3" t="b">
        <f t="shared" si="2"/>
        <v>1</v>
      </c>
      <c r="J3" t="b">
        <f t="shared" si="3"/>
        <v>1</v>
      </c>
      <c r="K3" t="b">
        <f t="shared" si="4"/>
        <v>1</v>
      </c>
      <c r="N3">
        <v>30</v>
      </c>
      <c r="O3" s="1" t="s">
        <v>11</v>
      </c>
      <c r="P3" s="7"/>
      <c r="Q3" s="46"/>
      <c r="R3" s="151"/>
      <c r="S3" s="145" t="s">
        <v>68</v>
      </c>
      <c r="T3" s="177"/>
      <c r="U3" s="74">
        <v>0.06</v>
      </c>
      <c r="V3" s="66">
        <f t="shared" si="0"/>
        <v>2.3621999999999996</v>
      </c>
    </row>
    <row r="4" spans="1:22" x14ac:dyDescent="0.25">
      <c r="A4" s="1" t="s">
        <v>7</v>
      </c>
      <c r="B4" s="7">
        <v>2</v>
      </c>
      <c r="C4" s="46" t="s">
        <v>53</v>
      </c>
      <c r="D4" s="147"/>
      <c r="E4" s="142"/>
      <c r="F4" s="179"/>
      <c r="G4" s="182">
        <v>1.6E-2</v>
      </c>
      <c r="H4" s="66">
        <f t="shared" si="1"/>
        <v>0.62991999999999992</v>
      </c>
      <c r="I4" t="b">
        <f t="shared" si="2"/>
        <v>1</v>
      </c>
      <c r="J4" t="b">
        <f t="shared" si="3"/>
        <v>1</v>
      </c>
      <c r="K4" t="b">
        <f t="shared" si="4"/>
        <v>1</v>
      </c>
      <c r="N4">
        <v>29</v>
      </c>
      <c r="O4" s="1" t="s">
        <v>7</v>
      </c>
      <c r="P4" s="7">
        <v>31</v>
      </c>
      <c r="Q4" s="47" t="s">
        <v>54</v>
      </c>
      <c r="R4" s="149"/>
      <c r="S4" s="85"/>
      <c r="T4" s="150"/>
      <c r="U4" s="74">
        <v>1.6E-2</v>
      </c>
      <c r="V4" s="66">
        <f t="shared" si="0"/>
        <v>0.62991999999999992</v>
      </c>
    </row>
    <row r="5" spans="1:22" x14ac:dyDescent="0.25">
      <c r="A5" s="1" t="s">
        <v>12</v>
      </c>
      <c r="B5" s="7"/>
      <c r="C5" s="46"/>
      <c r="D5" s="162"/>
      <c r="E5" s="163" t="s">
        <v>67</v>
      </c>
      <c r="F5" s="180"/>
      <c r="G5" s="182">
        <v>0.2</v>
      </c>
      <c r="H5" s="66">
        <f t="shared" si="1"/>
        <v>7.8739999999999997</v>
      </c>
      <c r="I5" t="b">
        <f t="shared" si="2"/>
        <v>1</v>
      </c>
      <c r="J5" t="b">
        <f t="shared" si="3"/>
        <v>1</v>
      </c>
      <c r="K5" t="b">
        <f t="shared" si="4"/>
        <v>1</v>
      </c>
      <c r="N5">
        <v>28</v>
      </c>
      <c r="O5" s="1" t="s">
        <v>12</v>
      </c>
      <c r="P5" s="7"/>
      <c r="Q5" s="47"/>
      <c r="R5" s="162"/>
      <c r="S5" s="163" t="s">
        <v>68</v>
      </c>
      <c r="T5" s="164"/>
      <c r="U5" s="72">
        <v>0.2</v>
      </c>
      <c r="V5" s="66">
        <f t="shared" si="0"/>
        <v>7.8739999999999997</v>
      </c>
    </row>
    <row r="6" spans="1:22" x14ac:dyDescent="0.25">
      <c r="A6" s="1" t="s">
        <v>7</v>
      </c>
      <c r="B6" s="7">
        <v>3</v>
      </c>
      <c r="C6" s="49" t="s">
        <v>13</v>
      </c>
      <c r="D6" s="165"/>
      <c r="E6" s="85"/>
      <c r="F6" s="181"/>
      <c r="G6" s="91">
        <v>1.6E-2</v>
      </c>
      <c r="H6" s="66">
        <f t="shared" si="1"/>
        <v>0.62991999999999992</v>
      </c>
      <c r="I6" t="b">
        <f t="shared" si="2"/>
        <v>1</v>
      </c>
      <c r="J6" t="b">
        <f t="shared" si="3"/>
        <v>1</v>
      </c>
      <c r="K6" t="b">
        <f t="shared" si="4"/>
        <v>1</v>
      </c>
      <c r="N6">
        <v>27</v>
      </c>
      <c r="O6" s="1" t="s">
        <v>7</v>
      </c>
      <c r="P6" s="7">
        <v>30</v>
      </c>
      <c r="Q6" s="49" t="s">
        <v>13</v>
      </c>
      <c r="R6" s="165"/>
      <c r="S6" s="85"/>
      <c r="T6" s="166"/>
      <c r="U6" s="73">
        <v>1.6E-2</v>
      </c>
      <c r="V6" s="66">
        <f t="shared" si="0"/>
        <v>0.62991999999999992</v>
      </c>
    </row>
    <row r="7" spans="1:22" x14ac:dyDescent="0.25">
      <c r="A7" s="1" t="s">
        <v>11</v>
      </c>
      <c r="B7" s="7"/>
      <c r="C7" s="46"/>
      <c r="D7" s="165"/>
      <c r="E7" s="145" t="s">
        <v>68</v>
      </c>
      <c r="F7" s="181"/>
      <c r="G7" s="91">
        <v>0.11</v>
      </c>
      <c r="H7" s="66">
        <f t="shared" si="1"/>
        <v>4.3306999999999993</v>
      </c>
      <c r="I7" t="b">
        <f t="shared" si="2"/>
        <v>1</v>
      </c>
      <c r="J7" t="b">
        <f t="shared" si="3"/>
        <v>1</v>
      </c>
      <c r="K7" t="b">
        <f t="shared" si="4"/>
        <v>1</v>
      </c>
      <c r="N7">
        <v>26</v>
      </c>
      <c r="O7" s="1" t="s">
        <v>11</v>
      </c>
      <c r="P7" s="7"/>
      <c r="Q7" s="47"/>
      <c r="R7" s="165"/>
      <c r="S7" s="145" t="s">
        <v>68</v>
      </c>
      <c r="T7" s="178"/>
      <c r="U7" s="73">
        <v>0.11</v>
      </c>
      <c r="V7" s="66">
        <f t="shared" si="0"/>
        <v>4.3306999999999993</v>
      </c>
    </row>
    <row r="8" spans="1:22" x14ac:dyDescent="0.25">
      <c r="A8" s="1" t="s">
        <v>7</v>
      </c>
      <c r="B8" s="7">
        <v>4</v>
      </c>
      <c r="C8" s="46" t="s">
        <v>53</v>
      </c>
      <c r="D8" s="147"/>
      <c r="E8" s="148"/>
      <c r="F8" s="179"/>
      <c r="G8" s="91"/>
      <c r="H8" s="66">
        <v>0.63</v>
      </c>
      <c r="I8" t="b">
        <f t="shared" si="2"/>
        <v>1</v>
      </c>
      <c r="J8" t="b">
        <f t="shared" si="3"/>
        <v>1</v>
      </c>
      <c r="K8" t="b">
        <f t="shared" si="4"/>
        <v>0</v>
      </c>
      <c r="N8">
        <v>25</v>
      </c>
      <c r="O8" s="1" t="s">
        <v>7</v>
      </c>
      <c r="P8" s="7">
        <v>29</v>
      </c>
      <c r="Q8" s="47" t="s">
        <v>53</v>
      </c>
      <c r="R8" s="79"/>
      <c r="S8" s="85"/>
      <c r="T8" s="82"/>
      <c r="U8" s="73">
        <v>1.6E-2</v>
      </c>
      <c r="V8" s="66">
        <f t="shared" si="0"/>
        <v>0.62991999999999992</v>
      </c>
    </row>
    <row r="9" spans="1:22" x14ac:dyDescent="0.25">
      <c r="A9" s="1" t="s">
        <v>12</v>
      </c>
      <c r="B9" s="7"/>
      <c r="C9" s="46"/>
      <c r="D9" s="80"/>
      <c r="E9" s="41" t="s">
        <v>26</v>
      </c>
      <c r="F9" s="87"/>
      <c r="G9" s="91"/>
      <c r="H9" s="66">
        <v>3.9369999999999998</v>
      </c>
      <c r="I9" t="b">
        <f t="shared" si="2"/>
        <v>1</v>
      </c>
      <c r="J9" t="b">
        <f t="shared" si="3"/>
        <v>1</v>
      </c>
      <c r="K9" t="b">
        <f t="shared" si="4"/>
        <v>1</v>
      </c>
      <c r="N9">
        <v>24</v>
      </c>
      <c r="O9" s="1" t="s">
        <v>12</v>
      </c>
      <c r="P9" s="7"/>
      <c r="Q9" s="47"/>
      <c r="R9" s="80"/>
      <c r="S9" s="92" t="s">
        <v>26</v>
      </c>
      <c r="T9" s="81"/>
      <c r="U9" s="73"/>
      <c r="V9" s="66">
        <v>3.9369999999999998</v>
      </c>
    </row>
    <row r="10" spans="1:22" x14ac:dyDescent="0.25">
      <c r="A10" s="1" t="s">
        <v>7</v>
      </c>
      <c r="B10" s="7">
        <v>5</v>
      </c>
      <c r="C10" s="49" t="s">
        <v>13</v>
      </c>
      <c r="D10" s="76"/>
      <c r="E10" s="3"/>
      <c r="F10" s="90"/>
      <c r="G10" s="91"/>
      <c r="H10" s="66">
        <v>0.62991999999999992</v>
      </c>
      <c r="I10" t="b">
        <f t="shared" si="2"/>
        <v>1</v>
      </c>
      <c r="J10" t="b">
        <f t="shared" si="3"/>
        <v>1</v>
      </c>
      <c r="K10" t="b">
        <f t="shared" si="4"/>
        <v>1</v>
      </c>
      <c r="N10">
        <v>23</v>
      </c>
      <c r="O10" s="1" t="s">
        <v>7</v>
      </c>
      <c r="P10" s="7">
        <v>28</v>
      </c>
      <c r="Q10" s="49" t="s">
        <v>13</v>
      </c>
      <c r="R10" s="76"/>
      <c r="S10" s="3"/>
      <c r="T10" s="83"/>
      <c r="U10" s="73"/>
      <c r="V10" s="66">
        <v>0.62991999999999992</v>
      </c>
    </row>
    <row r="11" spans="1:22" x14ac:dyDescent="0.25">
      <c r="A11" s="1" t="s">
        <v>11</v>
      </c>
      <c r="B11" s="7"/>
      <c r="C11" s="46"/>
      <c r="D11" s="76"/>
      <c r="E11" s="40" t="s">
        <v>26</v>
      </c>
      <c r="F11" s="78"/>
      <c r="G11" s="73"/>
      <c r="H11" s="66">
        <v>4.7243999999999993</v>
      </c>
      <c r="I11" t="b">
        <f t="shared" si="2"/>
        <v>1</v>
      </c>
      <c r="J11" t="b">
        <f t="shared" si="3"/>
        <v>1</v>
      </c>
      <c r="K11" t="b">
        <f t="shared" si="4"/>
        <v>1</v>
      </c>
      <c r="N11">
        <v>22</v>
      </c>
      <c r="O11" s="1" t="s">
        <v>11</v>
      </c>
      <c r="P11" s="7"/>
      <c r="Q11" s="46"/>
      <c r="R11" s="76"/>
      <c r="S11" s="40" t="s">
        <v>26</v>
      </c>
      <c r="T11" s="78"/>
      <c r="U11" s="73"/>
      <c r="V11" s="66">
        <v>4.7243999999999993</v>
      </c>
    </row>
    <row r="12" spans="1:22" x14ac:dyDescent="0.25">
      <c r="A12" s="1" t="s">
        <v>7</v>
      </c>
      <c r="B12" s="7">
        <v>6</v>
      </c>
      <c r="C12" s="46" t="s">
        <v>53</v>
      </c>
      <c r="D12" s="79"/>
      <c r="E12" s="3"/>
      <c r="F12" s="82"/>
      <c r="G12" s="73"/>
      <c r="H12" s="66">
        <v>0.62991999999999992</v>
      </c>
      <c r="I12" t="b">
        <f t="shared" si="2"/>
        <v>1</v>
      </c>
      <c r="J12" t="b">
        <f t="shared" si="3"/>
        <v>1</v>
      </c>
      <c r="K12" t="b">
        <f t="shared" si="4"/>
        <v>1</v>
      </c>
      <c r="N12">
        <v>21</v>
      </c>
      <c r="O12" s="1" t="s">
        <v>7</v>
      </c>
      <c r="P12" s="7">
        <v>27</v>
      </c>
      <c r="Q12" s="46" t="s">
        <v>53</v>
      </c>
      <c r="R12" s="79"/>
      <c r="S12" s="3"/>
      <c r="T12" s="82"/>
      <c r="U12" s="73"/>
      <c r="V12" s="66">
        <v>0.62991999999999992</v>
      </c>
    </row>
    <row r="13" spans="1:22" x14ac:dyDescent="0.25">
      <c r="A13" s="1" t="s">
        <v>12</v>
      </c>
      <c r="B13" s="7"/>
      <c r="C13" s="46"/>
      <c r="D13" s="80"/>
      <c r="E13" s="41" t="s">
        <v>26</v>
      </c>
      <c r="F13" s="81"/>
      <c r="G13" s="73"/>
      <c r="H13" s="66">
        <v>3.9369999999999998</v>
      </c>
      <c r="I13" t="b">
        <f t="shared" si="2"/>
        <v>1</v>
      </c>
      <c r="J13" t="b">
        <f t="shared" si="3"/>
        <v>1</v>
      </c>
      <c r="K13" t="b">
        <f t="shared" si="4"/>
        <v>1</v>
      </c>
      <c r="N13">
        <v>20</v>
      </c>
      <c r="O13" s="1" t="s">
        <v>12</v>
      </c>
      <c r="P13" s="7"/>
      <c r="Q13" s="46"/>
      <c r="R13" s="80"/>
      <c r="S13" s="41" t="s">
        <v>26</v>
      </c>
      <c r="T13" s="81"/>
      <c r="U13" s="73"/>
      <c r="V13" s="66">
        <v>3.9369999999999998</v>
      </c>
    </row>
    <row r="14" spans="1:22" x14ac:dyDescent="0.25">
      <c r="A14" s="1" t="s">
        <v>7</v>
      </c>
      <c r="B14" s="7">
        <v>7</v>
      </c>
      <c r="C14" s="49" t="s">
        <v>13</v>
      </c>
      <c r="D14" s="76"/>
      <c r="E14" s="3"/>
      <c r="F14" s="83"/>
      <c r="G14" s="74"/>
      <c r="H14" s="66">
        <v>0.62991999999999992</v>
      </c>
      <c r="I14" t="b">
        <f t="shared" si="2"/>
        <v>1</v>
      </c>
      <c r="J14" t="b">
        <f t="shared" si="3"/>
        <v>1</v>
      </c>
      <c r="K14" t="b">
        <f t="shared" si="4"/>
        <v>1</v>
      </c>
      <c r="N14">
        <v>19</v>
      </c>
      <c r="O14" s="1" t="s">
        <v>7</v>
      </c>
      <c r="P14" s="7">
        <v>26</v>
      </c>
      <c r="Q14" s="49" t="s">
        <v>13</v>
      </c>
      <c r="R14" s="76"/>
      <c r="S14" s="3"/>
      <c r="T14" s="83"/>
      <c r="U14" s="73"/>
      <c r="V14" s="66">
        <v>0.62991999999999992</v>
      </c>
    </row>
    <row r="15" spans="1:22" x14ac:dyDescent="0.25">
      <c r="A15" s="1" t="s">
        <v>11</v>
      </c>
      <c r="B15" s="7"/>
      <c r="C15" s="46"/>
      <c r="D15" s="76"/>
      <c r="E15" s="40" t="s">
        <v>26</v>
      </c>
      <c r="F15" s="78"/>
      <c r="G15" s="74"/>
      <c r="H15" s="66">
        <v>4.7243999999999993</v>
      </c>
      <c r="I15" t="b">
        <f t="shared" si="2"/>
        <v>1</v>
      </c>
      <c r="J15" t="b">
        <f t="shared" si="3"/>
        <v>1</v>
      </c>
      <c r="K15" t="b">
        <f t="shared" si="4"/>
        <v>1</v>
      </c>
      <c r="N15">
        <v>18</v>
      </c>
      <c r="O15" s="1" t="s">
        <v>11</v>
      </c>
      <c r="P15" s="7"/>
      <c r="Q15" s="46"/>
      <c r="R15" s="76"/>
      <c r="S15" s="40" t="s">
        <v>26</v>
      </c>
      <c r="T15" s="78"/>
      <c r="U15" s="73"/>
      <c r="V15" s="66">
        <v>4.7243999999999993</v>
      </c>
    </row>
    <row r="16" spans="1:22" x14ac:dyDescent="0.25">
      <c r="A16" s="1" t="s">
        <v>7</v>
      </c>
      <c r="B16" s="7">
        <v>8</v>
      </c>
      <c r="C16" s="46" t="s">
        <v>53</v>
      </c>
      <c r="D16" s="79"/>
      <c r="E16" s="3"/>
      <c r="F16" s="82"/>
      <c r="G16" s="74"/>
      <c r="H16" s="66">
        <v>0.62991999999999992</v>
      </c>
      <c r="I16" t="b">
        <f t="shared" si="2"/>
        <v>1</v>
      </c>
      <c r="J16" t="b">
        <f t="shared" si="3"/>
        <v>1</v>
      </c>
      <c r="K16" t="b">
        <f t="shared" si="4"/>
        <v>1</v>
      </c>
      <c r="N16">
        <v>17</v>
      </c>
      <c r="O16" s="1" t="s">
        <v>7</v>
      </c>
      <c r="P16" s="7">
        <v>25</v>
      </c>
      <c r="Q16" s="46" t="s">
        <v>53</v>
      </c>
      <c r="R16" s="79"/>
      <c r="S16" s="3"/>
      <c r="T16" s="82"/>
      <c r="U16" s="73"/>
      <c r="V16" s="66">
        <v>0.62991999999999992</v>
      </c>
    </row>
    <row r="17" spans="1:22" x14ac:dyDescent="0.25">
      <c r="A17" s="1" t="s">
        <v>12</v>
      </c>
      <c r="B17" s="7"/>
      <c r="C17" s="46"/>
      <c r="D17" s="80"/>
      <c r="E17" s="41" t="s">
        <v>26</v>
      </c>
      <c r="F17" s="81"/>
      <c r="G17" s="73"/>
      <c r="H17" s="66">
        <v>3.9369999999999998</v>
      </c>
      <c r="I17" t="b">
        <f t="shared" si="2"/>
        <v>1</v>
      </c>
      <c r="J17" t="b">
        <f t="shared" si="3"/>
        <v>1</v>
      </c>
      <c r="K17" t="b">
        <f t="shared" si="4"/>
        <v>1</v>
      </c>
      <c r="N17">
        <v>16</v>
      </c>
      <c r="O17" s="1" t="s">
        <v>12</v>
      </c>
      <c r="P17" s="7"/>
      <c r="Q17" s="46"/>
      <c r="R17" s="80"/>
      <c r="S17" s="41" t="s">
        <v>26</v>
      </c>
      <c r="T17" s="81"/>
      <c r="U17" s="73"/>
      <c r="V17" s="66">
        <v>3.9369999999999998</v>
      </c>
    </row>
    <row r="18" spans="1:22" x14ac:dyDescent="0.25">
      <c r="A18" s="1" t="s">
        <v>7</v>
      </c>
      <c r="B18" s="7">
        <v>9</v>
      </c>
      <c r="C18" s="49" t="s">
        <v>13</v>
      </c>
      <c r="D18" s="76"/>
      <c r="E18" s="3"/>
      <c r="F18" s="83"/>
      <c r="G18" s="74"/>
      <c r="H18" s="66">
        <v>0.62991999999999992</v>
      </c>
      <c r="I18" t="b">
        <f t="shared" si="2"/>
        <v>1</v>
      </c>
      <c r="J18" t="b">
        <f t="shared" si="3"/>
        <v>1</v>
      </c>
      <c r="K18" t="b">
        <f t="shared" si="4"/>
        <v>1</v>
      </c>
      <c r="N18">
        <v>15</v>
      </c>
      <c r="O18" s="1" t="s">
        <v>7</v>
      </c>
      <c r="P18" s="7">
        <v>24</v>
      </c>
      <c r="Q18" s="49" t="s">
        <v>13</v>
      </c>
      <c r="R18" s="76"/>
      <c r="S18" s="3"/>
      <c r="T18" s="83"/>
      <c r="U18" s="73"/>
      <c r="V18" s="66">
        <v>0.62991999999999992</v>
      </c>
    </row>
    <row r="19" spans="1:22" x14ac:dyDescent="0.25">
      <c r="A19" s="1" t="s">
        <v>11</v>
      </c>
      <c r="B19" s="7"/>
      <c r="C19" s="46"/>
      <c r="D19" s="76"/>
      <c r="E19" s="40" t="s">
        <v>26</v>
      </c>
      <c r="F19" s="78"/>
      <c r="G19" s="74"/>
      <c r="H19" s="66">
        <v>4.7243999999999993</v>
      </c>
      <c r="I19" t="b">
        <f t="shared" si="2"/>
        <v>1</v>
      </c>
      <c r="J19" t="b">
        <f t="shared" si="3"/>
        <v>1</v>
      </c>
      <c r="K19" t="b">
        <f t="shared" si="4"/>
        <v>1</v>
      </c>
      <c r="N19">
        <v>14</v>
      </c>
      <c r="O19" s="1" t="s">
        <v>11</v>
      </c>
      <c r="P19" s="7"/>
      <c r="Q19" s="48"/>
      <c r="R19" s="76"/>
      <c r="S19" s="40" t="s">
        <v>26</v>
      </c>
      <c r="T19" s="78"/>
      <c r="U19" s="73"/>
      <c r="V19" s="66">
        <v>4.7243999999999993</v>
      </c>
    </row>
    <row r="20" spans="1:22" x14ac:dyDescent="0.25">
      <c r="A20" s="1" t="s">
        <v>7</v>
      </c>
      <c r="B20" s="7">
        <v>10</v>
      </c>
      <c r="C20" s="46" t="s">
        <v>53</v>
      </c>
      <c r="D20" s="79"/>
      <c r="E20" s="3"/>
      <c r="F20" s="82"/>
      <c r="G20" s="74"/>
      <c r="H20" s="66">
        <v>0.62991999999999992</v>
      </c>
      <c r="I20" t="b">
        <f t="shared" si="2"/>
        <v>1</v>
      </c>
      <c r="J20" t="b">
        <f t="shared" si="3"/>
        <v>1</v>
      </c>
      <c r="K20" t="b">
        <f t="shared" si="4"/>
        <v>1</v>
      </c>
      <c r="N20">
        <v>13</v>
      </c>
      <c r="O20" s="1" t="s">
        <v>7</v>
      </c>
      <c r="P20" s="7">
        <v>23</v>
      </c>
      <c r="Q20" s="46" t="s">
        <v>53</v>
      </c>
      <c r="R20" s="79"/>
      <c r="S20" s="3"/>
      <c r="T20" s="88"/>
      <c r="U20" s="91"/>
      <c r="V20" s="66">
        <v>0.62991999999999992</v>
      </c>
    </row>
    <row r="21" spans="1:22" x14ac:dyDescent="0.25">
      <c r="A21" s="1" t="s">
        <v>12</v>
      </c>
      <c r="B21" s="7"/>
      <c r="C21" s="46"/>
      <c r="D21" s="80"/>
      <c r="E21" s="41" t="s">
        <v>26</v>
      </c>
      <c r="F21" s="81"/>
      <c r="G21" s="74"/>
      <c r="H21" s="66">
        <v>3.9369999999999998</v>
      </c>
      <c r="I21" t="b">
        <f t="shared" si="2"/>
        <v>1</v>
      </c>
      <c r="J21" t="b">
        <f t="shared" si="3"/>
        <v>1</v>
      </c>
      <c r="K21" t="b">
        <f t="shared" si="4"/>
        <v>1</v>
      </c>
      <c r="N21">
        <v>12</v>
      </c>
      <c r="O21" s="1" t="s">
        <v>55</v>
      </c>
      <c r="P21" s="7"/>
      <c r="Q21" s="46"/>
      <c r="R21" s="80"/>
      <c r="S21" s="41" t="s">
        <v>26</v>
      </c>
      <c r="T21" s="87"/>
      <c r="U21" s="91"/>
      <c r="V21" s="66">
        <v>3.9369999999999998</v>
      </c>
    </row>
    <row r="22" spans="1:22" x14ac:dyDescent="0.25">
      <c r="A22" s="1" t="s">
        <v>7</v>
      </c>
      <c r="B22" s="7">
        <v>11</v>
      </c>
      <c r="C22" s="95" t="s">
        <v>40</v>
      </c>
      <c r="D22" s="76"/>
      <c r="E22" s="3"/>
      <c r="F22" s="83"/>
      <c r="G22" s="74"/>
      <c r="H22" s="66">
        <v>0.62991999999999992</v>
      </c>
      <c r="I22" t="b">
        <f t="shared" si="2"/>
        <v>1</v>
      </c>
      <c r="J22" t="b">
        <f t="shared" si="3"/>
        <v>1</v>
      </c>
      <c r="K22" t="b">
        <f t="shared" si="4"/>
        <v>1</v>
      </c>
      <c r="N22">
        <v>11</v>
      </c>
      <c r="O22" s="1" t="s">
        <v>7</v>
      </c>
      <c r="P22" s="7">
        <v>22</v>
      </c>
      <c r="Q22" s="95" t="s">
        <v>40</v>
      </c>
      <c r="R22" s="79"/>
      <c r="S22" s="3"/>
      <c r="T22" s="88"/>
      <c r="U22" s="91"/>
      <c r="V22" s="66">
        <v>0.62991999999999992</v>
      </c>
    </row>
    <row r="23" spans="1:22" x14ac:dyDescent="0.25">
      <c r="A23" s="1" t="s">
        <v>11</v>
      </c>
      <c r="B23" s="7"/>
      <c r="C23" s="46"/>
      <c r="D23" s="76"/>
      <c r="E23" s="40" t="s">
        <v>26</v>
      </c>
      <c r="F23" s="78"/>
      <c r="G23" s="74"/>
      <c r="H23" s="66">
        <v>4.7243999999999993</v>
      </c>
      <c r="I23" t="b">
        <f t="shared" si="2"/>
        <v>1</v>
      </c>
      <c r="J23" t="b">
        <f t="shared" si="3"/>
        <v>1</v>
      </c>
      <c r="K23" t="b">
        <f t="shared" si="4"/>
        <v>1</v>
      </c>
      <c r="N23">
        <v>10</v>
      </c>
      <c r="O23" s="1" t="s">
        <v>56</v>
      </c>
      <c r="P23" s="7"/>
      <c r="Q23" s="48"/>
      <c r="R23" s="76"/>
      <c r="S23" s="40" t="s">
        <v>26</v>
      </c>
      <c r="T23" s="89"/>
      <c r="U23" s="91"/>
      <c r="V23" s="66">
        <v>4.7243999999999993</v>
      </c>
    </row>
    <row r="24" spans="1:22" x14ac:dyDescent="0.25">
      <c r="A24" s="1" t="s">
        <v>7</v>
      </c>
      <c r="B24" s="7">
        <v>12</v>
      </c>
      <c r="C24" s="46" t="s">
        <v>53</v>
      </c>
      <c r="D24" s="79"/>
      <c r="E24" s="3"/>
      <c r="F24" s="82"/>
      <c r="G24" s="74"/>
      <c r="H24" s="66">
        <v>0.62991999999999992</v>
      </c>
      <c r="I24" t="b">
        <f t="shared" si="2"/>
        <v>1</v>
      </c>
      <c r="J24" t="b">
        <f t="shared" si="3"/>
        <v>1</v>
      </c>
      <c r="K24" t="b">
        <f t="shared" si="4"/>
        <v>1</v>
      </c>
      <c r="N24">
        <v>9</v>
      </c>
      <c r="O24" s="1" t="s">
        <v>7</v>
      </c>
      <c r="P24" s="7">
        <v>21</v>
      </c>
      <c r="Q24" s="46" t="s">
        <v>53</v>
      </c>
      <c r="R24" s="167"/>
      <c r="S24" s="3"/>
      <c r="T24" s="168"/>
      <c r="U24" s="91"/>
      <c r="V24" s="66">
        <v>0.62991999999999992</v>
      </c>
    </row>
    <row r="25" spans="1:22" x14ac:dyDescent="0.25">
      <c r="A25" s="1" t="s">
        <v>12</v>
      </c>
      <c r="B25" s="7"/>
      <c r="C25" s="94"/>
      <c r="D25" s="80"/>
      <c r="E25" s="41" t="s">
        <v>26</v>
      </c>
      <c r="F25" s="81"/>
      <c r="G25" s="73"/>
      <c r="H25" s="66">
        <v>3.9369999999999998</v>
      </c>
      <c r="I25" t="b">
        <f t="shared" si="2"/>
        <v>1</v>
      </c>
      <c r="J25" t="b">
        <f t="shared" si="3"/>
        <v>1</v>
      </c>
      <c r="K25" t="b">
        <f t="shared" si="4"/>
        <v>1</v>
      </c>
      <c r="N25">
        <v>8</v>
      </c>
      <c r="O25" s="1" t="s">
        <v>55</v>
      </c>
      <c r="P25" s="7"/>
      <c r="Q25" s="46"/>
      <c r="R25" s="22"/>
      <c r="S25" s="41" t="s">
        <v>26</v>
      </c>
      <c r="T25" s="23"/>
      <c r="U25" s="91"/>
      <c r="V25" s="66">
        <v>3.9369999999999998</v>
      </c>
    </row>
    <row r="26" spans="1:22" x14ac:dyDescent="0.25">
      <c r="A26" s="1" t="s">
        <v>7</v>
      </c>
      <c r="B26" s="7">
        <v>13</v>
      </c>
      <c r="C26" s="95" t="s">
        <v>40</v>
      </c>
      <c r="D26" s="76"/>
      <c r="E26" s="3"/>
      <c r="F26" s="83"/>
      <c r="G26" s="74"/>
      <c r="H26" s="66">
        <v>0.62991999999999992</v>
      </c>
      <c r="I26" t="b">
        <f t="shared" si="2"/>
        <v>1</v>
      </c>
      <c r="J26" t="b">
        <f t="shared" si="3"/>
        <v>1</v>
      </c>
      <c r="K26" t="b">
        <f t="shared" si="4"/>
        <v>1</v>
      </c>
      <c r="N26">
        <v>7</v>
      </c>
      <c r="O26" s="1" t="s">
        <v>7</v>
      </c>
      <c r="P26" s="7">
        <v>20</v>
      </c>
      <c r="Q26" s="95" t="s">
        <v>40</v>
      </c>
      <c r="R26" s="76"/>
      <c r="S26" s="3"/>
      <c r="T26" s="83"/>
      <c r="U26" s="73"/>
      <c r="V26" s="66">
        <v>0.62991999999999992</v>
      </c>
    </row>
    <row r="27" spans="1:22" x14ac:dyDescent="0.25">
      <c r="A27" s="1" t="s">
        <v>11</v>
      </c>
      <c r="B27" s="7"/>
      <c r="C27" s="46"/>
      <c r="D27" s="76"/>
      <c r="E27" s="40" t="s">
        <v>26</v>
      </c>
      <c r="F27" s="78"/>
      <c r="G27" s="74"/>
      <c r="H27" s="66">
        <v>4.7243999999999993</v>
      </c>
      <c r="I27" t="b">
        <f t="shared" si="2"/>
        <v>1</v>
      </c>
      <c r="J27" t="b">
        <f t="shared" si="3"/>
        <v>1</v>
      </c>
      <c r="K27" t="b">
        <f t="shared" si="4"/>
        <v>1</v>
      </c>
      <c r="N27">
        <v>6</v>
      </c>
      <c r="O27" s="1" t="s">
        <v>56</v>
      </c>
      <c r="P27" s="7"/>
      <c r="Q27" s="48"/>
      <c r="R27" s="76"/>
      <c r="S27" s="40" t="s">
        <v>26</v>
      </c>
      <c r="T27" s="78"/>
      <c r="U27" s="73"/>
      <c r="V27" s="66">
        <v>4.7243999999999993</v>
      </c>
    </row>
    <row r="28" spans="1:22" x14ac:dyDescent="0.25">
      <c r="A28" s="1" t="s">
        <v>7</v>
      </c>
      <c r="B28" s="7">
        <v>14</v>
      </c>
      <c r="C28" s="46" t="s">
        <v>53</v>
      </c>
      <c r="D28" s="79"/>
      <c r="E28" s="3"/>
      <c r="F28" s="82"/>
      <c r="G28" s="74"/>
      <c r="H28" s="66">
        <v>0.62991999999999992</v>
      </c>
      <c r="I28" t="b">
        <f t="shared" si="2"/>
        <v>1</v>
      </c>
      <c r="J28" t="b">
        <f t="shared" si="3"/>
        <v>1</v>
      </c>
      <c r="K28" t="b">
        <f t="shared" si="4"/>
        <v>1</v>
      </c>
      <c r="N28">
        <v>5</v>
      </c>
      <c r="O28" s="1" t="s">
        <v>7</v>
      </c>
      <c r="P28" s="7">
        <v>19</v>
      </c>
      <c r="Q28" s="46" t="s">
        <v>53</v>
      </c>
      <c r="R28" s="79"/>
      <c r="S28" s="3"/>
      <c r="T28" s="82"/>
      <c r="U28" s="73"/>
      <c r="V28" s="66">
        <v>0.62991999999999992</v>
      </c>
    </row>
    <row r="29" spans="1:22" x14ac:dyDescent="0.25">
      <c r="A29" s="1" t="s">
        <v>12</v>
      </c>
      <c r="B29" s="7"/>
      <c r="C29" s="46"/>
      <c r="D29" s="80"/>
      <c r="E29" s="41" t="s">
        <v>26</v>
      </c>
      <c r="F29" s="81"/>
      <c r="G29" s="73"/>
      <c r="H29" s="66">
        <v>3.9369999999999998</v>
      </c>
      <c r="I29" t="b">
        <f t="shared" si="2"/>
        <v>1</v>
      </c>
      <c r="J29" t="b">
        <f t="shared" si="3"/>
        <v>1</v>
      </c>
      <c r="K29" t="b">
        <f t="shared" si="4"/>
        <v>1</v>
      </c>
      <c r="N29">
        <v>4</v>
      </c>
      <c r="O29" s="1" t="s">
        <v>55</v>
      </c>
      <c r="P29" s="7"/>
      <c r="Q29" s="48"/>
      <c r="R29" s="80"/>
      <c r="S29" s="41" t="s">
        <v>26</v>
      </c>
      <c r="T29" s="81"/>
      <c r="U29" s="73"/>
      <c r="V29" s="66">
        <v>3.9369999999999998</v>
      </c>
    </row>
    <row r="30" spans="1:22" x14ac:dyDescent="0.25">
      <c r="A30" s="1" t="s">
        <v>7</v>
      </c>
      <c r="B30" s="7">
        <v>15</v>
      </c>
      <c r="C30" s="95" t="s">
        <v>40</v>
      </c>
      <c r="D30" s="76"/>
      <c r="E30" s="3"/>
      <c r="F30" s="77"/>
      <c r="G30" s="73"/>
      <c r="H30" s="66">
        <v>0.62991999999999992</v>
      </c>
      <c r="I30" t="b">
        <f t="shared" si="2"/>
        <v>1</v>
      </c>
      <c r="J30" t="b">
        <f t="shared" si="3"/>
        <v>1</v>
      </c>
      <c r="K30" t="b">
        <f t="shared" si="4"/>
        <v>1</v>
      </c>
      <c r="N30">
        <v>3</v>
      </c>
      <c r="O30" s="1" t="s">
        <v>7</v>
      </c>
      <c r="P30" s="7">
        <v>18</v>
      </c>
      <c r="Q30" s="48" t="s">
        <v>41</v>
      </c>
      <c r="R30" s="76"/>
      <c r="S30" s="3"/>
      <c r="T30" s="83"/>
      <c r="U30" s="187"/>
      <c r="V30" s="66">
        <v>0.62991999999999992</v>
      </c>
    </row>
    <row r="31" spans="1:22" x14ac:dyDescent="0.25">
      <c r="A31" s="1" t="s">
        <v>11</v>
      </c>
      <c r="B31" s="7"/>
      <c r="C31" s="46"/>
      <c r="D31" s="76"/>
      <c r="E31" s="40" t="s">
        <v>26</v>
      </c>
      <c r="F31" s="78"/>
      <c r="G31" s="74"/>
      <c r="H31" s="66">
        <v>4.7243999999999993</v>
      </c>
      <c r="I31" t="b">
        <f t="shared" si="2"/>
        <v>1</v>
      </c>
      <c r="J31" t="b">
        <f t="shared" si="3"/>
        <v>1</v>
      </c>
      <c r="K31" t="b">
        <f t="shared" si="4"/>
        <v>1</v>
      </c>
      <c r="N31">
        <v>2</v>
      </c>
      <c r="O31" s="1" t="s">
        <v>11</v>
      </c>
      <c r="P31" s="1"/>
      <c r="Q31" s="46"/>
      <c r="R31" s="76"/>
      <c r="S31" s="40" t="s">
        <v>26</v>
      </c>
      <c r="T31" s="78"/>
      <c r="U31" s="73"/>
      <c r="V31" s="66">
        <v>4.7243999999999993</v>
      </c>
    </row>
    <row r="32" spans="1:22" ht="17.25" thickBot="1" x14ac:dyDescent="0.3">
      <c r="A32" s="1" t="s">
        <v>7</v>
      </c>
      <c r="B32" s="7">
        <v>16</v>
      </c>
      <c r="C32" s="46" t="s">
        <v>53</v>
      </c>
      <c r="D32" s="79"/>
      <c r="E32" s="3"/>
      <c r="F32" s="82"/>
      <c r="G32" s="73"/>
      <c r="H32" s="66">
        <v>0.62991999999999992</v>
      </c>
      <c r="I32" t="b">
        <f t="shared" si="2"/>
        <v>1</v>
      </c>
      <c r="J32" t="b">
        <f t="shared" si="3"/>
        <v>1</v>
      </c>
      <c r="K32" t="b">
        <f t="shared" si="4"/>
        <v>1</v>
      </c>
      <c r="N32">
        <v>1</v>
      </c>
      <c r="O32" s="1" t="s">
        <v>7</v>
      </c>
      <c r="P32" s="7">
        <v>17</v>
      </c>
      <c r="Q32" s="46" t="s">
        <v>28</v>
      </c>
      <c r="R32" s="175"/>
      <c r="S32" s="161"/>
      <c r="T32" s="176"/>
      <c r="U32" s="73"/>
      <c r="V32" s="66">
        <v>0.62991999999999992</v>
      </c>
    </row>
    <row r="33" spans="1:11" x14ac:dyDescent="0.25">
      <c r="A33" s="1" t="s">
        <v>12</v>
      </c>
      <c r="B33" s="44"/>
      <c r="D33" s="80"/>
      <c r="E33" s="41" t="s">
        <v>26</v>
      </c>
      <c r="F33" s="81"/>
      <c r="G33" s="73"/>
      <c r="H33" s="66">
        <v>43.307000000000002</v>
      </c>
      <c r="I33" t="b">
        <f t="shared" si="2"/>
        <v>0</v>
      </c>
      <c r="J33" t="b">
        <f t="shared" si="3"/>
        <v>0</v>
      </c>
      <c r="K33" t="b">
        <f t="shared" si="4"/>
        <v>0</v>
      </c>
    </row>
    <row r="66" spans="2:8" x14ac:dyDescent="0.25">
      <c r="B66" s="7"/>
      <c r="C66" s="46"/>
      <c r="E66" s="7"/>
      <c r="G66" s="42"/>
      <c r="H66" s="43"/>
    </row>
    <row r="67" spans="2:8" x14ac:dyDescent="0.25">
      <c r="B67" s="7"/>
      <c r="C67" s="46"/>
      <c r="E67" s="7"/>
      <c r="G67" s="42"/>
      <c r="H67" s="43"/>
    </row>
    <row r="68" spans="2:8" x14ac:dyDescent="0.25">
      <c r="B68" s="7"/>
      <c r="C68" s="46"/>
      <c r="E68" s="7"/>
      <c r="G68" s="6"/>
      <c r="H68" s="6"/>
    </row>
    <row r="69" spans="2:8" x14ac:dyDescent="0.25">
      <c r="B69" s="7"/>
      <c r="C69" s="46"/>
      <c r="E69" s="7"/>
      <c r="H69" s="43"/>
    </row>
    <row r="70" spans="2:8" x14ac:dyDescent="0.25">
      <c r="C70" s="1"/>
      <c r="E70" s="7"/>
    </row>
    <row r="71" spans="2:8" x14ac:dyDescent="0.25">
      <c r="C71" s="1"/>
    </row>
    <row r="72" spans="2:8" x14ac:dyDescent="0.25">
      <c r="C72" s="1"/>
    </row>
    <row r="131" spans="1:1" x14ac:dyDescent="0.25">
      <c r="A131" s="1" t="s">
        <v>27</v>
      </c>
    </row>
  </sheetData>
  <sortState ref="N1:V134">
    <sortCondition descending="1" ref="N1"/>
  </sortState>
  <phoneticPr fontId="1" type="noConversion"/>
  <conditionalFormatting sqref="I1:K33">
    <cfRule type="containsText" dxfId="1" priority="2" operator="containsText" text="TRUE">
      <formula>NOT(ISERROR(SEARCH("TRUE",I1)))</formula>
    </cfRule>
    <cfRule type="containsText" dxfId="0" priority="1" operator="containsText" text="FALSE">
      <formula>NOT(ISERROR(SEARCH("FALSE",I1)))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32L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2026-09-24T06:16:28Z</dcterms:modified>
</cp:coreProperties>
</file>