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iTest\homeoffice\Test Hardware\980RT-9068CJ-K9X-A10-0924\"/>
    </mc:Choice>
  </mc:AlternateContent>
  <xr:revisionPtr revIDLastSave="0" documentId="13_ncr:1_{03A9BE04-38E4-4DB9-B320-6A69362BF932}" xr6:coauthVersionLast="47" xr6:coauthVersionMax="47" xr10:uidLastSave="{00000000-0000-0000-0000-000000000000}"/>
  <bookViews>
    <workbookView xWindow="-120" yWindow="-120" windowWidth="29040" windowHeight="15720" tabRatio="393" activeTab="1" xr2:uid="{00000000-000D-0000-FFFF-FFFF00000000}"/>
  </bookViews>
  <sheets>
    <sheet name="DSIO RULE" sheetId="1" r:id="rId1"/>
    <sheet name="CHANNEL" sheetId="2" r:id="rId2"/>
    <sheet name="DUT DSIO RULE CHECK" sheetId="3" r:id="rId3"/>
    <sheet name="GOLDEN DSIO RULE CHECK" sheetId="4" r:id="rId4"/>
  </sheets>
  <definedNames>
    <definedName name="_xlnm._FilterDatabase" localSheetId="1" hidden="1">CHANNEL!$G$1:$G$514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4" i="4" l="1"/>
  <c r="U3" i="4"/>
  <c r="Q4" i="4"/>
  <c r="Q3" i="4"/>
  <c r="M4" i="4"/>
  <c r="M3" i="4"/>
  <c r="I4" i="4"/>
  <c r="I3" i="4"/>
  <c r="T8" i="4"/>
  <c r="P8" i="4"/>
  <c r="L8" i="4"/>
  <c r="H8" i="4"/>
  <c r="W4" i="4" l="1"/>
  <c r="S4" i="4"/>
  <c r="O4" i="4"/>
  <c r="K4" i="4"/>
  <c r="W3" i="4"/>
  <c r="S3" i="4"/>
  <c r="O3" i="4"/>
  <c r="K3" i="4"/>
  <c r="S8" i="4" l="1"/>
  <c r="J25" i="4" s="1"/>
  <c r="W8" i="4"/>
  <c r="J29" i="4" s="1"/>
  <c r="W9" i="4"/>
  <c r="J30" i="4" s="1"/>
  <c r="S9" i="4"/>
  <c r="J26" i="4" s="1"/>
  <c r="O9" i="4"/>
  <c r="J22" i="4" s="1"/>
  <c r="O8" i="4"/>
  <c r="J21" i="4" s="1"/>
  <c r="K9" i="4"/>
  <c r="J18" i="4" s="1"/>
  <c r="K8" i="4"/>
  <c r="J17" i="4" s="1"/>
  <c r="V4" i="4"/>
  <c r="V9" i="4" s="1"/>
  <c r="J28" i="4" s="1"/>
  <c r="N3" i="4"/>
  <c r="N8" i="4" s="1"/>
  <c r="V3" i="4"/>
  <c r="V8" i="4" s="1"/>
  <c r="J27" i="4" s="1"/>
  <c r="J4" i="4"/>
  <c r="N4" i="4"/>
  <c r="N9" i="4" s="1"/>
  <c r="R4" i="4"/>
  <c r="R9" i="4" s="1"/>
  <c r="J24" i="4" s="1"/>
  <c r="J3" i="4"/>
  <c r="R3" i="4"/>
  <c r="R8" i="4" s="1"/>
  <c r="J23" i="4" s="1"/>
  <c r="J8" i="4" l="1"/>
  <c r="J15" i="4" s="1"/>
  <c r="J19" i="4"/>
  <c r="J20" i="4"/>
  <c r="J9" i="4"/>
  <c r="J16" i="4" s="1"/>
  <c r="M14" i="4" l="1"/>
  <c r="C15" i="4" s="1"/>
  <c r="U4" i="3" l="1"/>
  <c r="U5" i="3"/>
  <c r="U6" i="3"/>
  <c r="U3" i="3"/>
  <c r="Q4" i="3"/>
  <c r="Q5" i="3"/>
  <c r="Q6" i="3"/>
  <c r="Q3" i="3"/>
  <c r="M4" i="3"/>
  <c r="M5" i="3"/>
  <c r="M6" i="3"/>
  <c r="M3" i="3"/>
  <c r="I3" i="3"/>
  <c r="I4" i="3"/>
  <c r="I5" i="3"/>
  <c r="I6" i="3"/>
  <c r="T8" i="3" l="1"/>
  <c r="P8" i="3"/>
  <c r="L8" i="3"/>
  <c r="H8" i="3"/>
  <c r="J3" i="3"/>
  <c r="S4" i="3"/>
  <c r="S5" i="3"/>
  <c r="S6" i="3"/>
  <c r="W4" i="3"/>
  <c r="W9" i="3" s="1"/>
  <c r="J44" i="3" s="1"/>
  <c r="W5" i="3"/>
  <c r="W10" i="3" s="1"/>
  <c r="J45" i="3" s="1"/>
  <c r="W6" i="3"/>
  <c r="W11" i="3" s="1"/>
  <c r="J46" i="3" s="1"/>
  <c r="W3" i="3"/>
  <c r="W8" i="3" s="1"/>
  <c r="J43" i="3" s="1"/>
  <c r="S3" i="3"/>
  <c r="O4" i="3"/>
  <c r="O9" i="3" s="1"/>
  <c r="J28" i="3" s="1"/>
  <c r="O5" i="3"/>
  <c r="O10" i="3" s="1"/>
  <c r="J29" i="3" s="1"/>
  <c r="O6" i="3"/>
  <c r="O11" i="3" s="1"/>
  <c r="J30" i="3" s="1"/>
  <c r="O3" i="3"/>
  <c r="K4" i="3"/>
  <c r="K5" i="3"/>
  <c r="K6" i="3"/>
  <c r="K3" i="3"/>
  <c r="V4" i="3"/>
  <c r="V5" i="3"/>
  <c r="V6" i="3"/>
  <c r="V3" i="3"/>
  <c r="R4" i="3"/>
  <c r="R5" i="3"/>
  <c r="R6" i="3"/>
  <c r="R3" i="3"/>
  <c r="N4" i="3"/>
  <c r="N5" i="3"/>
  <c r="N6" i="3"/>
  <c r="N3" i="3"/>
  <c r="J4" i="3"/>
  <c r="J5" i="3"/>
  <c r="J6" i="3"/>
  <c r="R9" i="3" l="1"/>
  <c r="J32" i="3" s="1"/>
  <c r="V8" i="3"/>
  <c r="J39" i="3" s="1"/>
  <c r="V11" i="3"/>
  <c r="J42" i="3" s="1"/>
  <c r="V10" i="3"/>
  <c r="J41" i="3" s="1"/>
  <c r="V9" i="3"/>
  <c r="J40" i="3" s="1"/>
  <c r="R8" i="3"/>
  <c r="J31" i="3" s="1"/>
  <c r="R11" i="3"/>
  <c r="J34" i="3" s="1"/>
  <c r="R10" i="3"/>
  <c r="J33" i="3" s="1"/>
  <c r="S11" i="3"/>
  <c r="J38" i="3" s="1"/>
  <c r="S8" i="3"/>
  <c r="J35" i="3" s="1"/>
  <c r="K11" i="3"/>
  <c r="J22" i="3" s="1"/>
  <c r="S10" i="3"/>
  <c r="J37" i="3" s="1"/>
  <c r="S9" i="3"/>
  <c r="J36" i="3" s="1"/>
  <c r="K8" i="3"/>
  <c r="J19" i="3" s="1"/>
  <c r="K10" i="3"/>
  <c r="J21" i="3" s="1"/>
  <c r="K9" i="3"/>
  <c r="J20" i="3" s="1"/>
  <c r="O8" i="3"/>
  <c r="J27" i="3" s="1"/>
  <c r="N9" i="3"/>
  <c r="J24" i="3" s="1"/>
  <c r="J8" i="3"/>
  <c r="J15" i="3" s="1"/>
  <c r="N8" i="3"/>
  <c r="J23" i="3" s="1"/>
  <c r="N11" i="3"/>
  <c r="J26" i="3" s="1"/>
  <c r="N10" i="3"/>
  <c r="J25" i="3" s="1"/>
  <c r="J11" i="3"/>
  <c r="J18" i="3" s="1"/>
  <c r="J10" i="3"/>
  <c r="J17" i="3" s="1"/>
  <c r="J9" i="3"/>
  <c r="J16" i="3" s="1"/>
  <c r="M14" i="3" l="1"/>
  <c r="C15" i="3" s="1"/>
</calcChain>
</file>

<file path=xl/sharedStrings.xml><?xml version="1.0" encoding="utf-8"?>
<sst xmlns="http://schemas.openxmlformats.org/spreadsheetml/2006/main" count="2539" uniqueCount="1848">
  <si>
    <t>DUT SITE0 ASSIGN TO SLOT0 CH0~CH63</t>
    <phoneticPr fontId="1" type="noConversion"/>
  </si>
  <si>
    <t>DUT SITE1 ASSIGN TO SLOT0 CH64 127</t>
    <phoneticPr fontId="1" type="noConversion"/>
  </si>
  <si>
    <t>DUT SITE2 ASSIGN TO SLOT1 CH0 ~CH63</t>
    <phoneticPr fontId="1" type="noConversion"/>
  </si>
  <si>
    <t>DUT SITE3 ASSIGN TO SLOT1 CH64~CH127</t>
    <phoneticPr fontId="1" type="noConversion"/>
  </si>
  <si>
    <t>GOLDEN SITE0 ASSIGN TO SLOT0 CH64~CH127</t>
    <phoneticPr fontId="1" type="noConversion"/>
  </si>
  <si>
    <t>GOLDEN SITE1 ASSIGN TO SLOT0 CH0~CH63</t>
    <phoneticPr fontId="1" type="noConversion"/>
  </si>
  <si>
    <t>SLOT0.CH0</t>
    <phoneticPr fontId="1" type="noConversion"/>
  </si>
  <si>
    <t>SLOT0.CH64</t>
    <phoneticPr fontId="1" type="noConversion"/>
  </si>
  <si>
    <t>SLOT1.CH0</t>
    <phoneticPr fontId="1" type="noConversion"/>
  </si>
  <si>
    <t>SLOT1.CH64</t>
    <phoneticPr fontId="1" type="noConversion"/>
  </si>
  <si>
    <t>SLOT0.CH1</t>
  </si>
  <si>
    <t>SLOT0.CH2</t>
  </si>
  <si>
    <t>SLOT0.CH3</t>
  </si>
  <si>
    <t>SLOT0.CH4</t>
  </si>
  <si>
    <t>SLOT0.CH5</t>
  </si>
  <si>
    <t>SLOT0.CH6</t>
  </si>
  <si>
    <t>SLOT0.CH7</t>
  </si>
  <si>
    <t>SLOT0.CH8</t>
  </si>
  <si>
    <t>SLOT0.CH9</t>
  </si>
  <si>
    <t>SLOT0.CH10</t>
  </si>
  <si>
    <t>SLOT0.CH11</t>
  </si>
  <si>
    <t>SLOT0.CH12</t>
  </si>
  <si>
    <t>SLOT0.CH13</t>
  </si>
  <si>
    <t>SLOT0.CH14</t>
  </si>
  <si>
    <t>SLOT0.CH15</t>
  </si>
  <si>
    <t>SLOT0.CH16</t>
  </si>
  <si>
    <t>SLOT0.CH17</t>
  </si>
  <si>
    <t>SLOT0.CH18</t>
  </si>
  <si>
    <t>SLOT0.CH19</t>
  </si>
  <si>
    <t>SLOT0.CH20</t>
  </si>
  <si>
    <t>SLOT0.CH21</t>
  </si>
  <si>
    <t>SLOT0.CH22</t>
  </si>
  <si>
    <t>SLOT0.CH23</t>
  </si>
  <si>
    <t>SLOT0.CH24</t>
  </si>
  <si>
    <t>SLOT0.CH25</t>
  </si>
  <si>
    <t>SLOT0.CH26</t>
  </si>
  <si>
    <t>SLOT0.CH27</t>
  </si>
  <si>
    <t>SLOT0.CH28</t>
  </si>
  <si>
    <t>SLOT0.CH29</t>
  </si>
  <si>
    <t>SLOT0.CH30</t>
  </si>
  <si>
    <t>SLOT0.CH31</t>
  </si>
  <si>
    <t>SLOT0.CH32</t>
  </si>
  <si>
    <t>SLOT0.CH33</t>
  </si>
  <si>
    <t>SLOT0.CH34</t>
  </si>
  <si>
    <t>SLOT0.CH35</t>
  </si>
  <si>
    <t>SLOT0.CH36</t>
  </si>
  <si>
    <t>SLOT0.CH37</t>
  </si>
  <si>
    <t>SLOT0.CH38</t>
  </si>
  <si>
    <t>SLOT0.CH39</t>
  </si>
  <si>
    <t>SLOT0.CH40</t>
  </si>
  <si>
    <t>SLOT0.CH41</t>
  </si>
  <si>
    <t>SLOT0.CH42</t>
  </si>
  <si>
    <t>SLOT0.CH43</t>
  </si>
  <si>
    <t>SLOT0.CH44</t>
  </si>
  <si>
    <t>SLOT0.CH45</t>
  </si>
  <si>
    <t>SLOT0.CH46</t>
  </si>
  <si>
    <t>SLOT0.CH47</t>
  </si>
  <si>
    <t>SLOT0.CH48</t>
  </si>
  <si>
    <t>SLOT0.CH49</t>
  </si>
  <si>
    <t>SLOT0.CH50</t>
  </si>
  <si>
    <t>SLOT0.CH51</t>
  </si>
  <si>
    <t>SLOT0.CH52</t>
  </si>
  <si>
    <t>SLOT0.CH53</t>
  </si>
  <si>
    <t>SLOT0.CH54</t>
  </si>
  <si>
    <t>SLOT0.CH55</t>
  </si>
  <si>
    <t>SLOT0.CH56</t>
  </si>
  <si>
    <t>SLOT0.CH57</t>
  </si>
  <si>
    <t>SLOT0.CH58</t>
  </si>
  <si>
    <t>SLOT0.CH59</t>
  </si>
  <si>
    <t>SLOT0.CH60</t>
  </si>
  <si>
    <t>SLOT0.CH61</t>
  </si>
  <si>
    <t>SLOT0.CH62</t>
  </si>
  <si>
    <t>SLOT0.CH63</t>
  </si>
  <si>
    <t>SLOT0.CH65</t>
  </si>
  <si>
    <t>SLOT0.CH66</t>
  </si>
  <si>
    <t>SLOT0.CH67</t>
  </si>
  <si>
    <t>SLOT0.CH68</t>
  </si>
  <si>
    <t>SLOT0.CH69</t>
  </si>
  <si>
    <t>SLOT0.CH70</t>
  </si>
  <si>
    <t>SLOT0.CH71</t>
  </si>
  <si>
    <t>SLOT0.CH72</t>
  </si>
  <si>
    <t>SLOT0.CH73</t>
  </si>
  <si>
    <t>SLOT0.CH74</t>
  </si>
  <si>
    <t>SLOT0.CH75</t>
  </si>
  <si>
    <t>SLOT0.CH76</t>
  </si>
  <si>
    <t>SLOT0.CH77</t>
  </si>
  <si>
    <t>SLOT0.CH78</t>
  </si>
  <si>
    <t>SLOT0.CH79</t>
  </si>
  <si>
    <t>SLOT0.CH80</t>
  </si>
  <si>
    <t>SLOT0.CH81</t>
  </si>
  <si>
    <t>SLOT0.CH82</t>
  </si>
  <si>
    <t>SLOT0.CH83</t>
  </si>
  <si>
    <t>SLOT0.CH84</t>
  </si>
  <si>
    <t>SLOT0.CH85</t>
  </si>
  <si>
    <t>SLOT0.CH86</t>
  </si>
  <si>
    <t>SLOT0.CH87</t>
  </si>
  <si>
    <t>SLOT0.CH88</t>
  </si>
  <si>
    <t>SLOT0.CH89</t>
  </si>
  <si>
    <t>SLOT0.CH90</t>
  </si>
  <si>
    <t>SLOT0.CH91</t>
  </si>
  <si>
    <t>SLOT0.CH92</t>
  </si>
  <si>
    <t>SLOT0.CH93</t>
  </si>
  <si>
    <t>SLOT0.CH94</t>
  </si>
  <si>
    <t>SLOT0.CH95</t>
  </si>
  <si>
    <t>SLOT0.CH96</t>
  </si>
  <si>
    <t>SLOT0.CH97</t>
  </si>
  <si>
    <t>SLOT0.CH98</t>
  </si>
  <si>
    <t>SLOT0.CH99</t>
  </si>
  <si>
    <t>SLOT0.CH100</t>
  </si>
  <si>
    <t>SLOT0.CH101</t>
  </si>
  <si>
    <t>SLOT0.CH102</t>
  </si>
  <si>
    <t>SLOT0.CH103</t>
  </si>
  <si>
    <t>SLOT0.CH104</t>
  </si>
  <si>
    <t>SLOT0.CH105</t>
  </si>
  <si>
    <t>SLOT0.CH106</t>
  </si>
  <si>
    <t>SLOT0.CH107</t>
  </si>
  <si>
    <t>SLOT0.CH108</t>
  </si>
  <si>
    <t>SLOT0.CH109</t>
  </si>
  <si>
    <t>SLOT0.CH110</t>
  </si>
  <si>
    <t>SLOT0.CH111</t>
  </si>
  <si>
    <t>SLOT0.CH112</t>
  </si>
  <si>
    <t>SLOT0.CH113</t>
  </si>
  <si>
    <t>SLOT0.CH114</t>
  </si>
  <si>
    <t>SLOT0.CH115</t>
  </si>
  <si>
    <t>SLOT0.CH116</t>
  </si>
  <si>
    <t>SLOT0.CH117</t>
  </si>
  <si>
    <t>SLOT0.CH118</t>
  </si>
  <si>
    <t>SLOT0.CH119</t>
  </si>
  <si>
    <t>SLOT0.CH120</t>
  </si>
  <si>
    <t>SLOT0.CH121</t>
  </si>
  <si>
    <t>SLOT0.CH122</t>
  </si>
  <si>
    <t>SLOT0.CH123</t>
  </si>
  <si>
    <t>SLOT0.CH124</t>
  </si>
  <si>
    <t>SLOT0.CH125</t>
  </si>
  <si>
    <t>SLOT0.CH126</t>
  </si>
  <si>
    <t>SLOT0.CH127</t>
  </si>
  <si>
    <t>SLOT1.CH1</t>
  </si>
  <si>
    <t>SLOT1.CH2</t>
  </si>
  <si>
    <t>SLOT1.CH3</t>
  </si>
  <si>
    <t>SLOT1.CH4</t>
  </si>
  <si>
    <t>SLOT1.CH5</t>
  </si>
  <si>
    <t>SLOT1.CH6</t>
  </si>
  <si>
    <t>SLOT1.CH7</t>
  </si>
  <si>
    <t>SLOT1.CH8</t>
  </si>
  <si>
    <t>SLOT1.CH9</t>
  </si>
  <si>
    <t>SLOT1.CH10</t>
  </si>
  <si>
    <t>SLOT1.CH11</t>
  </si>
  <si>
    <t>SLOT1.CH12</t>
  </si>
  <si>
    <t>SLOT1.CH13</t>
  </si>
  <si>
    <t>SLOT1.CH14</t>
  </si>
  <si>
    <t>SLOT1.CH15</t>
  </si>
  <si>
    <t>SLOT1.CH16</t>
  </si>
  <si>
    <t>SLOT1.CH17</t>
  </si>
  <si>
    <t>SLOT1.CH18</t>
  </si>
  <si>
    <t>SLOT1.CH19</t>
  </si>
  <si>
    <t>SLOT1.CH20</t>
  </si>
  <si>
    <t>SLOT1.CH21</t>
  </si>
  <si>
    <t>SLOT1.CH22</t>
  </si>
  <si>
    <t>SLOT1.CH23</t>
  </si>
  <si>
    <t>SLOT1.CH24</t>
  </si>
  <si>
    <t>SLOT1.CH25</t>
  </si>
  <si>
    <t>SLOT1.CH26</t>
  </si>
  <si>
    <t>SLOT1.CH27</t>
  </si>
  <si>
    <t>SLOT1.CH28</t>
  </si>
  <si>
    <t>SLOT1.CH29</t>
  </si>
  <si>
    <t>SLOT1.CH30</t>
  </si>
  <si>
    <t>SLOT1.CH31</t>
  </si>
  <si>
    <t>SLOT1.CH32</t>
  </si>
  <si>
    <t>SLOT1.CH33</t>
  </si>
  <si>
    <t>SLOT1.CH34</t>
  </si>
  <si>
    <t>SLOT1.CH35</t>
  </si>
  <si>
    <t>SLOT1.CH36</t>
  </si>
  <si>
    <t>SLOT1.CH37</t>
  </si>
  <si>
    <t>SLOT1.CH38</t>
  </si>
  <si>
    <t>SLOT1.CH39</t>
  </si>
  <si>
    <t>SLOT1.CH40</t>
  </si>
  <si>
    <t>SLOT1.CH41</t>
  </si>
  <si>
    <t>SLOT1.CH42</t>
  </si>
  <si>
    <t>SLOT1.CH43</t>
  </si>
  <si>
    <t>SLOT1.CH44</t>
  </si>
  <si>
    <t>SLOT1.CH45</t>
  </si>
  <si>
    <t>SLOT1.CH46</t>
  </si>
  <si>
    <t>SLOT1.CH47</t>
  </si>
  <si>
    <t>SLOT1.CH48</t>
  </si>
  <si>
    <t>SLOT1.CH49</t>
  </si>
  <si>
    <t>SLOT1.CH50</t>
  </si>
  <si>
    <t>SLOT1.CH51</t>
  </si>
  <si>
    <t>SLOT1.CH52</t>
  </si>
  <si>
    <t>SLOT1.CH53</t>
  </si>
  <si>
    <t>SLOT1.CH54</t>
  </si>
  <si>
    <t>SLOT1.CH55</t>
  </si>
  <si>
    <t>SLOT1.CH56</t>
  </si>
  <si>
    <t>SLOT1.CH57</t>
  </si>
  <si>
    <t>SLOT1.CH58</t>
  </si>
  <si>
    <t>SLOT1.CH59</t>
  </si>
  <si>
    <t>SLOT1.CH60</t>
  </si>
  <si>
    <t>SLOT1.CH61</t>
  </si>
  <si>
    <t>SLOT1.CH62</t>
  </si>
  <si>
    <t>SLOT1.CH63</t>
  </si>
  <si>
    <t>SLOT1.CH65</t>
  </si>
  <si>
    <t>SLOT1.CH66</t>
  </si>
  <si>
    <t>SLOT1.CH67</t>
  </si>
  <si>
    <t>SLOT1.CH68</t>
  </si>
  <si>
    <t>SLOT1.CH69</t>
  </si>
  <si>
    <t>SLOT1.CH70</t>
  </si>
  <si>
    <t>SLOT1.CH71</t>
  </si>
  <si>
    <t>SLOT1.CH72</t>
  </si>
  <si>
    <t>SLOT1.CH73</t>
  </si>
  <si>
    <t>SLOT1.CH74</t>
  </si>
  <si>
    <t>SLOT1.CH75</t>
  </si>
  <si>
    <t>SLOT1.CH76</t>
  </si>
  <si>
    <t>SLOT1.CH77</t>
  </si>
  <si>
    <t>SLOT1.CH78</t>
  </si>
  <si>
    <t>SLOT1.CH79</t>
  </si>
  <si>
    <t>SLOT1.CH80</t>
  </si>
  <si>
    <t>SLOT1.CH81</t>
  </si>
  <si>
    <t>SLOT1.CH82</t>
  </si>
  <si>
    <t>SLOT1.CH83</t>
  </si>
  <si>
    <t>SLOT1.CH84</t>
  </si>
  <si>
    <t>SLOT1.CH85</t>
  </si>
  <si>
    <t>SLOT1.CH86</t>
  </si>
  <si>
    <t>SLOT1.CH87</t>
  </si>
  <si>
    <t>SLOT1.CH88</t>
  </si>
  <si>
    <t>SLOT1.CH89</t>
  </si>
  <si>
    <t>SLOT1.CH90</t>
  </si>
  <si>
    <t>SLOT1.CH91</t>
  </si>
  <si>
    <t>SLOT1.CH92</t>
  </si>
  <si>
    <t>SLOT1.CH93</t>
  </si>
  <si>
    <t>SLOT1.CH94</t>
  </si>
  <si>
    <t>SLOT1.CH95</t>
  </si>
  <si>
    <t>SLOT1.CH96</t>
  </si>
  <si>
    <t>SLOT1.CH97</t>
  </si>
  <si>
    <t>SLOT1.CH98</t>
  </si>
  <si>
    <t>SLOT1.CH99</t>
  </si>
  <si>
    <t>SLOT1.CH100</t>
  </si>
  <si>
    <t>SLOT1.CH101</t>
  </si>
  <si>
    <t>SLOT1.CH102</t>
  </si>
  <si>
    <t>SLOT1.CH103</t>
  </si>
  <si>
    <t>SLOT1.CH104</t>
  </si>
  <si>
    <t>SLOT1.CH105</t>
  </si>
  <si>
    <t>SLOT1.CH106</t>
  </si>
  <si>
    <t>SLOT1.CH107</t>
  </si>
  <si>
    <t>SLOT1.CH108</t>
  </si>
  <si>
    <t>SLOT1.CH109</t>
  </si>
  <si>
    <t>SLOT1.CH110</t>
  </si>
  <si>
    <t>SLOT1.CH111</t>
  </si>
  <si>
    <t>SLOT1.CH112</t>
  </si>
  <si>
    <t>SLOT1.CH113</t>
  </si>
  <si>
    <t>SLOT1.CH114</t>
  </si>
  <si>
    <t>SLOT1.CH115</t>
  </si>
  <si>
    <t>SLOT1.CH116</t>
  </si>
  <si>
    <t>SLOT1.CH117</t>
  </si>
  <si>
    <t>SLOT1.CH118</t>
  </si>
  <si>
    <t>SLOT1.CH119</t>
  </si>
  <si>
    <t>SLOT1.CH120</t>
  </si>
  <si>
    <t>SLOT1.CH121</t>
  </si>
  <si>
    <t>SLOT1.CH122</t>
  </si>
  <si>
    <t>SLOT1.CH123</t>
  </si>
  <si>
    <t>SLOT1.CH124</t>
  </si>
  <si>
    <t>SLOT1.CH125</t>
  </si>
  <si>
    <t>SLOT1.CH126</t>
  </si>
  <si>
    <t>SLOT1.CH127</t>
  </si>
  <si>
    <t>SLOT2.CH31</t>
  </si>
  <si>
    <t>SLOT2.CH48</t>
  </si>
  <si>
    <t>SLOT2.CH81</t>
  </si>
  <si>
    <t>SLOT2.CH106</t>
  </si>
  <si>
    <t>SLOT2.CH110</t>
  </si>
  <si>
    <t>SLOT3.CH32</t>
  </si>
  <si>
    <t>SLOT3.CH40</t>
  </si>
  <si>
    <t>SLOT3.CH77</t>
  </si>
  <si>
    <t>SLOT3.CH84</t>
  </si>
  <si>
    <t>SLOT3.CH88</t>
  </si>
  <si>
    <t>流水碼</t>
    <phoneticPr fontId="1" type="noConversion"/>
  </si>
  <si>
    <t>機台channel</t>
    <phoneticPr fontId="1" type="noConversion"/>
  </si>
  <si>
    <t>S0_Hsd006-</t>
  </si>
  <si>
    <t>Slot2.Ch43</t>
  </si>
  <si>
    <t>S0_Hsd006+</t>
  </si>
  <si>
    <t>Slot2.Ch42</t>
  </si>
  <si>
    <t>S0_Hsd018-</t>
  </si>
  <si>
    <t>Slot0.Ch107</t>
  </si>
  <si>
    <t>S0_Hsd018+</t>
  </si>
  <si>
    <t>Slot0.Ch106</t>
  </si>
  <si>
    <t>S0_Hsd122-</t>
  </si>
  <si>
    <t>Slot2.Ch109</t>
  </si>
  <si>
    <t>S0_Hsd122+</t>
  </si>
  <si>
    <t>Slot2.Ch108</t>
  </si>
  <si>
    <t>S0_Hsd126-</t>
  </si>
  <si>
    <t>Slot2.Ch119</t>
  </si>
  <si>
    <t>S0_Hsd126+</t>
  </si>
  <si>
    <t>Slot2.Ch118</t>
  </si>
  <si>
    <t>S0_Hsd161-</t>
  </si>
  <si>
    <t>Slot2.Ch47</t>
  </si>
  <si>
    <t>S0_Hsd161+</t>
  </si>
  <si>
    <t>Slot2.Ch46</t>
  </si>
  <si>
    <t>S0_Hsd165-</t>
  </si>
  <si>
    <t>Slot2.Ch51</t>
  </si>
  <si>
    <t>S0_Hsd165+</t>
  </si>
  <si>
    <t>Slot2.Ch50</t>
  </si>
  <si>
    <t>S1_Hsd006-</t>
  </si>
  <si>
    <t>Slot1.Ch123</t>
  </si>
  <si>
    <t>S1_Hsd006+</t>
  </si>
  <si>
    <t>Slot1.Ch122</t>
  </si>
  <si>
    <t>S1_Hsd018-</t>
  </si>
  <si>
    <t>Slot1.Ch117</t>
  </si>
  <si>
    <t>S1_Hsd018+</t>
  </si>
  <si>
    <t>Slot1.Ch116</t>
  </si>
  <si>
    <t>S1_Hsd122-</t>
  </si>
  <si>
    <t>Slot3.Ch45</t>
  </si>
  <si>
    <t>S1_Hsd122+</t>
  </si>
  <si>
    <t>Slot3.Ch44</t>
  </si>
  <si>
    <t>S1_Hsd126-</t>
  </si>
  <si>
    <t>Slot3.Ch39</t>
  </si>
  <si>
    <t>S1_Hsd126+</t>
  </si>
  <si>
    <t>Slot3.Ch38</t>
  </si>
  <si>
    <t>S1_Hsd161-</t>
  </si>
  <si>
    <t>Slot1.Ch119</t>
  </si>
  <si>
    <t>S1_Hsd161+</t>
  </si>
  <si>
    <t>Slot1.Ch118</t>
  </si>
  <si>
    <t>S1_Hsd165-</t>
  </si>
  <si>
    <t>Slot1.Ch113</t>
  </si>
  <si>
    <t>S1_Hsd165+</t>
  </si>
  <si>
    <t>Slot1.Ch112</t>
  </si>
  <si>
    <t>S2_Hsd006-</t>
  </si>
  <si>
    <t>Slot2.Ch27</t>
  </si>
  <si>
    <t>S2_Hsd006+</t>
  </si>
  <si>
    <t>Slot2.Ch26</t>
  </si>
  <si>
    <t>S2_Hsd018-</t>
  </si>
  <si>
    <t>Slot2.Ch25</t>
  </si>
  <si>
    <t>S2_Hsd018+</t>
  </si>
  <si>
    <t>Slot2.Ch24</t>
  </si>
  <si>
    <t>S2_Hsd122-</t>
  </si>
  <si>
    <t>Slot2.Ch1</t>
  </si>
  <si>
    <t>S2_Hsd122+</t>
  </si>
  <si>
    <t>Slot2.Ch0</t>
  </si>
  <si>
    <t>S2_Hsd126-</t>
  </si>
  <si>
    <t>Slot2.Ch67</t>
  </si>
  <si>
    <t>S2_Hsd126+</t>
  </si>
  <si>
    <t>Slot2.Ch66</t>
  </si>
  <si>
    <t>S2_Hsd161-</t>
  </si>
  <si>
    <t>Slot0.Ch81</t>
  </si>
  <si>
    <t>S2_Hsd161+</t>
  </si>
  <si>
    <t>Slot0.Ch80</t>
  </si>
  <si>
    <t>S2_Hsd165-</t>
  </si>
  <si>
    <t>Slot0.Ch83</t>
  </si>
  <si>
    <t>S2_Hsd165+</t>
  </si>
  <si>
    <t>Slot0.Ch82</t>
  </si>
  <si>
    <t>S3_Hsd006-</t>
  </si>
  <si>
    <t>Slot1.Ch87</t>
  </si>
  <si>
    <t>S3_Hsd006+</t>
  </si>
  <si>
    <t>Slot1.Ch86</t>
  </si>
  <si>
    <t>S3_Hsd018-</t>
  </si>
  <si>
    <t>Slot1.Ch31</t>
  </si>
  <si>
    <t>S3_Hsd018+</t>
  </si>
  <si>
    <t>Slot1.Ch30</t>
  </si>
  <si>
    <t>S3_Hsd122-</t>
  </si>
  <si>
    <t>Slot3.Ch7</t>
  </si>
  <si>
    <t>S3_Hsd122+</t>
  </si>
  <si>
    <t>Slot3.Ch6</t>
  </si>
  <si>
    <t>S3_Hsd126-</t>
  </si>
  <si>
    <t>Slot3.Ch3</t>
  </si>
  <si>
    <t>S3_Hsd126+</t>
  </si>
  <si>
    <t>Slot3.Ch2</t>
  </si>
  <si>
    <t>S3_Hsd161-</t>
  </si>
  <si>
    <t>Slot1.Ch29</t>
  </si>
  <si>
    <t>S3_Hsd161+</t>
  </si>
  <si>
    <t>Slot1.Ch28</t>
  </si>
  <si>
    <t>S3_Hsd165-</t>
  </si>
  <si>
    <t>Slot1.Ch25</t>
  </si>
  <si>
    <t>S3_Hsd165+</t>
  </si>
  <si>
    <t>Slot1.Ch24</t>
  </si>
  <si>
    <t>Sc_Hsd220-</t>
  </si>
  <si>
    <t>Slot1.Ch81</t>
  </si>
  <si>
    <t>Sc_Hsd220+</t>
  </si>
  <si>
    <t>Slot1.Ch80</t>
  </si>
  <si>
    <t>Sc_Hsd222-</t>
  </si>
  <si>
    <t>Slot0.Ch37</t>
  </si>
  <si>
    <t>Sc_Hsd222+</t>
  </si>
  <si>
    <t>Slot0.Ch36</t>
  </si>
  <si>
    <t>Sc_Hsd224-</t>
  </si>
  <si>
    <t>Slot0.Ch75</t>
  </si>
  <si>
    <t>Sc_Hsd224+</t>
  </si>
  <si>
    <t>Slot0.Ch74</t>
  </si>
  <si>
    <t>Sc_Hsd226-</t>
  </si>
  <si>
    <t>Slot2.Ch11</t>
  </si>
  <si>
    <t>Sc_Hsd226+</t>
  </si>
  <si>
    <t>Slot2.Ch10</t>
  </si>
  <si>
    <t>Sc_Hsd236-</t>
  </si>
  <si>
    <t>Slot1.Ch115</t>
  </si>
  <si>
    <t>Sc_Hsd236+</t>
  </si>
  <si>
    <t>Slot1.Ch114</t>
  </si>
  <si>
    <t>Sc_Hsd238-</t>
  </si>
  <si>
    <t>Slot1.Ch75</t>
  </si>
  <si>
    <t>Sc_Hsd238+</t>
  </si>
  <si>
    <t>Slot1.Ch74</t>
  </si>
  <si>
    <t>Sc_Hsd240-</t>
  </si>
  <si>
    <t>Slot0.Ch43</t>
  </si>
  <si>
    <t>Sc_Hsd240+</t>
  </si>
  <si>
    <t>Slot0.Ch42</t>
  </si>
  <si>
    <t>Sc_Hsd245-</t>
  </si>
  <si>
    <t>Slot1.Ch121</t>
  </si>
  <si>
    <t>Sc_Hsd245+</t>
  </si>
  <si>
    <t>Slot1.Ch120</t>
  </si>
  <si>
    <t>Sc_Hsd247-</t>
  </si>
  <si>
    <t>Slot1.Ch21</t>
  </si>
  <si>
    <t>Sc_Hsd247+</t>
  </si>
  <si>
    <t>Slot1.Ch20</t>
  </si>
  <si>
    <t>Sc_Hsd249-</t>
  </si>
  <si>
    <t>Slot0.Ch79</t>
  </si>
  <si>
    <t>Sc_Hsd249+</t>
  </si>
  <si>
    <t>Slot0.Ch78</t>
  </si>
  <si>
    <t>Sc_Hsd282-</t>
  </si>
  <si>
    <t>Slot0.Ch49</t>
  </si>
  <si>
    <t>Sc_Hsd282+</t>
  </si>
  <si>
    <t>Slot0.Ch48</t>
  </si>
  <si>
    <t>S0_Bpmuinh_Hsd141</t>
  </si>
  <si>
    <t>Slot2.Ch127</t>
  </si>
  <si>
    <t>S0_Bpmuvbat_Hsd142</t>
  </si>
  <si>
    <t>Slot2.Ch60</t>
  </si>
  <si>
    <t>S0_Ds_Hsd998</t>
  </si>
  <si>
    <t>Slot0.Ch120</t>
  </si>
  <si>
    <t>S0_Hsd081</t>
  </si>
  <si>
    <t>Slot0.Ch110</t>
  </si>
  <si>
    <t>S0_Hsd082</t>
  </si>
  <si>
    <t>Slot0.Ch113</t>
  </si>
  <si>
    <t>S0_Hsd093</t>
  </si>
  <si>
    <t>Slot2.Ch62</t>
  </si>
  <si>
    <t>S0_Hsd097</t>
  </si>
  <si>
    <t>Slot0.Ch111</t>
  </si>
  <si>
    <t>S0_Hsd099</t>
  </si>
  <si>
    <t>Slot2.Ch38</t>
  </si>
  <si>
    <t>S0_Hsd101</t>
  </si>
  <si>
    <t>Slot0.Ch51</t>
  </si>
  <si>
    <t>S0_Hsd112</t>
  </si>
  <si>
    <t>Slot2.Ch39</t>
  </si>
  <si>
    <t>S0_Hsd114</t>
  </si>
  <si>
    <t>Slot2.Ch58</t>
  </si>
  <si>
    <t>S0_Hsd120</t>
  </si>
  <si>
    <t>Slot0.Ch50</t>
  </si>
  <si>
    <t>S0_Hsd144</t>
  </si>
  <si>
    <t>Slot0.Ch47</t>
  </si>
  <si>
    <t>S0_Hsd145</t>
  </si>
  <si>
    <t>Slot0.Ch127</t>
  </si>
  <si>
    <t>S0_Hsd177</t>
  </si>
  <si>
    <t>Slot0.Ch121</t>
  </si>
  <si>
    <t>S0_Hsd178</t>
  </si>
  <si>
    <t>Slot0.Ch118</t>
  </si>
  <si>
    <t>S0_Hsd179</t>
  </si>
  <si>
    <t>Slot2.Ch8</t>
  </si>
  <si>
    <t>S0_Hsd181</t>
  </si>
  <si>
    <t>Slot0.Ch116</t>
  </si>
  <si>
    <t>S0_Hsd182</t>
  </si>
  <si>
    <t>Slot0.Ch114</t>
  </si>
  <si>
    <t>S0_Hsd183</t>
  </si>
  <si>
    <t>Slot0.Ch119</t>
  </si>
  <si>
    <t>S0_Hsd184</t>
  </si>
  <si>
    <t>Slot0.Ch56</t>
  </si>
  <si>
    <t>S0_Hsd185</t>
  </si>
  <si>
    <t>Slot0.Ch52</t>
  </si>
  <si>
    <t>S0_Hsd186</t>
  </si>
  <si>
    <t>Slot0.Ch58</t>
  </si>
  <si>
    <t>S0_Hsd187</t>
  </si>
  <si>
    <t>Slot2.Ch45</t>
  </si>
  <si>
    <t>S0_Hsd188</t>
  </si>
  <si>
    <t>Slot0.Ch125</t>
  </si>
  <si>
    <t>S0_Hsd189</t>
  </si>
  <si>
    <t>Slot0.Ch61</t>
  </si>
  <si>
    <t>S0_Hsd190</t>
  </si>
  <si>
    <t>Slot2.Ch44</t>
  </si>
  <si>
    <t>S0_Hsd191</t>
  </si>
  <si>
    <t>Slot0.Ch115</t>
  </si>
  <si>
    <t>S0_Hsd192</t>
  </si>
  <si>
    <t>Slot0.Ch124</t>
  </si>
  <si>
    <t>S0_Hsd193</t>
  </si>
  <si>
    <t>Slot2.Ch56</t>
  </si>
  <si>
    <t>S0_Hsd194</t>
  </si>
  <si>
    <t>Slot0.Ch55</t>
  </si>
  <si>
    <t>S0_Hsd195</t>
  </si>
  <si>
    <t>Slot0.Ch54</t>
  </si>
  <si>
    <t>S0_Hsd196</t>
  </si>
  <si>
    <t>Slot0.Ch117</t>
  </si>
  <si>
    <t>S0_Hsd197</t>
  </si>
  <si>
    <t>Slot0.Ch53</t>
  </si>
  <si>
    <t>S0_Hsd198</t>
  </si>
  <si>
    <t>Slot0.Ch112</t>
  </si>
  <si>
    <t>S0_Hsd199</t>
  </si>
  <si>
    <t>Slot2.Ch115</t>
  </si>
  <si>
    <t>S0_Hsd200</t>
  </si>
  <si>
    <t>Slot0.Ch123</t>
  </si>
  <si>
    <t>S0_Hsd201</t>
  </si>
  <si>
    <t>Slot2.Ch114</t>
  </si>
  <si>
    <t>S0_Hsd202</t>
  </si>
  <si>
    <t>Slot0.Ch122</t>
  </si>
  <si>
    <t>S0_Hsd203</t>
  </si>
  <si>
    <t>Slot0.Ch59</t>
  </si>
  <si>
    <t>S0_Hsd204</t>
  </si>
  <si>
    <t>Slot2.Ch59</t>
  </si>
  <si>
    <t>S0_Hsd205</t>
  </si>
  <si>
    <t>Slot2.Ch49</t>
  </si>
  <si>
    <t>S0_Hsd206</t>
  </si>
  <si>
    <t>Slot2.Ch57</t>
  </si>
  <si>
    <t>S0_Hsd256</t>
  </si>
  <si>
    <t>Slot0.Ch109</t>
  </si>
  <si>
    <t>S0_Hsd257</t>
  </si>
  <si>
    <t>Slot2.Ch41</t>
  </si>
  <si>
    <t>S0_Hsd258</t>
  </si>
  <si>
    <t>Slot2.Ch40</t>
  </si>
  <si>
    <t>S0_Hsd259</t>
  </si>
  <si>
    <t>Slot0.Ch105</t>
  </si>
  <si>
    <t>S0_Hsd260</t>
  </si>
  <si>
    <t>Slot0.Ch108</t>
  </si>
  <si>
    <t>S0_Hsd261</t>
  </si>
  <si>
    <t>Slot0.Ch104</t>
  </si>
  <si>
    <t>S0_Hsd262</t>
  </si>
  <si>
    <t>Slot0.Ch40</t>
  </si>
  <si>
    <t>S0_Hsd263</t>
  </si>
  <si>
    <t>Slot0.Ch38</t>
  </si>
  <si>
    <t>S0_Hsd264</t>
  </si>
  <si>
    <t>Slot0.Ch39</t>
  </si>
  <si>
    <t>S0_Hsd265</t>
  </si>
  <si>
    <t>Slot0.Ch41</t>
  </si>
  <si>
    <t>S0_Hsd266</t>
  </si>
  <si>
    <t>Slot0.Ch35</t>
  </si>
  <si>
    <t>S0_Hsd267</t>
  </si>
  <si>
    <t>Slot0.Ch44</t>
  </si>
  <si>
    <t>S0_Hsd268</t>
  </si>
  <si>
    <t>Slot0.Ch46</t>
  </si>
  <si>
    <t>S0_Hsd269</t>
  </si>
  <si>
    <t>Slot0.Ch103</t>
  </si>
  <si>
    <t>S0_Hsd286</t>
  </si>
  <si>
    <t>Slot2.Ch53</t>
  </si>
  <si>
    <t>S0_Hsd287</t>
  </si>
  <si>
    <t>Slot2.Ch54</t>
  </si>
  <si>
    <t>S0_Hsd288</t>
  </si>
  <si>
    <t>Slot2.Ch52</t>
  </si>
  <si>
    <t>S0_Hsd290</t>
  </si>
  <si>
    <t>Slot0.Ch45</t>
  </si>
  <si>
    <t>S0_Hsd292</t>
  </si>
  <si>
    <t>Slot2.Ch55</t>
  </si>
  <si>
    <t>S0_Hsd999</t>
  </si>
  <si>
    <t>Slot2.Ch48</t>
  </si>
  <si>
    <t>S0_Scana_Hsd207</t>
  </si>
  <si>
    <t>Slot2.Ch122</t>
  </si>
  <si>
    <t>S0_Scana_Hsd208</t>
  </si>
  <si>
    <t>Slot2.Ch89</t>
  </si>
  <si>
    <t>S0_Scana_Hsd210</t>
  </si>
  <si>
    <t>Slot2.Ch91</t>
  </si>
  <si>
    <t>S0_Scana_Hsd211</t>
  </si>
  <si>
    <t>Slot2.Ch92</t>
  </si>
  <si>
    <t>S0_Scana_Hsd212</t>
  </si>
  <si>
    <t>Slot2.Ch116</t>
  </si>
  <si>
    <t>S0_Scana_Hsd213</t>
  </si>
  <si>
    <t>Slot2.Ch117</t>
  </si>
  <si>
    <t>S0_Scana_Hsd214</t>
  </si>
  <si>
    <t>Slot2.Ch120</t>
  </si>
  <si>
    <t>S0_Scana_Hsd215</t>
  </si>
  <si>
    <t>Slot2.Ch121</t>
  </si>
  <si>
    <t>S0_Scana_Hsd216</t>
  </si>
  <si>
    <t>Slot2.Ch94</t>
  </si>
  <si>
    <t>S0_Scana_Hsd217</t>
  </si>
  <si>
    <t>Slot2.Ch95</t>
  </si>
  <si>
    <t>S0_Scana_Hsd218</t>
  </si>
  <si>
    <t>Slot2.Ch124</t>
  </si>
  <si>
    <t>S0_Scana_Hsd289</t>
  </si>
  <si>
    <t>Slot2.Ch123</t>
  </si>
  <si>
    <t>S0_Scanb_Ds_Hsd063</t>
  </si>
  <si>
    <t>Slot0.Ch77</t>
  </si>
  <si>
    <t>S0_Scanb_Hsd064</t>
  </si>
  <si>
    <t>Slot2.Ch31</t>
  </si>
  <si>
    <t>S0_Scanb_Hsd066</t>
  </si>
  <si>
    <t>Slot2.Ch113</t>
  </si>
  <si>
    <t>S0_Scanb_Hsd072</t>
  </si>
  <si>
    <t>Slot2.Ch107</t>
  </si>
  <si>
    <t>S0_Scanb_Hsd073</t>
  </si>
  <si>
    <t>Slot2.Ch111</t>
  </si>
  <si>
    <t>S0_Scanb_Hsd079</t>
  </si>
  <si>
    <t>Slot2.Ch112</t>
  </si>
  <si>
    <t>S0_Scanb_Hsd085</t>
  </si>
  <si>
    <t>Slot2.Ch110</t>
  </si>
  <si>
    <t>S0_Scanb_Hsd089</t>
  </si>
  <si>
    <t>Slot2.Ch106</t>
  </si>
  <si>
    <t>S0_Scanb_Hsd109</t>
  </si>
  <si>
    <t>Slot2.Ch101</t>
  </si>
  <si>
    <t>S0_Scanb_Hsd133</t>
  </si>
  <si>
    <t>Slot2.Ch99</t>
  </si>
  <si>
    <t>S0_Scanb_Hsd134</t>
  </si>
  <si>
    <t>Slot2.Ch34</t>
  </si>
  <si>
    <t>S0_Scanb_Hsd136</t>
  </si>
  <si>
    <t>Slot2.Ch33</t>
  </si>
  <si>
    <t>S0_Scanb_Hsd255</t>
  </si>
  <si>
    <t>Slot2.Ch105</t>
  </si>
  <si>
    <t>S0_Scanb_Hsd284</t>
  </si>
  <si>
    <t>Slot2.Ch37</t>
  </si>
  <si>
    <t>S0_Scanb_Hsd285</t>
  </si>
  <si>
    <t>Slot2.Ch100</t>
  </si>
  <si>
    <t>S0_Scanc_Hsd271</t>
  </si>
  <si>
    <t>Slot2.Ch35</t>
  </si>
  <si>
    <t>S0_Scanc_Hsd280</t>
  </si>
  <si>
    <t>Slot2.Ch98</t>
  </si>
  <si>
    <t>S0_Scanc_Hsd281</t>
  </si>
  <si>
    <t>Slot2.Ch97</t>
  </si>
  <si>
    <t>S0_Scand_Hsd035</t>
  </si>
  <si>
    <t>Slot2.Ch61</t>
  </si>
  <si>
    <t>S0_Scand_Hsd042</t>
  </si>
  <si>
    <t>Slot2.Ch126</t>
  </si>
  <si>
    <t>S0_Scand_Hsd209</t>
  </si>
  <si>
    <t>Slot2.Ch90</t>
  </si>
  <si>
    <t>S0_Scand_Hsd219</t>
  </si>
  <si>
    <t>Slot2.Ch93</t>
  </si>
  <si>
    <t>S0_Scand_Hsd270</t>
  </si>
  <si>
    <t>Slot2.Ch104</t>
  </si>
  <si>
    <t>S0_Scand_Hsd272</t>
  </si>
  <si>
    <t>Slot2.Ch103</t>
  </si>
  <si>
    <t>S0_Scand_Hsd273</t>
  </si>
  <si>
    <t>Slot2.Ch102</t>
  </si>
  <si>
    <t>S0_Scand_Hsd275</t>
  </si>
  <si>
    <t>Slot2.Ch32</t>
  </si>
  <si>
    <t>S0_Scand_Hsd276</t>
  </si>
  <si>
    <t>Slot2.Ch96</t>
  </si>
  <si>
    <t>S0_Scand_Hsd292</t>
  </si>
  <si>
    <t>Slot2.Ch36</t>
  </si>
  <si>
    <t>S1_Bpmuinh_Hsd141</t>
  </si>
  <si>
    <t>Slot1.Ch63</t>
  </si>
  <si>
    <t>S1_Bpmuvbat_Hsd142</t>
  </si>
  <si>
    <t>Slot1.Ch127</t>
  </si>
  <si>
    <t>S1_Ds_Hsd998</t>
  </si>
  <si>
    <t>Slot1.Ch62</t>
  </si>
  <si>
    <t>S1_Hsd081</t>
  </si>
  <si>
    <t>Slot3.Ch111</t>
  </si>
  <si>
    <t>S1_Hsd082</t>
  </si>
  <si>
    <t>Slot3.Ch114</t>
  </si>
  <si>
    <t>S1_Hsd093</t>
  </si>
  <si>
    <t>Slot3.Ch126</t>
  </si>
  <si>
    <t>S1_Hsd097</t>
  </si>
  <si>
    <t>Slot3.Ch113</t>
  </si>
  <si>
    <t>S1_Hsd099</t>
  </si>
  <si>
    <t>Slot1.Ch61</t>
  </si>
  <si>
    <t>S1_Hsd101</t>
  </si>
  <si>
    <t>Slot3.Ch34</t>
  </si>
  <si>
    <t>S1_Hsd112</t>
  </si>
  <si>
    <t>Slot1.Ch59</t>
  </si>
  <si>
    <t>S1_Hsd114</t>
  </si>
  <si>
    <t>Slot3.Ch53</t>
  </si>
  <si>
    <t>S1_Hsd120</t>
  </si>
  <si>
    <t>Slot3.Ch37</t>
  </si>
  <si>
    <t>S1_Hsd144</t>
  </si>
  <si>
    <t>Slot3.Ch103</t>
  </si>
  <si>
    <t>S1_Hsd145</t>
  </si>
  <si>
    <t>Slot3.Ch127</t>
  </si>
  <si>
    <t>S1_Hsd177</t>
  </si>
  <si>
    <t>Slot3.Ch106</t>
  </si>
  <si>
    <t>S1_Hsd178</t>
  </si>
  <si>
    <t>Slot1.Ch72</t>
  </si>
  <si>
    <t>S1_Hsd179</t>
  </si>
  <si>
    <t>Slot1.Ch5</t>
  </si>
  <si>
    <t>S1_Hsd181</t>
  </si>
  <si>
    <t>Slot3.Ch112</t>
  </si>
  <si>
    <t>S1_Hsd182</t>
  </si>
  <si>
    <t>Slot3.Ch109</t>
  </si>
  <si>
    <t>S1_Hsd183</t>
  </si>
  <si>
    <t>Slot3.Ch59</t>
  </si>
  <si>
    <t>S1_Hsd184</t>
  </si>
  <si>
    <t>Slot3.Ch56</t>
  </si>
  <si>
    <t>S1_Hsd185</t>
  </si>
  <si>
    <t>Slot3.Ch50</t>
  </si>
  <si>
    <t>S1_Hsd186</t>
  </si>
  <si>
    <t>Slot3.Ch42</t>
  </si>
  <si>
    <t>S1_Hsd187</t>
  </si>
  <si>
    <t>Slot3.Ch47</t>
  </si>
  <si>
    <t>S1_Hsd188</t>
  </si>
  <si>
    <t>Slot3.Ch46</t>
  </si>
  <si>
    <t>S1_Hsd189</t>
  </si>
  <si>
    <t>Slot3.Ch43</t>
  </si>
  <si>
    <t>S1_Hsd190</t>
  </si>
  <si>
    <t>Slot3.Ch48</t>
  </si>
  <si>
    <t>S1_Hsd191</t>
  </si>
  <si>
    <t>Slot3.Ch51</t>
  </si>
  <si>
    <t>S1_Hsd192</t>
  </si>
  <si>
    <t>Slot3.Ch49</t>
  </si>
  <si>
    <t>S1_Hsd193</t>
  </si>
  <si>
    <t>Slot3.Ch55</t>
  </si>
  <si>
    <t>S1_Hsd194</t>
  </si>
  <si>
    <t>Slot3.Ch115</t>
  </si>
  <si>
    <t>S1_Hsd195</t>
  </si>
  <si>
    <t>Slot3.Ch117</t>
  </si>
  <si>
    <t>S1_Hsd196</t>
  </si>
  <si>
    <t>Slot3.Ch54</t>
  </si>
  <si>
    <t>S1_Hsd197</t>
  </si>
  <si>
    <t>Slot3.Ch116</t>
  </si>
  <si>
    <t>S1_Hsd198</t>
  </si>
  <si>
    <t>Slot3.Ch52</t>
  </si>
  <si>
    <t>S1_Hsd199</t>
  </si>
  <si>
    <t>Slot3.Ch61</t>
  </si>
  <si>
    <t>S1_Hsd200</t>
  </si>
  <si>
    <t>Slot3.Ch60</t>
  </si>
  <si>
    <t>S1_Hsd201</t>
  </si>
  <si>
    <t>Slot3.Ch57</t>
  </si>
  <si>
    <t>S1_Hsd202</t>
  </si>
  <si>
    <t>Slot3.Ch58</t>
  </si>
  <si>
    <t>S1_Hsd203</t>
  </si>
  <si>
    <t>Slot3.Ch41</t>
  </si>
  <si>
    <t>S1_Hsd204</t>
  </si>
  <si>
    <t>Slot3.Ch124</t>
  </si>
  <si>
    <t>S1_Hsd205</t>
  </si>
  <si>
    <t>Slot3.Ch118</t>
  </si>
  <si>
    <t>S1_Hsd206</t>
  </si>
  <si>
    <t>Slot3.Ch119</t>
  </si>
  <si>
    <t>S1_Hsd256</t>
  </si>
  <si>
    <t>Slot3.Ch110</t>
  </si>
  <si>
    <t>S1_Hsd257</t>
  </si>
  <si>
    <t>Slot3.Ch35</t>
  </si>
  <si>
    <t>S1_Hsd258</t>
  </si>
  <si>
    <t>Slot3.Ch36</t>
  </si>
  <si>
    <t>S1_Hsd259</t>
  </si>
  <si>
    <t>Slot3.Ch105</t>
  </si>
  <si>
    <t>S1_Hsd260</t>
  </si>
  <si>
    <t>Slot3.Ch108</t>
  </si>
  <si>
    <t>S1_Hsd261</t>
  </si>
  <si>
    <t>Slot3.Ch107</t>
  </si>
  <si>
    <t>S1_Hsd262</t>
  </si>
  <si>
    <t>Slot1.Ch44</t>
  </si>
  <si>
    <t>S1_Hsd263</t>
  </si>
  <si>
    <t>Slot1.Ch46</t>
  </si>
  <si>
    <t>S1_Hsd264</t>
  </si>
  <si>
    <t>Slot1.Ch45</t>
  </si>
  <si>
    <t>S1_Hsd265</t>
  </si>
  <si>
    <t>Slot1.Ch47</t>
  </si>
  <si>
    <t>S1_Hsd266</t>
  </si>
  <si>
    <t>Slot1.Ch49</t>
  </si>
  <si>
    <t>S1_Hsd267</t>
  </si>
  <si>
    <t>Slot1.Ch48</t>
  </si>
  <si>
    <t>S1_Hsd268</t>
  </si>
  <si>
    <t>Slot1.Ch50</t>
  </si>
  <si>
    <t>S1_Hsd269</t>
  </si>
  <si>
    <t>Slot3.Ch104</t>
  </si>
  <si>
    <t>S1_Hsd286</t>
  </si>
  <si>
    <t>Slot1.Ch55</t>
  </si>
  <si>
    <t>S1_Hsd287</t>
  </si>
  <si>
    <t>Slot1.Ch54</t>
  </si>
  <si>
    <t>S1_Hsd288</t>
  </si>
  <si>
    <t>Slot1.Ch58</t>
  </si>
  <si>
    <t>S1_Hsd290</t>
  </si>
  <si>
    <t>Slot1.Ch51</t>
  </si>
  <si>
    <t>S1_Hsd292</t>
  </si>
  <si>
    <t>Slot3.Ch33</t>
  </si>
  <si>
    <t>S1_Hsd999</t>
  </si>
  <si>
    <t>Slot3.Ch40</t>
  </si>
  <si>
    <t>S1_Scana_Hsd207</t>
  </si>
  <si>
    <t>Slot1.Ch35</t>
  </si>
  <si>
    <t>S1_Scana_Hsd208</t>
  </si>
  <si>
    <t>Slot1.Ch42</t>
  </si>
  <si>
    <t>S1_Scana_Hsd210</t>
  </si>
  <si>
    <t>Slot1.Ch41</t>
  </si>
  <si>
    <t>S1_Scana_Hsd211</t>
  </si>
  <si>
    <t>Slot1.Ch39</t>
  </si>
  <si>
    <t>S1_Scana_Hsd212</t>
  </si>
  <si>
    <t>Slot1.Ch100</t>
  </si>
  <si>
    <t>S1_Scana_Hsd213</t>
  </si>
  <si>
    <t>Slot1.Ch97</t>
  </si>
  <si>
    <t>S1_Scana_Hsd214</t>
  </si>
  <si>
    <t>Slot1.Ch36</t>
  </si>
  <si>
    <t>S1_Scana_Hsd215</t>
  </si>
  <si>
    <t>Slot1.Ch37</t>
  </si>
  <si>
    <t>S1_Scana_Hsd216</t>
  </si>
  <si>
    <t>Slot1.Ch40</t>
  </si>
  <si>
    <t>S1_Scana_Hsd217</t>
  </si>
  <si>
    <t>Slot1.Ch38</t>
  </si>
  <si>
    <t>S1_Scana_Hsd218</t>
  </si>
  <si>
    <t>Slot1.Ch32</t>
  </si>
  <si>
    <t>S1_Scana_Hsd289</t>
  </si>
  <si>
    <t>Slot1.Ch33</t>
  </si>
  <si>
    <t>S1_Scanb_Ds_Hsd063</t>
  </si>
  <si>
    <t>Slot1.Ch53</t>
  </si>
  <si>
    <t>S1_Scanb_Hsd064</t>
  </si>
  <si>
    <t>Slot1.Ch52</t>
  </si>
  <si>
    <t>S1_Scanb_Hsd066</t>
  </si>
  <si>
    <t>Slot1.Ch93</t>
  </si>
  <si>
    <t>S1_Scanb_Hsd072</t>
  </si>
  <si>
    <t>Slot1.Ch91</t>
  </si>
  <si>
    <t>S1_Scanb_Hsd073</t>
  </si>
  <si>
    <t>Slot1.Ch94</t>
  </si>
  <si>
    <t>S1_Scanb_Hsd079</t>
  </si>
  <si>
    <t>Slot1.Ch95</t>
  </si>
  <si>
    <t>S1_Scanb_Hsd085</t>
  </si>
  <si>
    <t>Slot1.Ch92</t>
  </si>
  <si>
    <t>S1_Scanb_Hsd089</t>
  </si>
  <si>
    <t>Slot1.Ch89</t>
  </si>
  <si>
    <t>S1_Scanb_Hsd109</t>
  </si>
  <si>
    <t>Slot1.Ch110</t>
  </si>
  <si>
    <t>S1_Scanb_Hsd133</t>
  </si>
  <si>
    <t>Slot1.Ch108</t>
  </si>
  <si>
    <t>S1_Scanb_Hsd134</t>
  </si>
  <si>
    <t>Slot1.Ch104</t>
  </si>
  <si>
    <t>S1_Scanb_Hsd136</t>
  </si>
  <si>
    <t>Slot1.Ch102</t>
  </si>
  <si>
    <t>S1_Scanb_Hsd255</t>
  </si>
  <si>
    <t>Slot1.Ch90</t>
  </si>
  <si>
    <t>S1_Scanb_Hsd284</t>
  </si>
  <si>
    <t>Slot1.Ch101</t>
  </si>
  <si>
    <t>S1_Scanb_Hsd285</t>
  </si>
  <si>
    <t>Slot1.Ch105</t>
  </si>
  <si>
    <t>S1_Scanc_Hsd271</t>
  </si>
  <si>
    <t>Slot1.Ch98</t>
  </si>
  <si>
    <t>S1_Scanc_Hsd280</t>
  </si>
  <si>
    <t>Slot1.Ch109</t>
  </si>
  <si>
    <t>S1_Scanc_Hsd281</t>
  </si>
  <si>
    <t>Slot1.Ch106</t>
  </si>
  <si>
    <t>S1_Scand_Hsd035</t>
  </si>
  <si>
    <t>Slot1.Ch124</t>
  </si>
  <si>
    <t>S1_Scand_Hsd042</t>
  </si>
  <si>
    <t>Slot1.Ch126</t>
  </si>
  <si>
    <t>S1_Scand_Hsd209</t>
  </si>
  <si>
    <t>Slot1.Ch43</t>
  </si>
  <si>
    <t>S1_Scand_Hsd219</t>
  </si>
  <si>
    <t>Slot1.Ch34</t>
  </si>
  <si>
    <t>S1_Scand_Hsd270</t>
  </si>
  <si>
    <t>Slot1.Ch125</t>
  </si>
  <si>
    <t>S1_Scand_Hsd272</t>
  </si>
  <si>
    <t>Slot1.Ch96</t>
  </si>
  <si>
    <t>S1_Scand_Hsd273</t>
  </si>
  <si>
    <t>Slot1.Ch111</t>
  </si>
  <si>
    <t>S1_Scand_Hsd275</t>
  </si>
  <si>
    <t>Slot1.Ch103</t>
  </si>
  <si>
    <t>S1_Scand_Hsd276</t>
  </si>
  <si>
    <t>Slot1.Ch107</t>
  </si>
  <si>
    <t>S1_Scand_Hsd292</t>
  </si>
  <si>
    <t>Slot1.Ch99</t>
  </si>
  <si>
    <t>S2_Bpmuinh_Hsd141</t>
  </si>
  <si>
    <t>Slot0.Ch64</t>
  </si>
  <si>
    <t>S2_Bpmuvbat_Hsd142</t>
  </si>
  <si>
    <t>Slot0.Ch0</t>
  </si>
  <si>
    <t>S2_Ds_Hsd998</t>
  </si>
  <si>
    <t>Slot0.Ch14</t>
    <phoneticPr fontId="1" type="noConversion"/>
  </si>
  <si>
    <t>S2_Hsd081</t>
  </si>
  <si>
    <t>Slot2.Ch20</t>
  </si>
  <si>
    <t>S2_Hsd082</t>
  </si>
  <si>
    <t>Slot2.Ch16</t>
  </si>
  <si>
    <t>S2_Hsd093</t>
  </si>
  <si>
    <t>Slot2.Ch3</t>
  </si>
  <si>
    <t>S2_Hsd097</t>
  </si>
  <si>
    <t>Slot2.Ch19</t>
  </si>
  <si>
    <t>S2_Hsd099</t>
  </si>
  <si>
    <t>Slot2.Ch28</t>
  </si>
  <si>
    <t>S2_Hsd101</t>
  </si>
  <si>
    <t>Slot0.Ch10</t>
  </si>
  <si>
    <t>S2_Hsd112</t>
  </si>
  <si>
    <t>Slot2.Ch29</t>
  </si>
  <si>
    <t>S2_Hsd114</t>
  </si>
  <si>
    <t>Slot2.Ch6</t>
  </si>
  <si>
    <t>S2_Hsd120</t>
  </si>
  <si>
    <t>Slot0.Ch9</t>
  </si>
  <si>
    <t>S2_Hsd144</t>
  </si>
  <si>
    <t>Slot0.Ch8</t>
  </si>
  <si>
    <t>S2_Hsd145</t>
  </si>
  <si>
    <t>Slot0.Ch126</t>
  </si>
  <si>
    <t>S2_Hsd177</t>
  </si>
  <si>
    <t>Slot2.Ch83</t>
  </si>
  <si>
    <t>S2_Hsd178</t>
  </si>
  <si>
    <t>Slot2.Ch86</t>
  </si>
  <si>
    <t>S2_Hsd179</t>
  </si>
  <si>
    <t>Slot2.Ch84</t>
  </si>
  <si>
    <t>S2_Hsd181</t>
  </si>
  <si>
    <t>Slot2.Ch76</t>
  </si>
  <si>
    <t>S2_Hsd182</t>
  </si>
  <si>
    <t>Slot2.Ch17</t>
  </si>
  <si>
    <t>S2_Hsd183</t>
  </si>
  <si>
    <t>Slot2.Ch75</t>
  </si>
  <si>
    <t>S2_Hsd184</t>
  </si>
  <si>
    <t>Slot2.Ch74</t>
  </si>
  <si>
    <t>S2_Hsd185</t>
  </si>
  <si>
    <t>Slot2.Ch18</t>
  </si>
  <si>
    <t>S2_Hsd186</t>
  </si>
  <si>
    <t>Slot2.Ch77</t>
  </si>
  <si>
    <t>S2_Hsd187</t>
  </si>
  <si>
    <t>Slot2.Ch71</t>
  </si>
  <si>
    <t>S2_Hsd188</t>
  </si>
  <si>
    <t>Slot2.Ch72</t>
  </si>
  <si>
    <t>S2_Hsd189</t>
  </si>
  <si>
    <t>Slot2.Ch78</t>
  </si>
  <si>
    <t>S2_Hsd190</t>
  </si>
  <si>
    <t>Slot2.Ch69</t>
  </si>
  <si>
    <t>S2_Hsd191</t>
  </si>
  <si>
    <t>Slot2.Ch79</t>
  </si>
  <si>
    <t>S2_Hsd192</t>
  </si>
  <si>
    <t>Slot2.Ch68</t>
  </si>
  <si>
    <t>S2_Hsd193</t>
  </si>
  <si>
    <t>Slot0.Ch72</t>
  </si>
  <si>
    <t>S2_Hsd194</t>
  </si>
  <si>
    <t>Slot2.Ch13</t>
  </si>
  <si>
    <t>S2_Hsd195</t>
  </si>
  <si>
    <t>Slot2.Ch73</t>
  </si>
  <si>
    <t>S2_Hsd196</t>
  </si>
  <si>
    <t>Slot2.Ch15</t>
  </si>
  <si>
    <t>S2_Hsd197</t>
  </si>
  <si>
    <t>Slot2.Ch14</t>
  </si>
  <si>
    <t>S2_Hsd198</t>
  </si>
  <si>
    <t>Slot2.Ch12</t>
  </si>
  <si>
    <t>S2_Hsd199</t>
  </si>
  <si>
    <t>Slot2.Ch5</t>
  </si>
  <si>
    <t>S2_Hsd200</t>
  </si>
  <si>
    <t>Slot2.Ch64</t>
  </si>
  <si>
    <t>S2_Hsd201</t>
  </si>
  <si>
    <t>Slot2.Ch70</t>
  </si>
  <si>
    <t>S2_Hsd202</t>
  </si>
  <si>
    <t>Slot2.Ch2</t>
  </si>
  <si>
    <t>S2_Hsd203</t>
  </si>
  <si>
    <t>Slot2.Ch80</t>
  </si>
  <si>
    <t>S2_Hsd204</t>
  </si>
  <si>
    <t>Slot2.Ch9</t>
  </si>
  <si>
    <t>S2_Hsd205</t>
  </si>
  <si>
    <t>Slot2.Ch65</t>
  </si>
  <si>
    <t>S2_Hsd206</t>
  </si>
  <si>
    <t>Slot2.Ch7</t>
  </si>
  <si>
    <t>S2_Hsd256</t>
  </si>
  <si>
    <t>Slot2.Ch22</t>
  </si>
  <si>
    <t>S2_Hsd257</t>
  </si>
  <si>
    <t>Slot2.Ch88</t>
  </si>
  <si>
    <t>S2_Hsd258</t>
  </si>
  <si>
    <t>Slot2.Ch87</t>
  </si>
  <si>
    <t>S2_Hsd259</t>
  </si>
  <si>
    <t>Slot2.Ch85</t>
  </si>
  <si>
    <t>S2_Hsd260</t>
  </si>
  <si>
    <t>Slot2.Ch21</t>
  </si>
  <si>
    <t>S2_Hsd261</t>
  </si>
  <si>
    <t>Slot2.Ch23</t>
  </si>
  <si>
    <t>S2_Hsd262</t>
  </si>
  <si>
    <t>Slot0.Ch5</t>
  </si>
  <si>
    <t>S2_Hsd263</t>
  </si>
  <si>
    <t>Slot0.Ch4</t>
  </si>
  <si>
    <t>S2_Hsd264</t>
  </si>
  <si>
    <t>Slot0.Ch6</t>
  </si>
  <si>
    <t>S2_Hsd265</t>
  </si>
  <si>
    <t>Slot0.Ch7</t>
  </si>
  <si>
    <t>S2_Hsd266</t>
  </si>
  <si>
    <t>Slot0.Ch3</t>
  </si>
  <si>
    <t>S2_Hsd267</t>
  </si>
  <si>
    <t>Slot0.Ch11</t>
  </si>
  <si>
    <t>S2_Hsd268</t>
  </si>
  <si>
    <t>Slot0.Ch12</t>
  </si>
  <si>
    <t>S2_Hsd269</t>
  </si>
  <si>
    <t>Slot2.Ch82</t>
  </si>
  <si>
    <t>S2_Hsd286</t>
  </si>
  <si>
    <t>Slot0.Ch76</t>
  </si>
  <si>
    <t>S2_Hsd287</t>
  </si>
  <si>
    <t>Slot0.Ch73</t>
  </si>
  <si>
    <t>S2_Hsd288</t>
  </si>
  <si>
    <t>Slot0.Ch2</t>
  </si>
  <si>
    <t>S2_Hsd290</t>
  </si>
  <si>
    <t>Slot0.Ch13</t>
  </si>
  <si>
    <t>S2_Hsd292</t>
  </si>
  <si>
    <t>Slot2.Ch30</t>
  </si>
  <si>
    <t>S2_Hsd999</t>
  </si>
  <si>
    <t>Slot2.Ch81</t>
  </si>
  <si>
    <t>S2_Scana_Hsd207</t>
  </si>
  <si>
    <t>Slot0.Ch94</t>
  </si>
  <si>
    <t>S2_Scana_Hsd208</t>
  </si>
  <si>
    <t>Slot0.Ch84</t>
  </si>
  <si>
    <t>S2_Scana_Hsd210</t>
  </si>
  <si>
    <t>Slot0.Ch87</t>
  </si>
  <si>
    <t>S2_Scana_Hsd211</t>
  </si>
  <si>
    <t>Slot0.Ch88</t>
  </si>
  <si>
    <t>S2_Scana_Hsd212</t>
  </si>
  <si>
    <t>Slot0.Ch29</t>
  </si>
  <si>
    <t>S2_Scana_Hsd213</t>
  </si>
  <si>
    <t>Slot0.Ch26</t>
  </si>
  <si>
    <t>S2_Scana_Hsd214</t>
  </si>
  <si>
    <t>Slot0.Ch91</t>
  </si>
  <si>
    <t>S2_Scana_Hsd215</t>
  </si>
  <si>
    <t>Slot0.Ch92</t>
  </si>
  <si>
    <t>S2_Scana_Hsd216</t>
  </si>
  <si>
    <t>Slot0.Ch89</t>
  </si>
  <si>
    <t>S2_Scana_Hsd217</t>
  </si>
  <si>
    <t>Slot0.Ch90</t>
  </si>
  <si>
    <t>S2_Scana_Hsd218</t>
  </si>
  <si>
    <t>Slot0.Ch95</t>
  </si>
  <si>
    <t>S2_Scana_Hsd289</t>
  </si>
  <si>
    <t>Slot0.Ch93</t>
  </si>
  <si>
    <t>S2_Scanb_Ds_Hsd063</t>
  </si>
  <si>
    <t>Slot0.Ch30</t>
  </si>
  <si>
    <t>S2_Scanb_Hsd064</t>
  </si>
  <si>
    <t>Slot0.Ch31</t>
  </si>
  <si>
    <t>S2_Scanb_Hsd066</t>
  </si>
  <si>
    <t>Slot0.Ch27</t>
  </si>
  <si>
    <t>S2_Scanb_Hsd072</t>
  </si>
  <si>
    <t>Slot0.Ch23</t>
  </si>
  <si>
    <t>S2_Scanb_Hsd073</t>
  </si>
  <si>
    <t>Slot0.Ch25</t>
  </si>
  <si>
    <t>S2_Scanb_Hsd079</t>
  </si>
  <si>
    <t>Slot0.Ch28</t>
  </si>
  <si>
    <t>S2_Scanb_Hsd085</t>
  </si>
  <si>
    <t>Slot0.Ch24</t>
  </si>
  <si>
    <t>S2_Scanb_Hsd089</t>
  </si>
  <si>
    <t>Slot0.Ch21</t>
  </si>
  <si>
    <t>S2_Scanb_Hsd109</t>
  </si>
  <si>
    <t>Slot0.Ch18</t>
  </si>
  <si>
    <t>S2_Scanb_Hsd133</t>
  </si>
  <si>
    <t>Slot0.Ch20</t>
  </si>
  <si>
    <t>S2_Scanb_Hsd134</t>
  </si>
  <si>
    <t>Slot0.Ch96</t>
  </si>
  <si>
    <t>S2_Scanb_Hsd136</t>
  </si>
  <si>
    <t>Slot0.Ch100</t>
  </si>
  <si>
    <t>S2_Scanb_Hsd255</t>
  </si>
  <si>
    <t>Slot0.Ch22</t>
  </si>
  <si>
    <t>S2_Scanb_Hsd284</t>
  </si>
  <si>
    <t>Slot0.Ch1</t>
  </si>
  <si>
    <t>S2_Scanb_Hsd285</t>
  </si>
  <si>
    <t>Slot0.Ch97</t>
  </si>
  <si>
    <t>S2_Scanc_Hsd271</t>
  </si>
  <si>
    <t>Slot0.Ch98</t>
  </si>
  <si>
    <t>S2_Scanc_Hsd280</t>
  </si>
  <si>
    <t>Slot0.Ch19</t>
  </si>
  <si>
    <t>S2_Scanc_Hsd281</t>
  </si>
  <si>
    <t>Slot0.Ch101</t>
  </si>
  <si>
    <t>S2_Scand_Hsd035</t>
  </si>
  <si>
    <t>Slot0.Ch68</t>
  </si>
  <si>
    <t>S2_Scand_Hsd042</t>
  </si>
  <si>
    <t>Slot0.Ch65</t>
  </si>
  <si>
    <t>S2_Scand_Hsd209</t>
  </si>
  <si>
    <t>Slot0.Ch86</t>
  </si>
  <si>
    <t>S2_Scand_Hsd219</t>
  </si>
  <si>
    <t>Slot0.Ch85</t>
  </si>
  <si>
    <t>S2_Scand_Hsd270</t>
  </si>
  <si>
    <t>Slot0.Ch17</t>
  </si>
  <si>
    <t>S2_Scand_Hsd272</t>
  </si>
  <si>
    <t>Slot0.Ch69</t>
    <phoneticPr fontId="1" type="noConversion"/>
  </si>
  <si>
    <t>S2_Scand_Hsd273</t>
  </si>
  <si>
    <t>Slot0.Ch16</t>
  </si>
  <si>
    <t>S2_Scand_Hsd275</t>
  </si>
  <si>
    <t>Slot0.Ch99</t>
  </si>
  <si>
    <t>S2_Scand_Hsd276</t>
  </si>
  <si>
    <t>Slot0.Ch102</t>
  </si>
  <si>
    <t>S2_Scand_Hsd292</t>
  </si>
  <si>
    <t>Slot0.Ch15</t>
  </si>
  <si>
    <t>S3_Bpmuinh_Hsd141</t>
  </si>
  <si>
    <t>Slot3.Ch0</t>
  </si>
  <si>
    <t>S3_Bpmuvbat_Hsd142</t>
  </si>
  <si>
    <t>Slot3.Ch65</t>
  </si>
  <si>
    <t>S3_Ds_Hsd998</t>
  </si>
  <si>
    <t>Slot1.Ch4</t>
  </si>
  <si>
    <t>S3_Hsd081</t>
  </si>
  <si>
    <t>Slot1.Ch22</t>
  </si>
  <si>
    <t>S3_Hsd082</t>
  </si>
  <si>
    <t>Slot1.Ch18</t>
  </si>
  <si>
    <t>S3_Hsd093</t>
  </si>
  <si>
    <t>Slot1.Ch68</t>
  </si>
  <si>
    <t>S3_Hsd097</t>
  </si>
  <si>
    <t>Slot1.Ch19</t>
  </si>
  <si>
    <t>S3_Hsd099</t>
  </si>
  <si>
    <t>Slot1.Ch27</t>
  </si>
  <si>
    <t>S3_Hsd101</t>
  </si>
  <si>
    <t>Slot3.Ch17</t>
  </si>
  <si>
    <t>S3_Hsd112</t>
  </si>
  <si>
    <t>Slot1.Ch26</t>
  </si>
  <si>
    <t>S3_Hsd114</t>
  </si>
  <si>
    <t>Slot1.Ch78</t>
  </si>
  <si>
    <t>S3_Hsd120</t>
  </si>
  <si>
    <t>Slot3.Ch16</t>
  </si>
  <si>
    <t>S3_Hsd144</t>
  </si>
  <si>
    <t>Slot3.Ch15</t>
  </si>
  <si>
    <t>S3_Hsd145</t>
  </si>
  <si>
    <t>Slot3.Ch125</t>
  </si>
  <si>
    <t>S3_Hsd177</t>
  </si>
  <si>
    <t>Slot1.Ch76</t>
  </si>
  <si>
    <t>S3_Hsd178</t>
  </si>
  <si>
    <t>Slot1.Ch73</t>
  </si>
  <si>
    <t>S3_Hsd179</t>
  </si>
  <si>
    <t>Slot1.Ch69</t>
  </si>
  <si>
    <t>S3_Hsd181</t>
  </si>
  <si>
    <t>Slot1.Ch23</t>
  </si>
  <si>
    <t>S3_Hsd182</t>
  </si>
  <si>
    <t>Slot1.Ch82</t>
  </si>
  <si>
    <t>S3_Hsd183</t>
  </si>
  <si>
    <t>Slot1.Ch10</t>
  </si>
  <si>
    <t>S3_Hsd184</t>
  </si>
  <si>
    <t>Slot1.Ch9</t>
  </si>
  <si>
    <t>S3_Hsd185</t>
  </si>
  <si>
    <t>Slot1.Ch6</t>
  </si>
  <si>
    <t>S3_Hsd186</t>
  </si>
  <si>
    <t>Slot3.Ch73</t>
  </si>
  <si>
    <t>S3_Hsd187</t>
  </si>
  <si>
    <t>Slot3.Ch75</t>
  </si>
  <si>
    <t>S3_Hsd188</t>
  </si>
  <si>
    <t>Slot3.Ch76</t>
  </si>
  <si>
    <t>S3_Hsd189</t>
  </si>
  <si>
    <t>Slot3.Ch8</t>
  </si>
  <si>
    <t>S3_Hsd190</t>
  </si>
  <si>
    <t>Slot3.Ch5</t>
  </si>
  <si>
    <t>S3_Hsd191</t>
  </si>
  <si>
    <t>Slot1.Ch7</t>
  </si>
  <si>
    <t>S3_Hsd192</t>
  </si>
  <si>
    <t>Slot3.Ch67</t>
  </si>
  <si>
    <t>S3_Hsd193</t>
  </si>
  <si>
    <t>Slot1.Ch79</t>
  </si>
  <si>
    <t>S3_Hsd194</t>
  </si>
  <si>
    <t>Slot1.Ch88</t>
  </si>
  <si>
    <t>S3_Hsd195</t>
  </si>
  <si>
    <t>Slot1.Ch12</t>
  </si>
  <si>
    <t>S3_Hsd196</t>
  </si>
  <si>
    <t>Slot1.Ch8</t>
  </si>
  <si>
    <t>S3_Hsd197</t>
  </si>
  <si>
    <t>Slot1.Ch11</t>
  </si>
  <si>
    <t>S3_Hsd198</t>
  </si>
  <si>
    <t>Slot1.Ch83</t>
  </si>
  <si>
    <t>S3_Hsd199</t>
  </si>
  <si>
    <t>Slot1.Ch2</t>
  </si>
  <si>
    <t>S3_Hsd200</t>
  </si>
  <si>
    <t>Slot1.Ch3</t>
  </si>
  <si>
    <t>S3_Hsd201</t>
  </si>
  <si>
    <t>Slot3.Ch74</t>
  </si>
  <si>
    <t>S3_Hsd202</t>
  </si>
  <si>
    <t>Slot1.Ch67</t>
  </si>
  <si>
    <t>S3_Hsd203</t>
  </si>
  <si>
    <t>Slot3.Ch4</t>
  </si>
  <si>
    <t>S3_Hsd204</t>
  </si>
  <si>
    <t>Slot1.Ch66</t>
  </si>
  <si>
    <t>S3_Hsd205</t>
  </si>
  <si>
    <t>Slot3.Ch69</t>
  </si>
  <si>
    <t>S3_Hsd206</t>
  </si>
  <si>
    <t>Slot1.Ch77</t>
  </si>
  <si>
    <t>S3_Hsd256</t>
  </si>
  <si>
    <t>Slot1.Ch13</t>
  </si>
  <si>
    <t>S3_Hsd257</t>
  </si>
  <si>
    <t>Slot3.Ch9</t>
  </si>
  <si>
    <t>S3_Hsd258</t>
  </si>
  <si>
    <t>Slot3.Ch10</t>
  </si>
  <si>
    <t>S3_Hsd259</t>
  </si>
  <si>
    <t>Slot1.Ch16</t>
  </si>
  <si>
    <t>S3_Hsd260</t>
  </si>
  <si>
    <t>Slot1.Ch14</t>
  </si>
  <si>
    <t>S3_Hsd261</t>
  </si>
  <si>
    <t>Slot1.Ch15</t>
  </si>
  <si>
    <t>S3_Hsd262</t>
  </si>
  <si>
    <t>Slot3.Ch13</t>
  </si>
  <si>
    <t>S3_Hsd263</t>
  </si>
  <si>
    <t>Slot3.Ch12</t>
  </si>
  <si>
    <t>S3_Hsd264</t>
  </si>
  <si>
    <t>Slot3.Ch14</t>
  </si>
  <si>
    <t>S3_Hsd265</t>
  </si>
  <si>
    <t>Slot3.Ch82</t>
  </si>
  <si>
    <t>S3_Hsd266</t>
  </si>
  <si>
    <t>Slot3.Ch11</t>
  </si>
  <si>
    <t>S3_Hsd267</t>
  </si>
  <si>
    <t>Slot3.Ch79</t>
  </si>
  <si>
    <t>S3_Hsd268</t>
  </si>
  <si>
    <t>Slot3.Ch80</t>
  </si>
  <si>
    <t>S3_Hsd269</t>
  </si>
  <si>
    <t>Slot1.Ch17</t>
  </si>
  <si>
    <t>S3_Hsd286</t>
  </si>
  <si>
    <t>Slot3.Ch70</t>
  </si>
  <si>
    <t>S3_Hsd287</t>
  </si>
  <si>
    <t>Slot3.Ch72</t>
  </si>
  <si>
    <t>S3_Hsd288</t>
  </si>
  <si>
    <t>Slot3.Ch1</t>
  </si>
  <si>
    <t>S3_Hsd290</t>
  </si>
  <si>
    <t>Slot3.Ch78</t>
  </si>
  <si>
    <t>S3_Hsd292</t>
  </si>
  <si>
    <t>Slot3.Ch71</t>
  </si>
  <si>
    <t>S3_Hsd999</t>
  </si>
  <si>
    <t>Slot3.Ch77</t>
  </si>
  <si>
    <t>S3_Scana_Hsd207</t>
  </si>
  <si>
    <t>Slot3.Ch20</t>
  </si>
  <si>
    <t>S3_Scana_Hsd208</t>
  </si>
  <si>
    <t>Slot3.Ch100</t>
  </si>
  <si>
    <t>S3_Scana_Hsd210</t>
  </si>
  <si>
    <t>Slot3.Ch96</t>
  </si>
  <si>
    <t>S3_Scana_Hsd211</t>
  </si>
  <si>
    <t>Slot3.Ch98</t>
  </si>
  <si>
    <t>S3_Scana_Hsd212</t>
  </si>
  <si>
    <t>Slot3.Ch24</t>
  </si>
  <si>
    <t>S3_Scana_Hsd213</t>
  </si>
  <si>
    <t>Slot3.Ch23</t>
  </si>
  <si>
    <t>S3_Scana_Hsd214</t>
  </si>
  <si>
    <t>Slot3.Ch22</t>
  </si>
  <si>
    <t>S3_Scana_Hsd215</t>
  </si>
  <si>
    <t>Slot3.Ch21</t>
  </si>
  <si>
    <t>S3_Scana_Hsd216</t>
  </si>
  <si>
    <t>Slot3.Ch99</t>
  </si>
  <si>
    <t>S3_Scana_Hsd217</t>
  </si>
  <si>
    <t>Slot3.Ch101</t>
  </si>
  <si>
    <t>S3_Scana_Hsd218</t>
  </si>
  <si>
    <t>Slot3.Ch18</t>
  </si>
  <si>
    <t>S3_Scana_Hsd289</t>
  </si>
  <si>
    <t>Slot3.Ch19</t>
  </si>
  <si>
    <t>S3_Scanb_Ds_Hsd063</t>
  </si>
  <si>
    <t>Slot1.Ch56</t>
  </si>
  <si>
    <t>S3_Scanb_Hsd064</t>
  </si>
  <si>
    <t>Slot3.Ch32</t>
  </si>
  <si>
    <t>S3_Scanb_Hsd066</t>
  </si>
  <si>
    <t>Slot3.Ch68</t>
  </si>
  <si>
    <t>S3_Scanb_Hsd072</t>
  </si>
  <si>
    <t>Slot3.Ch86</t>
  </si>
  <si>
    <t>S3_Scanb_Hsd073</t>
  </si>
  <si>
    <t>Slot3.Ch83</t>
  </si>
  <si>
    <t>S3_Scanb_Hsd079</t>
  </si>
  <si>
    <t>Slot3.Ch81</t>
  </si>
  <si>
    <t>S3_Scanb_Hsd085</t>
  </si>
  <si>
    <t>Slot3.Ch84</t>
  </si>
  <si>
    <t>S3_Scanb_Hsd089</t>
  </si>
  <si>
    <t>Slot3.Ch88</t>
  </si>
  <si>
    <t>S3_Scanb_Hsd109</t>
  </si>
  <si>
    <t>Slot3.Ch92</t>
  </si>
  <si>
    <t>S3_Scanb_Hsd133</t>
  </si>
  <si>
    <t>Slot3.Ch89</t>
  </si>
  <si>
    <t>S3_Scanb_Hsd134</t>
  </si>
  <si>
    <t>Slot3.Ch25</t>
  </si>
  <si>
    <t>S3_Scanb_Hsd136</t>
  </si>
  <si>
    <t>Slot3.Ch30</t>
  </si>
  <si>
    <t>S3_Scanb_Hsd255</t>
  </si>
  <si>
    <t>Slot3.Ch87</t>
  </si>
  <si>
    <t>S3_Scanb_Hsd284</t>
  </si>
  <si>
    <t>Slot3.Ch26</t>
  </si>
  <si>
    <t>S3_Scanb_Hsd285</t>
  </si>
  <si>
    <t>Slot3.Ch28</t>
  </si>
  <si>
    <t>S3_Scanc_Hsd271</t>
  </si>
  <si>
    <t>Slot3.Ch85</t>
  </si>
  <si>
    <t>S3_Scanc_Hsd280</t>
  </si>
  <si>
    <t>Slot3.Ch90</t>
  </si>
  <si>
    <t>S3_Scanc_Hsd281</t>
  </si>
  <si>
    <t>Slot3.Ch27</t>
  </si>
  <si>
    <t>S3_Scand_Hsd035</t>
  </si>
  <si>
    <t>Slot3.Ch66</t>
  </si>
  <si>
    <t>S3_Scand_Hsd042</t>
  </si>
  <si>
    <t>Slot3.Ch64</t>
  </si>
  <si>
    <t>S3_Scand_Hsd209</t>
  </si>
  <si>
    <t>Slot3.Ch97</t>
  </si>
  <si>
    <t>S3_Scand_Hsd219</t>
  </si>
  <si>
    <t>Slot3.Ch102</t>
  </si>
  <si>
    <t>S3_Scand_Hsd270</t>
  </si>
  <si>
    <t>Slot3.Ch94</t>
  </si>
  <si>
    <t>S3_Scand_Hsd272</t>
  </si>
  <si>
    <t>Slot3.Ch91</t>
  </si>
  <si>
    <t>S3_Scand_Hsd273</t>
  </si>
  <si>
    <t>Slot3.Ch95</t>
  </si>
  <si>
    <t>S3_Scand_Hsd275</t>
  </si>
  <si>
    <t>Slot3.Ch29</t>
  </si>
  <si>
    <t>S3_Scand_Hsd276</t>
  </si>
  <si>
    <t>Slot3.Ch31</t>
  </si>
  <si>
    <t>S3_Scand_Hsd292</t>
  </si>
  <si>
    <t>Slot3.Ch93</t>
  </si>
  <si>
    <t>Sc_A0_Hsd295</t>
  </si>
  <si>
    <t>Slot0.Ch32</t>
  </si>
  <si>
    <t>Sc_A1_Hsd296</t>
  </si>
  <si>
    <t>Slot0.Ch34</t>
  </si>
  <si>
    <t>Sc_Bpmu45v_Hsd996</t>
  </si>
  <si>
    <t>Slot2.Ch63</t>
  </si>
  <si>
    <t>Sc_Hsd070</t>
  </si>
  <si>
    <t>Slot2.Ch125</t>
  </si>
  <si>
    <t>Sc_Hsd242</t>
  </si>
  <si>
    <t>Slot1.Ch70</t>
  </si>
  <si>
    <t>Sc_Hsd243</t>
  </si>
  <si>
    <t>Slot3.Ch120</t>
  </si>
  <si>
    <t>Sc_Hsd244</t>
  </si>
  <si>
    <t>Slot3.Ch123</t>
  </si>
  <si>
    <t>Sc_Hsd251</t>
  </si>
  <si>
    <t>Slot1.Ch71</t>
  </si>
  <si>
    <t>Sc_Hsd252</t>
  </si>
  <si>
    <t>Slot1.Ch85</t>
  </si>
  <si>
    <t>Sc_Hsd253</t>
  </si>
  <si>
    <t>Slot3.Ch121</t>
  </si>
  <si>
    <t>Sc_Hsd254</t>
  </si>
  <si>
    <t>Slot3.Ch122</t>
  </si>
  <si>
    <t>Sc_Hsd291</t>
  </si>
  <si>
    <t>Slot1.Ch84</t>
  </si>
  <si>
    <t>Sc_Hsd293</t>
  </si>
  <si>
    <t>Slot0.Ch33</t>
  </si>
  <si>
    <t>Sc_Pwct_Hsd995</t>
  </si>
  <si>
    <t>Slot2.Ch4</t>
  </si>
  <si>
    <t>Sh01_Hsd026</t>
  </si>
  <si>
    <t>Slot0.Ch62</t>
  </si>
  <si>
    <t>Sh01_Hsd027</t>
  </si>
  <si>
    <t>Slot0.Ch63</t>
  </si>
  <si>
    <t>Sh02_Hsd026</t>
  </si>
  <si>
    <t>Slot0.Ch60</t>
  </si>
  <si>
    <t>Sh02_Hsd027</t>
  </si>
  <si>
    <t>Slot0.Ch57</t>
  </si>
  <si>
    <t>Sh11_Hsd026</t>
  </si>
  <si>
    <t>Slot1.Ch60</t>
  </si>
  <si>
    <t>Sh11_Hsd027</t>
  </si>
  <si>
    <t>Slot1.Ch57</t>
  </si>
  <si>
    <t>Sh12_Hsd026</t>
  </si>
  <si>
    <t>Slot3.Ch63</t>
  </si>
  <si>
    <t>Sh12_Hsd027</t>
  </si>
  <si>
    <t>Slot3.Ch62</t>
  </si>
  <si>
    <t>Sh21_Hsd026</t>
  </si>
  <si>
    <t>Slot0.Ch67</t>
  </si>
  <si>
    <t>Sh21_Hsd027</t>
  </si>
  <si>
    <t>Slot0.Ch66</t>
  </si>
  <si>
    <t>Sh22_Hsd026</t>
  </si>
  <si>
    <t>Slot0.Ch70</t>
  </si>
  <si>
    <t>Sh22_Hsd027</t>
  </si>
  <si>
    <t>Slot0.Ch71</t>
  </si>
  <si>
    <t>Sh31_Hsd026</t>
  </si>
  <si>
    <t>Slot1.Ch1</t>
  </si>
  <si>
    <t>Sh31_Hsd027</t>
  </si>
  <si>
    <t>Slot1.Ch0</t>
  </si>
  <si>
    <t>Sh32_Hsd026</t>
  </si>
  <si>
    <t>Slot1.Ch64</t>
  </si>
  <si>
    <t>Sh32_Hsd027</t>
  </si>
  <si>
    <t>Slot1.Ch65</t>
  </si>
  <si>
    <t>DIGITAL CHANNEL</t>
    <phoneticPr fontId="1" type="noConversion"/>
  </si>
  <si>
    <t>S0_HSD006-</t>
  </si>
  <si>
    <t>S1_HSD006-</t>
  </si>
  <si>
    <t>S2_HSD006-</t>
  </si>
  <si>
    <t>S3_HSD006-</t>
  </si>
  <si>
    <t>S0_HSD006+</t>
  </si>
  <si>
    <t>S1_HSD006+</t>
  </si>
  <si>
    <t>S2_HSD006+</t>
  </si>
  <si>
    <t>S3_HSD006+</t>
  </si>
  <si>
    <t>S0_HSD018-</t>
  </si>
  <si>
    <t>S1_HSD018-</t>
  </si>
  <si>
    <t>S2_HSD018-</t>
  </si>
  <si>
    <t>S3_HSD018-</t>
  </si>
  <si>
    <t>S0_HSD018+</t>
  </si>
  <si>
    <t>S1_HSD018+</t>
  </si>
  <si>
    <t>S2_HSD018+</t>
  </si>
  <si>
    <t>S3_HSD018+</t>
  </si>
  <si>
    <t>S0_HSD122-</t>
  </si>
  <si>
    <t>S1_HSD122-</t>
  </si>
  <si>
    <t>S2_HSD122-</t>
  </si>
  <si>
    <t>S3_HSD122-</t>
  </si>
  <si>
    <t>S0_HSD122+</t>
  </si>
  <si>
    <t>S1_HSD122+</t>
  </si>
  <si>
    <t>S2_HSD122+</t>
  </si>
  <si>
    <t>S3_HSD122+</t>
  </si>
  <si>
    <t>S0_HSD126-</t>
  </si>
  <si>
    <t>S1_HSD126-</t>
  </si>
  <si>
    <t>S2_HSD126-</t>
  </si>
  <si>
    <t>S3_HSD126-</t>
  </si>
  <si>
    <t>S0_HSD126+</t>
  </si>
  <si>
    <t>S1_HSD126+</t>
  </si>
  <si>
    <t>S2_HSD126+</t>
  </si>
  <si>
    <t>S3_HSD126+</t>
  </si>
  <si>
    <t>S0_HSD161-</t>
  </si>
  <si>
    <t>S1_HSD161-</t>
  </si>
  <si>
    <t>S2_HSD161-</t>
  </si>
  <si>
    <t>S3_HSD161-</t>
  </si>
  <si>
    <t>S0_HSD161+</t>
  </si>
  <si>
    <t>S1_HSD161+</t>
  </si>
  <si>
    <t>S2_HSD161+</t>
  </si>
  <si>
    <t>S3_HSD161+</t>
  </si>
  <si>
    <t>S0_HSD165-</t>
  </si>
  <si>
    <t>S1_HSD165-</t>
  </si>
  <si>
    <t>S2_HSD165-</t>
  </si>
  <si>
    <t>S3_HSD165-</t>
  </si>
  <si>
    <t>S0_HSD165+</t>
  </si>
  <si>
    <t>S1_HSD165+</t>
  </si>
  <si>
    <t>S2_HSD165+</t>
  </si>
  <si>
    <t>S3_HSD165+</t>
  </si>
  <si>
    <t>S0_HSD120</t>
  </si>
  <si>
    <t>S1_HSD120</t>
  </si>
  <si>
    <t>S2_HSD120</t>
  </si>
  <si>
    <t>S3_HSD120</t>
  </si>
  <si>
    <t>S0_HSD190</t>
  </si>
  <si>
    <t>S1_HSD190</t>
  </si>
  <si>
    <t>S2_HSD190</t>
  </si>
  <si>
    <t>S3_HSD190</t>
  </si>
  <si>
    <t>S0_HSD200</t>
  </si>
  <si>
    <t>S1_HSD200</t>
  </si>
  <si>
    <t>S2_HSD200</t>
  </si>
  <si>
    <t>S3_HSD200</t>
  </si>
  <si>
    <t>S0_HSD260</t>
  </si>
  <si>
    <t>S1_HSD260</t>
  </si>
  <si>
    <t>S2_HSD260</t>
  </si>
  <si>
    <t>S3_HSD260</t>
  </si>
  <si>
    <t>S0_HSD290</t>
  </si>
  <si>
    <t>S1_HSD290</t>
  </si>
  <si>
    <t>S2_HSD290</t>
  </si>
  <si>
    <t>S3_HSD290</t>
  </si>
  <si>
    <t>S0_HSD081</t>
  </si>
  <si>
    <t>S1_HSD081</t>
  </si>
  <si>
    <t>S2_HSD081</t>
  </si>
  <si>
    <t>S3_HSD081</t>
  </si>
  <si>
    <t>S0_HSD101</t>
  </si>
  <si>
    <t>S1_HSD101</t>
  </si>
  <si>
    <t>S2_HSD101</t>
  </si>
  <si>
    <t>S3_HSD101</t>
  </si>
  <si>
    <t>S0_HSD181</t>
  </si>
  <si>
    <t>S1_HSD181</t>
  </si>
  <si>
    <t>S2_HSD181</t>
  </si>
  <si>
    <t>S3_HSD181</t>
  </si>
  <si>
    <t>S0_HSD191</t>
  </si>
  <si>
    <t>S1_HSD191</t>
  </si>
  <si>
    <t>S2_HSD191</t>
  </si>
  <si>
    <t>S3_HSD191</t>
  </si>
  <si>
    <t>S0_HSD201</t>
  </si>
  <si>
    <t>S1_HSD201</t>
  </si>
  <si>
    <t>S2_HSD201</t>
  </si>
  <si>
    <t>S3_HSD201</t>
  </si>
  <si>
    <t>S0_HSD261</t>
  </si>
  <si>
    <t>S1_HSD261</t>
  </si>
  <si>
    <t>S2_HSD261</t>
  </si>
  <si>
    <t>S3_HSD261</t>
  </si>
  <si>
    <t>S0_HSD082</t>
  </si>
  <si>
    <t>S1_HSD082</t>
  </si>
  <si>
    <t>S2_HSD082</t>
  </si>
  <si>
    <t>S3_HSD082</t>
  </si>
  <si>
    <t>S0_HSD112</t>
  </si>
  <si>
    <t>S1_HSD112</t>
  </si>
  <si>
    <t>S2_HSD112</t>
  </si>
  <si>
    <t>S3_HSD112</t>
  </si>
  <si>
    <t>S0_HSD182</t>
  </si>
  <si>
    <t>S1_HSD182</t>
  </si>
  <si>
    <t>S2_HSD182</t>
  </si>
  <si>
    <t>S3_HSD182</t>
  </si>
  <si>
    <t>S0_HSD192</t>
  </si>
  <si>
    <t>S1_HSD192</t>
  </si>
  <si>
    <t>S2_HSD192</t>
  </si>
  <si>
    <t>S3_HSD192</t>
  </si>
  <si>
    <t>S0_HSD202</t>
  </si>
  <si>
    <t>S1_HSD202</t>
  </si>
  <si>
    <t>S2_HSD202</t>
  </si>
  <si>
    <t>S3_HSD202</t>
  </si>
  <si>
    <t>S0_HSD262</t>
  </si>
  <si>
    <t>S1_HSD262</t>
  </si>
  <si>
    <t>S2_HSD262</t>
  </si>
  <si>
    <t>S3_HSD262</t>
  </si>
  <si>
    <t>S0_HSD292</t>
  </si>
  <si>
    <t>S1_HSD292</t>
  </si>
  <si>
    <t>S2_HSD292</t>
  </si>
  <si>
    <t>S3_HSD292</t>
  </si>
  <si>
    <t>S0_HSD093</t>
  </si>
  <si>
    <t>S1_HSD093</t>
  </si>
  <si>
    <t>S2_HSD093</t>
  </si>
  <si>
    <t>S3_HSD093</t>
  </si>
  <si>
    <t>S0_HSD183</t>
  </si>
  <si>
    <t>S1_HSD183</t>
  </si>
  <si>
    <t>S2_HSD183</t>
  </si>
  <si>
    <t>S3_HSD183</t>
  </si>
  <si>
    <t>S0_HSD193</t>
  </si>
  <si>
    <t>S1_HSD193</t>
  </si>
  <si>
    <t>S2_HSD193</t>
  </si>
  <si>
    <t>S3_HSD193</t>
  </si>
  <si>
    <t>S0_HSD203</t>
  </si>
  <si>
    <t>S1_HSD203</t>
  </si>
  <si>
    <t>S2_HSD203</t>
  </si>
  <si>
    <t>S3_HSD203</t>
  </si>
  <si>
    <t>S0_HSD263</t>
  </si>
  <si>
    <t>S1_HSD263</t>
  </si>
  <si>
    <t>S2_HSD263</t>
  </si>
  <si>
    <t>S3_HSD263</t>
  </si>
  <si>
    <t>S0_HSD114</t>
  </si>
  <si>
    <t>S1_HSD114</t>
  </si>
  <si>
    <t>S2_HSD114</t>
  </si>
  <si>
    <t>S3_HSD114</t>
  </si>
  <si>
    <t>S0_HSD144</t>
  </si>
  <si>
    <t>S1_HSD144</t>
  </si>
  <si>
    <t>S2_HSD144</t>
  </si>
  <si>
    <t>S3_HSD144</t>
  </si>
  <si>
    <t>S0_HSD184</t>
  </si>
  <si>
    <t>S1_HSD184</t>
  </si>
  <si>
    <t>S2_HSD184</t>
  </si>
  <si>
    <t>S3_HSD184</t>
  </si>
  <si>
    <t>S0_HSD194</t>
  </si>
  <si>
    <t>S1_HSD194</t>
  </si>
  <si>
    <t>S2_HSD194</t>
  </si>
  <si>
    <t>S3_HSD194</t>
  </si>
  <si>
    <t>S0_HSD204</t>
  </si>
  <si>
    <t>S1_HSD204</t>
  </si>
  <si>
    <t>S2_HSD204</t>
  </si>
  <si>
    <t>S3_HSD204</t>
  </si>
  <si>
    <t>S0_HSD264</t>
  </si>
  <si>
    <t>S1_HSD264</t>
  </si>
  <si>
    <t>S2_HSD264</t>
  </si>
  <si>
    <t>S3_HSD264</t>
  </si>
  <si>
    <t>S0_HSD145</t>
  </si>
  <si>
    <t>S1_HSD145</t>
  </si>
  <si>
    <t>S2_HSD145</t>
  </si>
  <si>
    <t>S3_HSD145</t>
  </si>
  <si>
    <t>S0_HSD185</t>
  </si>
  <si>
    <t>S1_HSD185</t>
  </si>
  <si>
    <t>S2_HSD185</t>
  </si>
  <si>
    <t>S3_HSD185</t>
  </si>
  <si>
    <t>S0_HSD195</t>
  </si>
  <si>
    <t>S1_HSD195</t>
  </si>
  <si>
    <t>S2_HSD195</t>
  </si>
  <si>
    <t>S3_HSD195</t>
  </si>
  <si>
    <t>S0_HSD205</t>
  </si>
  <si>
    <t>S1_HSD205</t>
  </si>
  <si>
    <t>S2_HSD205</t>
  </si>
  <si>
    <t>S3_HSD205</t>
  </si>
  <si>
    <t>S0_HSD265</t>
  </si>
  <si>
    <t>S1_HSD265</t>
  </si>
  <si>
    <t>S2_HSD265</t>
  </si>
  <si>
    <t>S3_HSD265</t>
  </si>
  <si>
    <t>S0_HSD186</t>
  </si>
  <si>
    <t>S1_HSD186</t>
  </si>
  <si>
    <t>S2_HSD186</t>
  </si>
  <si>
    <t>S3_HSD186</t>
  </si>
  <si>
    <t>S0_HSD196</t>
  </si>
  <si>
    <t>S1_HSD196</t>
  </si>
  <si>
    <t>S2_HSD196</t>
  </si>
  <si>
    <t>S3_HSD196</t>
  </si>
  <si>
    <t>S0_HSD206</t>
  </si>
  <si>
    <t>S1_HSD206</t>
  </si>
  <si>
    <t>S2_HSD206</t>
  </si>
  <si>
    <t>S3_HSD206</t>
  </si>
  <si>
    <t>S0_HSD256</t>
  </si>
  <si>
    <t>S1_HSD256</t>
  </si>
  <si>
    <t>S2_HSD256</t>
  </si>
  <si>
    <t>S3_HSD256</t>
  </si>
  <si>
    <t>S0_HSD266</t>
  </si>
  <si>
    <t>S1_HSD266</t>
  </si>
  <si>
    <t>S2_HSD266</t>
  </si>
  <si>
    <t>S3_HSD266</t>
  </si>
  <si>
    <t>S0_HSD286</t>
  </si>
  <si>
    <t>S1_HSD286</t>
  </si>
  <si>
    <t>S2_HSD286</t>
  </si>
  <si>
    <t>S3_HSD286</t>
  </si>
  <si>
    <t>S0_HSD097</t>
  </si>
  <si>
    <t>S1_HSD097</t>
  </si>
  <si>
    <t>S2_HSD097</t>
  </si>
  <si>
    <t>S3_HSD097</t>
  </si>
  <si>
    <t>S0_HSD177</t>
  </si>
  <si>
    <t>S1_HSD177</t>
  </si>
  <si>
    <t>S2_HSD177</t>
  </si>
  <si>
    <t>S3_HSD177</t>
  </si>
  <si>
    <t>S0_HSD187</t>
  </si>
  <si>
    <t>S1_HSD187</t>
  </si>
  <si>
    <t>S2_HSD187</t>
  </si>
  <si>
    <t>S3_HSD187</t>
  </si>
  <si>
    <t>S0_HSD197</t>
  </si>
  <si>
    <t>S1_HSD197</t>
  </si>
  <si>
    <t>S2_HSD197</t>
  </si>
  <si>
    <t>S3_HSD197</t>
  </si>
  <si>
    <t>S0_HSD257</t>
  </si>
  <si>
    <t>S1_HSD257</t>
  </si>
  <si>
    <t>S2_HSD257</t>
  </si>
  <si>
    <t>S3_HSD257</t>
  </si>
  <si>
    <t>S0_HSD267</t>
  </si>
  <si>
    <t>S1_HSD267</t>
  </si>
  <si>
    <t>S2_HSD267</t>
  </si>
  <si>
    <t>S3_HSD267</t>
  </si>
  <si>
    <t>S0_HSD287</t>
  </si>
  <si>
    <t>S1_HSD287</t>
  </si>
  <si>
    <t>S2_HSD287</t>
  </si>
  <si>
    <t>S3_HSD287</t>
  </si>
  <si>
    <t>S0_HSD178</t>
  </si>
  <si>
    <t>S1_HSD178</t>
  </si>
  <si>
    <t>S2_HSD178</t>
  </si>
  <si>
    <t>S3_HSD178</t>
  </si>
  <si>
    <t>S0_HSD188</t>
  </si>
  <si>
    <t>S1_HSD188</t>
  </si>
  <si>
    <t>S2_HSD188</t>
  </si>
  <si>
    <t>S3_HSD188</t>
  </si>
  <si>
    <t>S0_HSD198</t>
  </si>
  <si>
    <t>S1_HSD198</t>
  </si>
  <si>
    <t>S2_HSD198</t>
  </si>
  <si>
    <t>S3_HSD198</t>
  </si>
  <si>
    <t>S0_HSD258</t>
  </si>
  <si>
    <t>S1_HSD258</t>
  </si>
  <si>
    <t>S2_HSD258</t>
  </si>
  <si>
    <t>S3_HSD258</t>
  </si>
  <si>
    <t>S0_HSD268</t>
  </si>
  <si>
    <t>S1_HSD268</t>
  </si>
  <si>
    <t>S2_HSD268</t>
  </si>
  <si>
    <t>S3_HSD268</t>
  </si>
  <si>
    <t>S0_HSD288</t>
  </si>
  <si>
    <t>S1_HSD288</t>
  </si>
  <si>
    <t>S2_HSD288</t>
  </si>
  <si>
    <t>S3_HSD288</t>
  </si>
  <si>
    <t>S0_HSD099</t>
  </si>
  <si>
    <t>S1_HSD099</t>
  </si>
  <si>
    <t>S2_HSD099</t>
  </si>
  <si>
    <t>S3_HSD099</t>
  </si>
  <si>
    <t>S0_HSD179</t>
  </si>
  <si>
    <t>S1_HSD179</t>
  </si>
  <si>
    <t>S2_HSD179</t>
  </si>
  <si>
    <t>S3_HSD179</t>
  </si>
  <si>
    <t>S0_HSD189</t>
  </si>
  <si>
    <t>S1_HSD189</t>
  </si>
  <si>
    <t>S2_HSD189</t>
  </si>
  <si>
    <t>S3_HSD189</t>
  </si>
  <si>
    <t>S0_HSD199</t>
  </si>
  <si>
    <t>S1_HSD199</t>
  </si>
  <si>
    <t>S2_HSD199</t>
  </si>
  <si>
    <t>S3_HSD199</t>
  </si>
  <si>
    <t>S0_HSD259</t>
  </si>
  <si>
    <t>S1_HSD259</t>
  </si>
  <si>
    <t>S2_HSD259</t>
  </si>
  <si>
    <t>S3_HSD259</t>
  </si>
  <si>
    <t>S0_HSD269</t>
  </si>
  <si>
    <t>S1_HSD269</t>
  </si>
  <si>
    <t>S2_HSD269</t>
  </si>
  <si>
    <t>S3_HSD269</t>
  </si>
  <si>
    <t>S0_HSD999</t>
  </si>
  <si>
    <t>S1_HSD999</t>
  </si>
  <si>
    <t>S2_HSD999</t>
  </si>
  <si>
    <t>S3_HSD999</t>
  </si>
  <si>
    <t>SH01_HSD026</t>
  </si>
  <si>
    <t>SH11_HSD026</t>
  </si>
  <si>
    <t>SH21_HSD026</t>
  </si>
  <si>
    <t>SH31_HSD026</t>
  </si>
  <si>
    <t>SH02_HSD026</t>
  </si>
  <si>
    <t>SH12_HSD026</t>
  </si>
  <si>
    <t>SH22_HSD026</t>
  </si>
  <si>
    <t>SH32_HSD026</t>
  </si>
  <si>
    <t>SH01_HSD027</t>
  </si>
  <si>
    <t>SH11_HSD027</t>
  </si>
  <si>
    <t>SH21_HSD027</t>
  </si>
  <si>
    <t>SH31_HSD027</t>
  </si>
  <si>
    <t>SH02_HSD027</t>
  </si>
  <si>
    <t>SH12_HSD027</t>
  </si>
  <si>
    <t>SH22_HSD027</t>
  </si>
  <si>
    <t>SH32_HSD027</t>
  </si>
  <si>
    <t>DIFFERENTIAL EVEN EVEN+1 OTHERS ARE FREE ASSIGN</t>
    <phoneticPr fontId="1" type="noConversion"/>
  </si>
  <si>
    <t>SC_A0_HSD295</t>
  </si>
  <si>
    <t>SC_A1_HSD296</t>
  </si>
  <si>
    <t>SC_HSD220-</t>
  </si>
  <si>
    <t>SC_HSD220+</t>
  </si>
  <si>
    <t>SC_HSD222-</t>
  </si>
  <si>
    <t>SC_HSD222+</t>
  </si>
  <si>
    <t>SC_HSD224-</t>
  </si>
  <si>
    <t>SC_HSD224+</t>
  </si>
  <si>
    <t>SC_HSD226-</t>
  </si>
  <si>
    <t>SC_HSD226+</t>
  </si>
  <si>
    <t>SC_HSD236-</t>
  </si>
  <si>
    <t>SC_HSD236+</t>
  </si>
  <si>
    <t>SC_HSD238-</t>
  </si>
  <si>
    <t>SC_HSD238+</t>
  </si>
  <si>
    <t>SC_HSD240-</t>
  </si>
  <si>
    <t>SC_HSD240+</t>
  </si>
  <si>
    <t>SC_HSD245-</t>
  </si>
  <si>
    <t>SC_HSD245+</t>
  </si>
  <si>
    <t>SC_HSD247-</t>
  </si>
  <si>
    <t>SC_HSD247+</t>
  </si>
  <si>
    <t>SC_HSD249-</t>
  </si>
  <si>
    <t>SC_HSD249+</t>
  </si>
  <si>
    <t>SC_HSD282-</t>
  </si>
  <si>
    <t>SC_HSD282+</t>
  </si>
  <si>
    <t>SC_HSD070</t>
  </si>
  <si>
    <t>SC_HSD251</t>
  </si>
  <si>
    <t>SC_HSD291</t>
  </si>
  <si>
    <t>SC_HSD242</t>
  </si>
  <si>
    <t>SC_HSD252</t>
  </si>
  <si>
    <t>SC_HSD243</t>
  </si>
  <si>
    <t>SC_HSD253</t>
  </si>
  <si>
    <t>SC_HSD293</t>
  </si>
  <si>
    <t>SC_HSD244</t>
  </si>
  <si>
    <t>SC_HSD254</t>
  </si>
  <si>
    <t>SC_PWCT_HSD995</t>
  </si>
  <si>
    <t>FREE ASSGN</t>
    <phoneticPr fontId="1" type="noConversion"/>
  </si>
  <si>
    <t>DSIO DUT</t>
    <phoneticPr fontId="1" type="noConversion"/>
  </si>
  <si>
    <t>DSIO GOLDEN</t>
    <phoneticPr fontId="1" type="noConversion"/>
  </si>
  <si>
    <t>SCAN PIN</t>
    <phoneticPr fontId="1" type="noConversion"/>
  </si>
  <si>
    <t>S0_SCANA_HSD207</t>
  </si>
  <si>
    <t>S0_SCANA_HSD208</t>
  </si>
  <si>
    <t>S0_SCANA_HSD210</t>
  </si>
  <si>
    <t>S0_SCANA_HSD211</t>
  </si>
  <si>
    <t>S0_SCANA_HSD212</t>
  </si>
  <si>
    <t>S0_SCANA_HSD213</t>
  </si>
  <si>
    <t>S0_SCANA_HSD214</t>
  </si>
  <si>
    <t>S0_SCANA_HSD215</t>
  </si>
  <si>
    <t>S0_SCANA_HSD216</t>
  </si>
  <si>
    <t>S0_SCANA_HSD217</t>
  </si>
  <si>
    <t>S0_SCANA_HSD218</t>
  </si>
  <si>
    <t>S0_SCANA_HSD289</t>
  </si>
  <si>
    <t>S0_SCANB_HSD064</t>
  </si>
  <si>
    <t>S0_SCANB_HSD066</t>
  </si>
  <si>
    <t>S0_SCANB_HSD072</t>
  </si>
  <si>
    <t>S0_SCANB_HSD073</t>
  </si>
  <si>
    <t>S0_SCANB_HSD079</t>
  </si>
  <si>
    <t>S0_SCANB_HSD085</t>
  </si>
  <si>
    <t>S0_SCANB_HSD089</t>
  </si>
  <si>
    <t>S0_SCANB_HSD109</t>
  </si>
  <si>
    <t>S0_SCANB_HSD133</t>
  </si>
  <si>
    <t>S0_SCANB_HSD134</t>
  </si>
  <si>
    <t>S0_SCANB_HSD136</t>
  </si>
  <si>
    <t>S0_SCANB_HSD255</t>
  </si>
  <si>
    <t>S0_SCANB_HSD284</t>
  </si>
  <si>
    <t>S0_SCANB_HSD285</t>
  </si>
  <si>
    <t>S0_SCANC_HSD271</t>
  </si>
  <si>
    <t>S0_SCANC_HSD280</t>
  </si>
  <si>
    <t>S0_SCANC_HSD281</t>
  </si>
  <si>
    <t>S0_SCAND_HSD035</t>
  </si>
  <si>
    <t>S0_SCAND_HSD042</t>
  </si>
  <si>
    <t>S0_SCAND_HSD209</t>
  </si>
  <si>
    <t>S0_SCAND_HSD219</t>
  </si>
  <si>
    <t>S0_SCAND_HSD270</t>
  </si>
  <si>
    <t>S0_SCAND_HSD272</t>
  </si>
  <si>
    <t>S0_SCAND_HSD273</t>
  </si>
  <si>
    <t>S0_SCAND_HSD275</t>
  </si>
  <si>
    <t>S0_SCAND_HSD276</t>
  </si>
  <si>
    <t>S0_SCAND_HSD292</t>
  </si>
  <si>
    <t>S1_SCANA_HSD207</t>
  </si>
  <si>
    <t>S1_SCANA_HSD208</t>
  </si>
  <si>
    <t>S1_SCANA_HSD210</t>
  </si>
  <si>
    <t>S1_SCANA_HSD211</t>
  </si>
  <si>
    <t>S1_SCANA_HSD212</t>
  </si>
  <si>
    <t>S1_SCANA_HSD213</t>
  </si>
  <si>
    <t>S1_SCANA_HSD214</t>
  </si>
  <si>
    <t>S1_SCANA_HSD215</t>
  </si>
  <si>
    <t>S1_SCANA_HSD216</t>
  </si>
  <si>
    <t>S1_SCANA_HSD217</t>
  </si>
  <si>
    <t>S1_SCANA_HSD218</t>
  </si>
  <si>
    <t>S1_SCANA_HSD289</t>
  </si>
  <si>
    <t>S1_SCANB_HSD064</t>
  </si>
  <si>
    <t>S1_SCANB_HSD066</t>
  </si>
  <si>
    <t>S1_SCANB_HSD072</t>
  </si>
  <si>
    <t>S1_SCANB_HSD073</t>
  </si>
  <si>
    <t>S1_SCANB_HSD079</t>
  </si>
  <si>
    <t>S1_SCANB_HSD085</t>
  </si>
  <si>
    <t>S1_SCANB_HSD089</t>
  </si>
  <si>
    <t>S1_SCANB_HSD109</t>
  </si>
  <si>
    <t>S1_SCANB_HSD133</t>
  </si>
  <si>
    <t>S1_SCANB_HSD134</t>
  </si>
  <si>
    <t>S1_SCANB_HSD136</t>
  </si>
  <si>
    <t>S1_SCANB_HSD255</t>
  </si>
  <si>
    <t>S1_SCANB_HSD284</t>
  </si>
  <si>
    <t>S1_SCANB_HSD285</t>
  </si>
  <si>
    <t>S1_SCANC_HSD271</t>
  </si>
  <si>
    <t>S1_SCANC_HSD280</t>
  </si>
  <si>
    <t>S1_SCANC_HSD281</t>
  </si>
  <si>
    <t>S1_SCAND_HSD035</t>
  </si>
  <si>
    <t>S1_SCAND_HSD042</t>
  </si>
  <si>
    <t>S1_SCAND_HSD209</t>
  </si>
  <si>
    <t>S1_SCAND_HSD219</t>
  </si>
  <si>
    <t>S1_SCAND_HSD270</t>
  </si>
  <si>
    <t>S1_SCAND_HSD272</t>
  </si>
  <si>
    <t>S1_SCAND_HSD273</t>
  </si>
  <si>
    <t>S1_SCAND_HSD275</t>
  </si>
  <si>
    <t>S1_SCAND_HSD276</t>
  </si>
  <si>
    <t>S1_SCAND_HSD292</t>
  </si>
  <si>
    <t>S2_SCANA_HSD207</t>
  </si>
  <si>
    <t>S2_SCANA_HSD208</t>
  </si>
  <si>
    <t>S2_SCANA_HSD210</t>
  </si>
  <si>
    <t>S2_SCANA_HSD211</t>
  </si>
  <si>
    <t>S2_SCANA_HSD212</t>
  </si>
  <si>
    <t>S2_SCANA_HSD213</t>
  </si>
  <si>
    <t>S2_SCANA_HSD214</t>
  </si>
  <si>
    <t>S2_SCANA_HSD215</t>
  </si>
  <si>
    <t>S2_SCANA_HSD216</t>
  </si>
  <si>
    <t>S2_SCANA_HSD217</t>
  </si>
  <si>
    <t>S2_SCANA_HSD218</t>
  </si>
  <si>
    <t>S2_SCANA_HSD289</t>
  </si>
  <si>
    <t>S2_SCANB_HSD064</t>
  </si>
  <si>
    <t>S2_SCANB_HSD066</t>
  </si>
  <si>
    <t>S2_SCANB_HSD072</t>
  </si>
  <si>
    <t>S2_SCANB_HSD073</t>
  </si>
  <si>
    <t>S2_SCANB_HSD079</t>
  </si>
  <si>
    <t>S2_SCANB_HSD085</t>
  </si>
  <si>
    <t>S2_SCANB_HSD089</t>
  </si>
  <si>
    <t>S2_SCANB_HSD109</t>
  </si>
  <si>
    <t>S2_SCANB_HSD133</t>
  </si>
  <si>
    <t>S2_SCANB_HSD134</t>
  </si>
  <si>
    <t>S2_SCANB_HSD136</t>
  </si>
  <si>
    <t>S2_SCANB_HSD255</t>
  </si>
  <si>
    <t>S2_SCANB_HSD284</t>
  </si>
  <si>
    <t>S2_SCANB_HSD285</t>
  </si>
  <si>
    <t>S2_SCANC_HSD271</t>
  </si>
  <si>
    <t>S2_SCANC_HSD280</t>
  </si>
  <si>
    <t>S2_SCANC_HSD281</t>
  </si>
  <si>
    <t>S2_SCAND_HSD035</t>
  </si>
  <si>
    <t>S2_SCAND_HSD042</t>
  </si>
  <si>
    <t>S2_SCAND_HSD209</t>
  </si>
  <si>
    <t>S2_SCAND_HSD219</t>
  </si>
  <si>
    <t>S2_SCAND_HSD270</t>
  </si>
  <si>
    <t>S2_SCAND_HSD272</t>
  </si>
  <si>
    <t>Slot0.Ch69</t>
  </si>
  <si>
    <t>S2_SCAND_HSD273</t>
  </si>
  <si>
    <t>S2_SCAND_HSD275</t>
  </si>
  <si>
    <t>S2_SCAND_HSD276</t>
  </si>
  <si>
    <t>S2_SCAND_HSD292</t>
  </si>
  <si>
    <t>S3_SCANA_HSD207</t>
  </si>
  <si>
    <t>S3_SCANA_HSD208</t>
  </si>
  <si>
    <t>S3_SCANA_HSD210</t>
  </si>
  <si>
    <t>S3_SCANA_HSD211</t>
  </si>
  <si>
    <t>S3_SCANA_HSD212</t>
  </si>
  <si>
    <t>S3_SCANA_HSD213</t>
  </si>
  <si>
    <t>S3_SCANA_HSD214</t>
  </si>
  <si>
    <t>S3_SCANA_HSD215</t>
  </si>
  <si>
    <t>S3_SCANA_HSD216</t>
  </si>
  <si>
    <t>S3_SCANA_HSD217</t>
  </si>
  <si>
    <t>S3_SCANA_HSD218</t>
  </si>
  <si>
    <t>S3_SCANA_HSD289</t>
  </si>
  <si>
    <t>S3_SCANB_HSD064</t>
  </si>
  <si>
    <t>S3_SCANB_HSD066</t>
  </si>
  <si>
    <t>S3_SCANB_HSD072</t>
  </si>
  <si>
    <t>S3_SCANB_HSD073</t>
  </si>
  <si>
    <t>S3_SCANB_HSD079</t>
  </si>
  <si>
    <t>S3_SCANB_HSD085</t>
  </si>
  <si>
    <t>S3_SCANB_HSD089</t>
  </si>
  <si>
    <t>S3_SCANB_HSD109</t>
  </si>
  <si>
    <t>S3_SCANB_HSD133</t>
  </si>
  <si>
    <t>S3_SCANB_HSD134</t>
  </si>
  <si>
    <t>S3_SCANB_HSD136</t>
  </si>
  <si>
    <t>S3_SCANB_HSD255</t>
  </si>
  <si>
    <t>S3_SCANB_HSD284</t>
  </si>
  <si>
    <t>S3_SCANB_HSD285</t>
  </si>
  <si>
    <t>S3_SCANC_HSD271</t>
  </si>
  <si>
    <t>S3_SCANC_HSD280</t>
  </si>
  <si>
    <t>S3_SCANC_HSD281</t>
  </si>
  <si>
    <t>S3_SCAND_HSD035</t>
  </si>
  <si>
    <t>S3_SCAND_HSD042</t>
  </si>
  <si>
    <t>S3_SCAND_HSD209</t>
  </si>
  <si>
    <t>S3_SCAND_HSD219</t>
  </si>
  <si>
    <t>S3_SCAND_HSD270</t>
  </si>
  <si>
    <t>S3_SCAND_HSD272</t>
  </si>
  <si>
    <t>S3_SCAND_HSD273</t>
  </si>
  <si>
    <t>S3_SCAND_HSD275</t>
  </si>
  <si>
    <t>S3_SCAND_HSD276</t>
  </si>
  <si>
    <t>S3_SCAND_HSD292</t>
  </si>
  <si>
    <t>S0_BPMUVBAT_HSD142</t>
  </si>
  <si>
    <t>S1_BPMUVBAT_HSD142</t>
  </si>
  <si>
    <t>S2_BPMUINH_HSD141</t>
  </si>
  <si>
    <t>S3_BPMUINH_HSD141</t>
  </si>
  <si>
    <t>S0_BPMUINH_HSD141</t>
  </si>
  <si>
    <t>S1_BPMUINH_HSD141</t>
  </si>
  <si>
    <t>S2_BPMUVBAT_HSD142</t>
  </si>
  <si>
    <t>S3_BPMUVBAT_HSD142</t>
  </si>
  <si>
    <t>BPMU PIN</t>
    <phoneticPr fontId="1" type="noConversion"/>
  </si>
  <si>
    <t>DSIO RULE</t>
    <phoneticPr fontId="1" type="noConversion"/>
  </si>
  <si>
    <t>SLOT0</t>
    <phoneticPr fontId="1" type="noConversion"/>
  </si>
  <si>
    <t>SLOT1</t>
    <phoneticPr fontId="1" type="noConversion"/>
  </si>
  <si>
    <t>Can swap with the channels in this color</t>
    <phoneticPr fontId="1" type="noConversion"/>
  </si>
  <si>
    <t>Need to adjust according to DSIO RULE</t>
    <phoneticPr fontId="1" type="noConversion"/>
  </si>
  <si>
    <t>Don't change</t>
    <phoneticPr fontId="1" type="noConversion"/>
  </si>
  <si>
    <t>SLOT0.CH77</t>
    <phoneticPr fontId="1" type="noConversion"/>
  </si>
  <si>
    <t>S0_SCANB_DS_HSD063</t>
  </si>
  <si>
    <t>S1_SCANB_DS_HSD063</t>
  </si>
  <si>
    <t>S2_SCANB_DS_HSD063</t>
  </si>
  <si>
    <t>S3_SCANB_DS_HSD063</t>
  </si>
  <si>
    <t>S0_DS_HSD998</t>
  </si>
  <si>
    <t>S1_DS_HSD998</t>
  </si>
  <si>
    <t>S2_DS_HSD998</t>
  </si>
  <si>
    <t>S3_DS_HSD998</t>
  </si>
  <si>
    <t>S1_Hsd999</t>
    <phoneticPr fontId="1" type="noConversion"/>
  </si>
  <si>
    <t>S2_Hsd999</t>
    <phoneticPr fontId="1" type="noConversion"/>
  </si>
  <si>
    <t>S3_Hsd999</t>
    <phoneticPr fontId="1" type="noConversion"/>
  </si>
  <si>
    <t>SITE0</t>
    <phoneticPr fontId="1" type="noConversion"/>
  </si>
  <si>
    <t>DUT DSIO CHECK</t>
    <phoneticPr fontId="1" type="noConversion"/>
  </si>
  <si>
    <t>CHECK SLOT</t>
    <phoneticPr fontId="1" type="noConversion"/>
  </si>
  <si>
    <t>CHECK CHANNEL</t>
    <phoneticPr fontId="1" type="noConversion"/>
  </si>
  <si>
    <t>SN</t>
    <phoneticPr fontId="1" type="noConversion"/>
  </si>
  <si>
    <t>SITE2 SN</t>
    <phoneticPr fontId="1" type="noConversion"/>
  </si>
  <si>
    <t>SITE 3 SN</t>
    <phoneticPr fontId="1" type="noConversion"/>
  </si>
  <si>
    <t>SITE3 CH</t>
    <phoneticPr fontId="1" type="noConversion"/>
  </si>
  <si>
    <t>SITE2 CH</t>
    <phoneticPr fontId="1" type="noConversion"/>
  </si>
  <si>
    <t>SITE 1 SN</t>
    <phoneticPr fontId="1" type="noConversion"/>
  </si>
  <si>
    <t>SITE1 CH</t>
    <phoneticPr fontId="1" type="noConversion"/>
  </si>
  <si>
    <t>Serial Number</t>
    <phoneticPr fontId="1" type="noConversion"/>
  </si>
  <si>
    <t>Assigned Channel</t>
    <phoneticPr fontId="1" type="noConversion"/>
  </si>
  <si>
    <t>FINAL STATUS CHECK PASS OR FAIL</t>
    <phoneticPr fontId="1" type="noConversion"/>
  </si>
  <si>
    <t>EVERY COMPARISON</t>
    <phoneticPr fontId="1" type="noConversion"/>
  </si>
  <si>
    <t>IF ALL TRUE</t>
    <phoneticPr fontId="1" type="noConversion"/>
  </si>
  <si>
    <t>GOLDEN SITE2 ASSIGN TO SLOT1 CH64~CH127</t>
    <phoneticPr fontId="1" type="noConversion"/>
  </si>
  <si>
    <t>GOLDEN SITE3 ASSIGN TO SLOT1 CH0~CH163</t>
    <phoneticPr fontId="1" type="noConversion"/>
  </si>
  <si>
    <t>SLOT1.CH64</t>
  </si>
  <si>
    <t>GOLDEN SITE3 ASSIGN TO SLOT1 CH0~CH63</t>
  </si>
  <si>
    <t>SLOT1.CH0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</si>
</sst>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sz val="48"/>
      <color theme="1"/>
      <name val="Times New Roman"/>
      <family val="1"/>
    </font>
    <font>
      <sz val="14"/>
      <color theme="1"/>
      <name val="Times New Roman"/>
      <family val="1"/>
    </font>
    <font>
      <sz val="10"/>
      <color theme="1"/>
      <name val="Arial Unicode MS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0" tint="-0.14999847407452621"/>
      </bottom>
      <diagonal/>
    </border>
    <border>
      <left style="medium">
        <color theme="1"/>
      </left>
      <right style="medium">
        <color theme="1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theme="1"/>
      </left>
      <right style="medium">
        <color theme="1"/>
      </right>
      <top style="thin">
        <color theme="0" tint="-0.1499984740745262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medium">
        <color theme="1"/>
      </left>
      <right style="medium">
        <color theme="1"/>
      </right>
      <top style="thin">
        <color theme="0" tint="-0.14999847407452621"/>
      </top>
      <bottom/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medium">
        <color theme="1"/>
      </left>
      <right style="thin">
        <color theme="0" tint="-0.14999847407452621"/>
      </right>
      <top style="medium">
        <color theme="1"/>
      </top>
      <bottom style="medium">
        <color theme="1"/>
      </bottom>
      <diagonal/>
    </border>
    <border>
      <left style="thin">
        <color theme="0" tint="-0.1499984740745262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thin">
        <color theme="0" tint="-0.14999847407452621"/>
      </right>
      <top style="medium">
        <color theme="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theme="1"/>
      </top>
      <bottom style="thin">
        <color theme="0" tint="-0.14999847407452621"/>
      </bottom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theme="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theme="0" tint="-0.14999847407452621"/>
      </left>
      <right/>
      <top/>
      <bottom/>
      <diagonal/>
    </border>
    <border>
      <left style="medium">
        <color indexed="64"/>
      </left>
      <right style="thin">
        <color theme="0" tint="-0.14999847407452621"/>
      </right>
      <top style="medium">
        <color indexed="64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indexed="64"/>
      </top>
      <bottom style="thin">
        <color theme="0" tint="-0.14999847407452621"/>
      </bottom>
      <diagonal/>
    </border>
    <border>
      <left/>
      <right/>
      <top style="medium">
        <color indexed="64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6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3" borderId="1" xfId="0" applyFill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5" xfId="0" applyBorder="1">
      <alignment vertical="center"/>
    </xf>
    <xf numFmtId="0" fontId="0" fillId="4" borderId="6" xfId="0" applyFill="1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2" borderId="8" xfId="0" applyFill="1" applyBorder="1">
      <alignment vertical="center"/>
    </xf>
    <xf numFmtId="0" fontId="0" fillId="0" borderId="9" xfId="0" applyBorder="1">
      <alignment vertical="center"/>
    </xf>
    <xf numFmtId="0" fontId="0" fillId="3" borderId="10" xfId="0" applyFill="1" applyBorder="1">
      <alignment vertical="center"/>
    </xf>
    <xf numFmtId="0" fontId="0" fillId="0" borderId="6" xfId="0" applyBorder="1">
      <alignment vertical="center"/>
    </xf>
    <xf numFmtId="0" fontId="0" fillId="0" borderId="10" xfId="0" applyBorder="1">
      <alignment vertical="center"/>
    </xf>
    <xf numFmtId="0" fontId="0" fillId="5" borderId="11" xfId="0" applyFill="1" applyBorder="1">
      <alignment vertical="center"/>
    </xf>
    <xf numFmtId="0" fontId="0" fillId="2" borderId="11" xfId="0" applyFill="1" applyBorder="1">
      <alignment vertical="center"/>
    </xf>
    <xf numFmtId="0" fontId="0" fillId="0" borderId="11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5" borderId="13" xfId="0" applyFill="1" applyBorder="1">
      <alignment vertical="center"/>
    </xf>
    <xf numFmtId="0" fontId="0" fillId="5" borderId="15" xfId="0" applyFill="1" applyBorder="1">
      <alignment vertical="center"/>
    </xf>
    <xf numFmtId="0" fontId="0" fillId="5" borderId="16" xfId="0" applyFill="1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5" borderId="18" xfId="0" applyFill="1" applyBorder="1">
      <alignment vertical="center"/>
    </xf>
    <xf numFmtId="0" fontId="0" fillId="5" borderId="19" xfId="0" applyFill="1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15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18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5" borderId="25" xfId="0" applyFill="1" applyBorder="1">
      <alignment vertical="center"/>
    </xf>
    <xf numFmtId="0" fontId="0" fillId="5" borderId="12" xfId="0" applyFill="1" applyBorder="1">
      <alignment vertical="center"/>
    </xf>
    <xf numFmtId="0" fontId="0" fillId="5" borderId="26" xfId="0" applyFill="1" applyBorder="1">
      <alignment vertical="center"/>
    </xf>
    <xf numFmtId="0" fontId="0" fillId="5" borderId="27" xfId="0" applyFill="1" applyBorder="1">
      <alignment vertical="center"/>
    </xf>
    <xf numFmtId="0" fontId="3" fillId="0" borderId="0" xfId="0" applyFont="1" applyAlignment="1"/>
    <xf numFmtId="0" fontId="3" fillId="0" borderId="0" xfId="0" applyFont="1">
      <alignment vertical="center"/>
    </xf>
    <xf numFmtId="0" fontId="0" fillId="0" borderId="16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0" xfId="0" applyBorder="1">
      <alignment vertical="center"/>
    </xf>
    <xf numFmtId="0" fontId="0" fillId="0" borderId="31" xfId="0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0" fillId="5" borderId="11" xfId="0" applyFill="1" applyBorder="1" applyAlignment="1">
      <alignment horizontal="center" vertical="center"/>
    </xf>
    <xf numFmtId="0" fontId="0" fillId="0" borderId="37" xfId="0" applyBorder="1">
      <alignment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0" fillId="6" borderId="3" xfId="0" applyFill="1" applyBorder="1">
      <alignment vertical="center"/>
    </xf>
    <xf numFmtId="0" fontId="0" fillId="6" borderId="4" xfId="0" applyFill="1" applyBorder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4" xfId="0" applyFont="1" applyBorder="1" applyAlignment="1">
      <alignment horizontal="center" vertical="center"/>
    </xf>
  </cellXfs>
  <cellStyles count="1">
    <cellStyle name="Normal" xfId="0" builtinId="0"/>
  </cellStyles>
  <dxfs count="4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5"/>
  <sheetViews>
    <sheetView zoomScaleNormal="100" workbookViewId="0">
      <selection activeCell="A2" sqref="A2:A10"/>
    </sheetView>
  </sheetViews>
  <sheetFormatPr defaultRowHeight="15.75"/>
  <cols>
    <col min="1" max="1" width="75.125" customWidth="1"/>
    <col min="4" max="4" width="11.375" bestFit="1" customWidth="1"/>
    <col min="5" max="5" width="12.5" bestFit="1" customWidth="1"/>
    <col min="6" max="6" width="12.5" customWidth="1"/>
    <col min="7" max="7" width="11.375" bestFit="1" customWidth="1"/>
    <col min="8" max="8" width="12.5" bestFit="1" customWidth="1"/>
    <col min="9" max="9" width="12.5" customWidth="1"/>
    <col min="10" max="10" width="12.5" bestFit="1" customWidth="1"/>
    <col min="11" max="11" width="13.625" bestFit="1" customWidth="1"/>
    <col min="12" max="12" width="13.625" customWidth="1"/>
    <col min="13" max="14" width="12.5" bestFit="1" customWidth="1"/>
  </cols>
  <sheetData>
    <row r="1" spans="1:8" ht="16.5" thickBot="1">
      <c r="A1" t="s">
        <v>1809</v>
      </c>
      <c r="D1" s="60" t="s">
        <v>1810</v>
      </c>
      <c r="E1" s="60"/>
      <c r="G1" s="60" t="s">
        <v>1811</v>
      </c>
      <c r="H1" s="60"/>
    </row>
    <row r="2" spans="1:8">
      <c r="A2" s="5" t="s">
        <v>0</v>
      </c>
      <c r="D2" s="7" t="s">
        <v>6</v>
      </c>
      <c r="E2" s="14" t="s">
        <v>7</v>
      </c>
      <c r="G2" s="7" t="s">
        <v>8</v>
      </c>
      <c r="H2" s="14" t="s">
        <v>9</v>
      </c>
    </row>
    <row r="3" spans="1:8">
      <c r="A3" s="6" t="s">
        <v>1</v>
      </c>
      <c r="D3" s="9" t="s">
        <v>10</v>
      </c>
      <c r="E3" s="10" t="s">
        <v>73</v>
      </c>
      <c r="G3" s="9" t="s">
        <v>136</v>
      </c>
      <c r="H3" s="10" t="s">
        <v>199</v>
      </c>
    </row>
    <row r="4" spans="1:8">
      <c r="A4" s="6" t="s">
        <v>2</v>
      </c>
      <c r="D4" s="9" t="s">
        <v>11</v>
      </c>
      <c r="E4" s="10" t="s">
        <v>74</v>
      </c>
      <c r="G4" s="9" t="s">
        <v>137</v>
      </c>
      <c r="H4" s="10" t="s">
        <v>200</v>
      </c>
    </row>
    <row r="5" spans="1:8">
      <c r="A5" s="6" t="s">
        <v>3</v>
      </c>
      <c r="D5" s="9" t="s">
        <v>12</v>
      </c>
      <c r="E5" s="10" t="s">
        <v>75</v>
      </c>
      <c r="G5" s="9" t="s">
        <v>138</v>
      </c>
      <c r="H5" s="10" t="s">
        <v>201</v>
      </c>
    </row>
    <row r="6" spans="1:8">
      <c r="A6" s="6"/>
      <c r="D6" s="9" t="s">
        <v>13</v>
      </c>
      <c r="E6" s="10" t="s">
        <v>76</v>
      </c>
      <c r="G6" s="9" t="s">
        <v>139</v>
      </c>
      <c r="H6" s="10" t="s">
        <v>202</v>
      </c>
    </row>
    <row r="7" spans="1:8">
      <c r="A7" s="6" t="s">
        <v>4</v>
      </c>
      <c r="D7" s="9" t="s">
        <v>14</v>
      </c>
      <c r="E7" s="10" t="s">
        <v>77</v>
      </c>
      <c r="G7" s="9" t="s">
        <v>140</v>
      </c>
      <c r="H7" s="10" t="s">
        <v>203</v>
      </c>
    </row>
    <row r="8" spans="1:8">
      <c r="A8" s="6" t="s">
        <v>5</v>
      </c>
      <c r="D8" s="9" t="s">
        <v>15</v>
      </c>
      <c r="E8" s="10" t="s">
        <v>78</v>
      </c>
      <c r="G8" s="9" t="s">
        <v>141</v>
      </c>
      <c r="H8" s="10" t="s">
        <v>204</v>
      </c>
    </row>
    <row r="9" spans="1:8">
      <c r="A9" s="57" t="s">
        <v>1843</v>
      </c>
      <c r="D9" s="9" t="s">
        <v>16</v>
      </c>
      <c r="E9" s="10" t="s">
        <v>79</v>
      </c>
      <c r="G9" s="9" t="s">
        <v>142</v>
      </c>
      <c r="H9" s="10" t="s">
        <v>205</v>
      </c>
    </row>
    <row r="10" spans="1:8" ht="16.5" thickBot="1">
      <c r="A10" s="58" t="s">
        <v>1844</v>
      </c>
      <c r="D10" s="9" t="s">
        <v>17</v>
      </c>
      <c r="E10" s="10" t="s">
        <v>80</v>
      </c>
      <c r="G10" s="9" t="s">
        <v>143</v>
      </c>
      <c r="H10" s="10" t="s">
        <v>206</v>
      </c>
    </row>
    <row r="11" spans="1:8">
      <c r="D11" s="9" t="s">
        <v>18</v>
      </c>
      <c r="E11" s="10" t="s">
        <v>81</v>
      </c>
      <c r="G11" s="9" t="s">
        <v>144</v>
      </c>
      <c r="H11" s="10" t="s">
        <v>207</v>
      </c>
    </row>
    <row r="12" spans="1:8">
      <c r="D12" s="9" t="s">
        <v>19</v>
      </c>
      <c r="E12" s="10" t="s">
        <v>82</v>
      </c>
      <c r="G12" s="9" t="s">
        <v>145</v>
      </c>
      <c r="H12" s="10" t="s">
        <v>208</v>
      </c>
    </row>
    <row r="13" spans="1:8">
      <c r="D13" s="9" t="s">
        <v>20</v>
      </c>
      <c r="E13" s="10" t="s">
        <v>83</v>
      </c>
      <c r="G13" s="9" t="s">
        <v>146</v>
      </c>
      <c r="H13" s="10" t="s">
        <v>209</v>
      </c>
    </row>
    <row r="14" spans="1:8">
      <c r="D14" s="9" t="s">
        <v>21</v>
      </c>
      <c r="E14" s="10" t="s">
        <v>84</v>
      </c>
      <c r="G14" s="9" t="s">
        <v>147</v>
      </c>
      <c r="H14" s="10" t="s">
        <v>210</v>
      </c>
    </row>
    <row r="15" spans="1:8">
      <c r="D15" s="9" t="s">
        <v>22</v>
      </c>
      <c r="E15" s="10" t="s">
        <v>85</v>
      </c>
      <c r="G15" s="9" t="s">
        <v>148</v>
      </c>
      <c r="H15" s="10" t="s">
        <v>211</v>
      </c>
    </row>
    <row r="16" spans="1:8">
      <c r="D16" s="9" t="s">
        <v>23</v>
      </c>
      <c r="E16" s="10" t="s">
        <v>86</v>
      </c>
      <c r="G16" s="9" t="s">
        <v>149</v>
      </c>
      <c r="H16" s="10" t="s">
        <v>212</v>
      </c>
    </row>
    <row r="17" spans="4:8">
      <c r="D17" s="9" t="s">
        <v>24</v>
      </c>
      <c r="E17" s="10" t="s">
        <v>87</v>
      </c>
      <c r="G17" s="9" t="s">
        <v>150</v>
      </c>
      <c r="H17" s="10" t="s">
        <v>213</v>
      </c>
    </row>
    <row r="18" spans="4:8">
      <c r="D18" s="9" t="s">
        <v>25</v>
      </c>
      <c r="E18" s="10" t="s">
        <v>88</v>
      </c>
      <c r="G18" s="9" t="s">
        <v>151</v>
      </c>
      <c r="H18" s="10" t="s">
        <v>214</v>
      </c>
    </row>
    <row r="19" spans="4:8">
      <c r="D19" s="9" t="s">
        <v>26</v>
      </c>
      <c r="E19" s="10" t="s">
        <v>89</v>
      </c>
      <c r="G19" s="9" t="s">
        <v>152</v>
      </c>
      <c r="H19" s="10" t="s">
        <v>215</v>
      </c>
    </row>
    <row r="20" spans="4:8">
      <c r="D20" s="9" t="s">
        <v>27</v>
      </c>
      <c r="E20" s="10" t="s">
        <v>90</v>
      </c>
      <c r="G20" s="9" t="s">
        <v>153</v>
      </c>
      <c r="H20" s="10" t="s">
        <v>216</v>
      </c>
    </row>
    <row r="21" spans="4:8">
      <c r="D21" s="9" t="s">
        <v>28</v>
      </c>
      <c r="E21" s="10" t="s">
        <v>91</v>
      </c>
      <c r="G21" s="9" t="s">
        <v>154</v>
      </c>
      <c r="H21" s="10" t="s">
        <v>217</v>
      </c>
    </row>
    <row r="22" spans="4:8">
      <c r="D22" s="9" t="s">
        <v>29</v>
      </c>
      <c r="E22" s="10" t="s">
        <v>92</v>
      </c>
      <c r="G22" s="9" t="s">
        <v>155</v>
      </c>
      <c r="H22" s="10" t="s">
        <v>218</v>
      </c>
    </row>
    <row r="23" spans="4:8">
      <c r="D23" s="9" t="s">
        <v>30</v>
      </c>
      <c r="E23" s="10" t="s">
        <v>93</v>
      </c>
      <c r="G23" s="9" t="s">
        <v>156</v>
      </c>
      <c r="H23" s="10" t="s">
        <v>219</v>
      </c>
    </row>
    <row r="24" spans="4:8">
      <c r="D24" s="9" t="s">
        <v>31</v>
      </c>
      <c r="E24" s="10" t="s">
        <v>94</v>
      </c>
      <c r="G24" s="9" t="s">
        <v>157</v>
      </c>
      <c r="H24" s="10" t="s">
        <v>220</v>
      </c>
    </row>
    <row r="25" spans="4:8">
      <c r="D25" s="9" t="s">
        <v>32</v>
      </c>
      <c r="E25" s="10" t="s">
        <v>95</v>
      </c>
      <c r="G25" s="9" t="s">
        <v>158</v>
      </c>
      <c r="H25" s="10" t="s">
        <v>221</v>
      </c>
    </row>
    <row r="26" spans="4:8">
      <c r="D26" s="9" t="s">
        <v>33</v>
      </c>
      <c r="E26" s="10" t="s">
        <v>96</v>
      </c>
      <c r="G26" s="9" t="s">
        <v>159</v>
      </c>
      <c r="H26" s="10" t="s">
        <v>222</v>
      </c>
    </row>
    <row r="27" spans="4:8">
      <c r="D27" s="9" t="s">
        <v>34</v>
      </c>
      <c r="E27" s="10" t="s">
        <v>97</v>
      </c>
      <c r="G27" s="9" t="s">
        <v>160</v>
      </c>
      <c r="H27" s="10" t="s">
        <v>223</v>
      </c>
    </row>
    <row r="28" spans="4:8">
      <c r="D28" s="9" t="s">
        <v>35</v>
      </c>
      <c r="E28" s="10" t="s">
        <v>98</v>
      </c>
      <c r="G28" s="9" t="s">
        <v>161</v>
      </c>
      <c r="H28" s="10" t="s">
        <v>224</v>
      </c>
    </row>
    <row r="29" spans="4:8">
      <c r="D29" s="9" t="s">
        <v>36</v>
      </c>
      <c r="E29" s="10" t="s">
        <v>99</v>
      </c>
      <c r="G29" s="9" t="s">
        <v>162</v>
      </c>
      <c r="H29" s="10" t="s">
        <v>225</v>
      </c>
    </row>
    <row r="30" spans="4:8">
      <c r="D30" s="9" t="s">
        <v>37</v>
      </c>
      <c r="E30" s="10" t="s">
        <v>100</v>
      </c>
      <c r="G30" s="9" t="s">
        <v>163</v>
      </c>
      <c r="H30" s="10" t="s">
        <v>226</v>
      </c>
    </row>
    <row r="31" spans="4:8">
      <c r="D31" s="9" t="s">
        <v>38</v>
      </c>
      <c r="E31" s="10" t="s">
        <v>101</v>
      </c>
      <c r="G31" s="9" t="s">
        <v>164</v>
      </c>
      <c r="H31" s="10" t="s">
        <v>227</v>
      </c>
    </row>
    <row r="32" spans="4:8">
      <c r="D32" s="9" t="s">
        <v>39</v>
      </c>
      <c r="E32" s="10" t="s">
        <v>102</v>
      </c>
      <c r="G32" s="9" t="s">
        <v>165</v>
      </c>
      <c r="H32" s="10" t="s">
        <v>228</v>
      </c>
    </row>
    <row r="33" spans="4:8">
      <c r="D33" s="9" t="s">
        <v>40</v>
      </c>
      <c r="E33" s="10" t="s">
        <v>103</v>
      </c>
      <c r="G33" s="9" t="s">
        <v>166</v>
      </c>
      <c r="H33" s="10" t="s">
        <v>229</v>
      </c>
    </row>
    <row r="34" spans="4:8">
      <c r="D34" s="9" t="s">
        <v>41</v>
      </c>
      <c r="E34" s="10" t="s">
        <v>104</v>
      </c>
      <c r="G34" s="9" t="s">
        <v>167</v>
      </c>
      <c r="H34" s="10" t="s">
        <v>230</v>
      </c>
    </row>
    <row r="35" spans="4:8">
      <c r="D35" s="9" t="s">
        <v>42</v>
      </c>
      <c r="E35" s="10" t="s">
        <v>105</v>
      </c>
      <c r="G35" s="9" t="s">
        <v>168</v>
      </c>
      <c r="H35" s="10" t="s">
        <v>231</v>
      </c>
    </row>
    <row r="36" spans="4:8">
      <c r="D36" s="9" t="s">
        <v>43</v>
      </c>
      <c r="E36" s="10" t="s">
        <v>106</v>
      </c>
      <c r="G36" s="9" t="s">
        <v>169</v>
      </c>
      <c r="H36" s="10" t="s">
        <v>232</v>
      </c>
    </row>
    <row r="37" spans="4:8">
      <c r="D37" s="9" t="s">
        <v>44</v>
      </c>
      <c r="E37" s="10" t="s">
        <v>107</v>
      </c>
      <c r="G37" s="9" t="s">
        <v>170</v>
      </c>
      <c r="H37" s="10" t="s">
        <v>233</v>
      </c>
    </row>
    <row r="38" spans="4:8">
      <c r="D38" s="9" t="s">
        <v>45</v>
      </c>
      <c r="E38" s="10" t="s">
        <v>108</v>
      </c>
      <c r="G38" s="9" t="s">
        <v>171</v>
      </c>
      <c r="H38" s="10" t="s">
        <v>234</v>
      </c>
    </row>
    <row r="39" spans="4:8">
      <c r="D39" s="9" t="s">
        <v>46</v>
      </c>
      <c r="E39" s="10" t="s">
        <v>109</v>
      </c>
      <c r="G39" s="9" t="s">
        <v>172</v>
      </c>
      <c r="H39" s="10" t="s">
        <v>235</v>
      </c>
    </row>
    <row r="40" spans="4:8">
      <c r="D40" s="9" t="s">
        <v>47</v>
      </c>
      <c r="E40" s="10" t="s">
        <v>110</v>
      </c>
      <c r="G40" s="9" t="s">
        <v>173</v>
      </c>
      <c r="H40" s="10" t="s">
        <v>236</v>
      </c>
    </row>
    <row r="41" spans="4:8">
      <c r="D41" s="9" t="s">
        <v>48</v>
      </c>
      <c r="E41" s="10" t="s">
        <v>111</v>
      </c>
      <c r="G41" s="9" t="s">
        <v>174</v>
      </c>
      <c r="H41" s="10" t="s">
        <v>237</v>
      </c>
    </row>
    <row r="42" spans="4:8">
      <c r="D42" s="9" t="s">
        <v>49</v>
      </c>
      <c r="E42" s="10" t="s">
        <v>112</v>
      </c>
      <c r="G42" s="9" t="s">
        <v>175</v>
      </c>
      <c r="H42" s="10" t="s">
        <v>238</v>
      </c>
    </row>
    <row r="43" spans="4:8">
      <c r="D43" s="9" t="s">
        <v>50</v>
      </c>
      <c r="E43" s="10" t="s">
        <v>113</v>
      </c>
      <c r="G43" s="9" t="s">
        <v>176</v>
      </c>
      <c r="H43" s="10" t="s">
        <v>239</v>
      </c>
    </row>
    <row r="44" spans="4:8">
      <c r="D44" s="9" t="s">
        <v>51</v>
      </c>
      <c r="E44" s="10" t="s">
        <v>114</v>
      </c>
      <c r="G44" s="9" t="s">
        <v>177</v>
      </c>
      <c r="H44" s="10" t="s">
        <v>240</v>
      </c>
    </row>
    <row r="45" spans="4:8">
      <c r="D45" s="9" t="s">
        <v>52</v>
      </c>
      <c r="E45" s="10" t="s">
        <v>115</v>
      </c>
      <c r="G45" s="9" t="s">
        <v>178</v>
      </c>
      <c r="H45" s="10" t="s">
        <v>241</v>
      </c>
    </row>
    <row r="46" spans="4:8">
      <c r="D46" s="9" t="s">
        <v>53</v>
      </c>
      <c r="E46" s="10" t="s">
        <v>116</v>
      </c>
      <c r="G46" s="9" t="s">
        <v>179</v>
      </c>
      <c r="H46" s="10" t="s">
        <v>242</v>
      </c>
    </row>
    <row r="47" spans="4:8">
      <c r="D47" s="9" t="s">
        <v>54</v>
      </c>
      <c r="E47" s="10" t="s">
        <v>117</v>
      </c>
      <c r="G47" s="9" t="s">
        <v>180</v>
      </c>
      <c r="H47" s="10" t="s">
        <v>243</v>
      </c>
    </row>
    <row r="48" spans="4:8">
      <c r="D48" s="9" t="s">
        <v>55</v>
      </c>
      <c r="E48" s="10" t="s">
        <v>118</v>
      </c>
      <c r="G48" s="9" t="s">
        <v>181</v>
      </c>
      <c r="H48" s="10" t="s">
        <v>244</v>
      </c>
    </row>
    <row r="49" spans="4:8">
      <c r="D49" s="9" t="s">
        <v>56</v>
      </c>
      <c r="E49" s="10" t="s">
        <v>119</v>
      </c>
      <c r="G49" s="9" t="s">
        <v>182</v>
      </c>
      <c r="H49" s="10" t="s">
        <v>245</v>
      </c>
    </row>
    <row r="50" spans="4:8">
      <c r="D50" s="9" t="s">
        <v>57</v>
      </c>
      <c r="E50" s="10" t="s">
        <v>120</v>
      </c>
      <c r="G50" s="9" t="s">
        <v>183</v>
      </c>
      <c r="H50" s="10" t="s">
        <v>246</v>
      </c>
    </row>
    <row r="51" spans="4:8">
      <c r="D51" s="9" t="s">
        <v>58</v>
      </c>
      <c r="E51" s="10" t="s">
        <v>121</v>
      </c>
      <c r="G51" s="9" t="s">
        <v>184</v>
      </c>
      <c r="H51" s="10" t="s">
        <v>247</v>
      </c>
    </row>
    <row r="52" spans="4:8">
      <c r="D52" s="9" t="s">
        <v>59</v>
      </c>
      <c r="E52" s="10" t="s">
        <v>122</v>
      </c>
      <c r="G52" s="9" t="s">
        <v>185</v>
      </c>
      <c r="H52" s="10" t="s">
        <v>248</v>
      </c>
    </row>
    <row r="53" spans="4:8">
      <c r="D53" s="9" t="s">
        <v>60</v>
      </c>
      <c r="E53" s="10" t="s">
        <v>123</v>
      </c>
      <c r="G53" s="9" t="s">
        <v>186</v>
      </c>
      <c r="H53" s="10" t="s">
        <v>249</v>
      </c>
    </row>
    <row r="54" spans="4:8">
      <c r="D54" s="9" t="s">
        <v>61</v>
      </c>
      <c r="E54" s="10" t="s">
        <v>124</v>
      </c>
      <c r="G54" s="9" t="s">
        <v>187</v>
      </c>
      <c r="H54" s="10" t="s">
        <v>250</v>
      </c>
    </row>
    <row r="55" spans="4:8">
      <c r="D55" s="9" t="s">
        <v>62</v>
      </c>
      <c r="E55" s="10" t="s">
        <v>125</v>
      </c>
      <c r="G55" s="9" t="s">
        <v>188</v>
      </c>
      <c r="H55" s="10" t="s">
        <v>251</v>
      </c>
    </row>
    <row r="56" spans="4:8">
      <c r="D56" s="9" t="s">
        <v>63</v>
      </c>
      <c r="E56" s="10" t="s">
        <v>126</v>
      </c>
      <c r="G56" s="9" t="s">
        <v>189</v>
      </c>
      <c r="H56" s="10" t="s">
        <v>252</v>
      </c>
    </row>
    <row r="57" spans="4:8">
      <c r="D57" s="9" t="s">
        <v>64</v>
      </c>
      <c r="E57" s="10" t="s">
        <v>127</v>
      </c>
      <c r="G57" s="9" t="s">
        <v>190</v>
      </c>
      <c r="H57" s="10" t="s">
        <v>253</v>
      </c>
    </row>
    <row r="58" spans="4:8">
      <c r="D58" s="9" t="s">
        <v>65</v>
      </c>
      <c r="E58" s="10" t="s">
        <v>128</v>
      </c>
      <c r="G58" s="9" t="s">
        <v>191</v>
      </c>
      <c r="H58" s="10" t="s">
        <v>254</v>
      </c>
    </row>
    <row r="59" spans="4:8">
      <c r="D59" s="9" t="s">
        <v>66</v>
      </c>
      <c r="E59" s="10" t="s">
        <v>129</v>
      </c>
      <c r="G59" s="9" t="s">
        <v>192</v>
      </c>
      <c r="H59" s="10" t="s">
        <v>255</v>
      </c>
    </row>
    <row r="60" spans="4:8">
      <c r="D60" s="9" t="s">
        <v>67</v>
      </c>
      <c r="E60" s="10" t="s">
        <v>130</v>
      </c>
      <c r="G60" s="9" t="s">
        <v>193</v>
      </c>
      <c r="H60" s="10" t="s">
        <v>256</v>
      </c>
    </row>
    <row r="61" spans="4:8">
      <c r="D61" s="9" t="s">
        <v>68</v>
      </c>
      <c r="E61" s="10" t="s">
        <v>131</v>
      </c>
      <c r="G61" s="9" t="s">
        <v>194</v>
      </c>
      <c r="H61" s="10" t="s">
        <v>257</v>
      </c>
    </row>
    <row r="62" spans="4:8">
      <c r="D62" s="9" t="s">
        <v>69</v>
      </c>
      <c r="E62" s="10" t="s">
        <v>132</v>
      </c>
      <c r="G62" s="9" t="s">
        <v>195</v>
      </c>
      <c r="H62" s="10" t="s">
        <v>258</v>
      </c>
    </row>
    <row r="63" spans="4:8">
      <c r="D63" s="9" t="s">
        <v>70</v>
      </c>
      <c r="E63" s="10" t="s">
        <v>133</v>
      </c>
      <c r="G63" s="9" t="s">
        <v>196</v>
      </c>
      <c r="H63" s="10" t="s">
        <v>259</v>
      </c>
    </row>
    <row r="64" spans="4:8">
      <c r="D64" s="9" t="s">
        <v>71</v>
      </c>
      <c r="E64" s="10" t="s">
        <v>134</v>
      </c>
      <c r="G64" s="9" t="s">
        <v>197</v>
      </c>
      <c r="H64" s="10" t="s">
        <v>260</v>
      </c>
    </row>
    <row r="65" spans="4:8" ht="16.5" thickBot="1">
      <c r="D65" s="12" t="s">
        <v>72</v>
      </c>
      <c r="E65" s="15" t="s">
        <v>135</v>
      </c>
      <c r="G65" s="12" t="s">
        <v>198</v>
      </c>
      <c r="H65" s="15" t="s">
        <v>261</v>
      </c>
    </row>
  </sheetData>
  <mergeCells count="2">
    <mergeCell ref="D1:E1"/>
    <mergeCell ref="G1:H1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514"/>
  <sheetViews>
    <sheetView tabSelected="1" zoomScale="70" zoomScaleNormal="70" workbookViewId="0">
      <selection activeCell="L24" sqref="L24"/>
    </sheetView>
  </sheetViews>
  <sheetFormatPr defaultRowHeight="15.75"/>
  <cols>
    <col min="1" max="1" width="20" customWidth="1"/>
    <col min="2" max="2" width="16.875" customWidth="1"/>
    <col min="3" max="3" width="35.5" bestFit="1" customWidth="1"/>
    <col min="6" max="6" width="22.75" customWidth="1"/>
    <col min="7" max="7" width="27.625" customWidth="1"/>
    <col min="9" max="9" width="15.625" customWidth="1"/>
    <col min="10" max="10" width="12.125" customWidth="1"/>
    <col min="11" max="11" width="12.125" style="16" customWidth="1"/>
    <col min="12" max="12" width="19.375" bestFit="1" customWidth="1"/>
    <col min="13" max="13" width="13.625" bestFit="1" customWidth="1"/>
    <col min="14" max="14" width="13.625" customWidth="1"/>
    <col min="15" max="15" width="12.25" customWidth="1"/>
    <col min="16" max="16" width="15.25" bestFit="1" customWidth="1"/>
    <col min="17" max="17" width="14.625" bestFit="1" customWidth="1"/>
    <col min="18" max="18" width="12.875" customWidth="1"/>
    <col min="19" max="19" width="17.625" customWidth="1"/>
    <col min="20" max="20" width="19.5" bestFit="1" customWidth="1"/>
    <col min="21" max="21" width="11.375" bestFit="1" customWidth="1"/>
    <col min="23" max="23" width="24" bestFit="1" customWidth="1"/>
  </cols>
  <sheetData>
    <row r="1" spans="1:24" ht="16.5" thickBot="1">
      <c r="A1" s="60" t="s">
        <v>1298</v>
      </c>
      <c r="B1" s="60"/>
      <c r="F1" s="61" t="s">
        <v>1603</v>
      </c>
      <c r="G1" s="61"/>
      <c r="I1" s="3" t="s">
        <v>1639</v>
      </c>
      <c r="J1" s="3"/>
      <c r="L1" s="1" t="s">
        <v>1640</v>
      </c>
      <c r="P1" s="17" t="s">
        <v>1641</v>
      </c>
      <c r="Q1" s="18"/>
      <c r="T1" s="2" t="s">
        <v>1642</v>
      </c>
      <c r="U1" s="2"/>
      <c r="W1" s="2" t="s">
        <v>1808</v>
      </c>
      <c r="X1" s="2"/>
    </row>
    <row r="2" spans="1:24">
      <c r="A2" t="s">
        <v>272</v>
      </c>
      <c r="B2" t="s">
        <v>273</v>
      </c>
      <c r="C2" s="7" t="s">
        <v>1812</v>
      </c>
      <c r="D2" s="8"/>
      <c r="F2" s="3" t="s">
        <v>1299</v>
      </c>
      <c r="G2" s="3" t="s">
        <v>275</v>
      </c>
      <c r="I2" s="3" t="s">
        <v>1604</v>
      </c>
      <c r="J2" s="3" t="s">
        <v>1239</v>
      </c>
      <c r="L2" s="1" t="s">
        <v>1660</v>
      </c>
      <c r="M2" s="1" t="s">
        <v>266</v>
      </c>
      <c r="N2" s="59" t="s">
        <v>65</v>
      </c>
      <c r="O2" s="59" t="s">
        <v>268</v>
      </c>
      <c r="P2" s="17" t="s">
        <v>538</v>
      </c>
      <c r="Q2" s="17" t="s">
        <v>263</v>
      </c>
      <c r="R2" s="59" t="s">
        <v>127</v>
      </c>
      <c r="S2" s="59" t="s">
        <v>263</v>
      </c>
      <c r="T2" s="2" t="s">
        <v>1643</v>
      </c>
      <c r="U2" s="2" t="s">
        <v>541</v>
      </c>
      <c r="W2" s="4" t="s">
        <v>1800</v>
      </c>
      <c r="X2" s="2" t="s">
        <v>417</v>
      </c>
    </row>
    <row r="3" spans="1:24">
      <c r="A3" t="s">
        <v>274</v>
      </c>
      <c r="B3" t="s">
        <v>275</v>
      </c>
      <c r="C3" s="9"/>
      <c r="D3" s="10"/>
      <c r="F3" s="3" t="s">
        <v>1303</v>
      </c>
      <c r="G3" s="3" t="s">
        <v>277</v>
      </c>
      <c r="I3" s="3" t="s">
        <v>1605</v>
      </c>
      <c r="J3" s="3" t="s">
        <v>1241</v>
      </c>
      <c r="L3" s="1" t="s">
        <v>1655</v>
      </c>
      <c r="M3" s="1" t="s">
        <v>262</v>
      </c>
      <c r="N3" s="59" t="s">
        <v>22</v>
      </c>
      <c r="O3" s="59" t="s">
        <v>30</v>
      </c>
      <c r="P3" s="17" t="s">
        <v>1820</v>
      </c>
      <c r="Q3" s="17" t="s">
        <v>128</v>
      </c>
      <c r="R3" s="17" t="s">
        <v>128</v>
      </c>
      <c r="S3" s="17" t="s">
        <v>128</v>
      </c>
      <c r="T3" s="2" t="s">
        <v>1644</v>
      </c>
      <c r="U3" s="2" t="s">
        <v>543</v>
      </c>
      <c r="W3" s="4" t="s">
        <v>1801</v>
      </c>
      <c r="X3" s="2" t="s">
        <v>623</v>
      </c>
    </row>
    <row r="4" spans="1:24">
      <c r="A4" t="s">
        <v>276</v>
      </c>
      <c r="B4" t="s">
        <v>277</v>
      </c>
      <c r="C4" s="9" t="s">
        <v>1813</v>
      </c>
      <c r="D4" s="11"/>
      <c r="F4" s="3" t="s">
        <v>1307</v>
      </c>
      <c r="G4" s="3" t="s">
        <v>279</v>
      </c>
      <c r="I4" s="3" t="s">
        <v>1606</v>
      </c>
      <c r="J4" s="3" t="s">
        <v>371</v>
      </c>
      <c r="L4" s="1" t="s">
        <v>1816</v>
      </c>
      <c r="M4" s="1" t="s">
        <v>1815</v>
      </c>
      <c r="N4" s="59" t="s">
        <v>21</v>
      </c>
      <c r="O4" s="59" t="s">
        <v>23</v>
      </c>
      <c r="P4" s="17" t="s">
        <v>1824</v>
      </c>
      <c r="Q4" s="17" t="s">
        <v>268</v>
      </c>
      <c r="R4" s="59" t="s">
        <v>42</v>
      </c>
      <c r="S4" s="59" t="s">
        <v>267</v>
      </c>
      <c r="T4" s="2" t="s">
        <v>1645</v>
      </c>
      <c r="U4" s="2" t="s">
        <v>545</v>
      </c>
      <c r="W4" s="4" t="s">
        <v>1802</v>
      </c>
      <c r="X4" s="2" t="s">
        <v>827</v>
      </c>
    </row>
    <row r="5" spans="1:24">
      <c r="A5" t="s">
        <v>278</v>
      </c>
      <c r="B5" t="s">
        <v>279</v>
      </c>
      <c r="C5" s="9"/>
      <c r="D5" s="10"/>
      <c r="F5" s="3" t="s">
        <v>1311</v>
      </c>
      <c r="G5" s="3" t="s">
        <v>281</v>
      </c>
      <c r="I5" s="3" t="s">
        <v>1607</v>
      </c>
      <c r="J5" s="3" t="s">
        <v>373</v>
      </c>
      <c r="L5" s="1" t="s">
        <v>1661</v>
      </c>
      <c r="M5" s="1" t="s">
        <v>265</v>
      </c>
      <c r="N5" s="59" t="s">
        <v>63</v>
      </c>
      <c r="O5" s="59" t="s">
        <v>266</v>
      </c>
      <c r="P5" s="17" t="s">
        <v>1821</v>
      </c>
      <c r="Q5" s="17" t="s">
        <v>197</v>
      </c>
      <c r="R5" s="59" t="s">
        <v>44</v>
      </c>
      <c r="S5" s="59" t="s">
        <v>265</v>
      </c>
      <c r="T5" s="2" t="s">
        <v>1646</v>
      </c>
      <c r="U5" s="2" t="s">
        <v>547</v>
      </c>
      <c r="W5" s="4" t="s">
        <v>1803</v>
      </c>
      <c r="X5" s="2" t="s">
        <v>1033</v>
      </c>
    </row>
    <row r="6" spans="1:24" ht="16.5" thickBot="1">
      <c r="A6" t="s">
        <v>280</v>
      </c>
      <c r="B6" t="s">
        <v>281</v>
      </c>
      <c r="C6" s="12" t="s">
        <v>1814</v>
      </c>
      <c r="D6" s="13"/>
      <c r="F6" s="3" t="s">
        <v>1315</v>
      </c>
      <c r="G6" s="3" t="s">
        <v>283</v>
      </c>
      <c r="I6" s="3" t="s">
        <v>1608</v>
      </c>
      <c r="J6" s="3" t="s">
        <v>375</v>
      </c>
      <c r="L6" s="1" t="s">
        <v>1699</v>
      </c>
      <c r="M6" s="1" t="s">
        <v>226</v>
      </c>
      <c r="N6" s="59" t="s">
        <v>116</v>
      </c>
      <c r="O6" s="59" t="s">
        <v>197</v>
      </c>
      <c r="P6" s="17" t="s">
        <v>1825</v>
      </c>
      <c r="Q6" s="17" t="s">
        <v>264</v>
      </c>
      <c r="R6" s="59" t="s">
        <v>218</v>
      </c>
      <c r="S6" s="59" t="s">
        <v>85</v>
      </c>
      <c r="T6" s="2" t="s">
        <v>1647</v>
      </c>
      <c r="U6" s="2" t="s">
        <v>549</v>
      </c>
      <c r="W6" s="4" t="s">
        <v>1804</v>
      </c>
      <c r="X6" s="2" t="s">
        <v>415</v>
      </c>
    </row>
    <row r="7" spans="1:24">
      <c r="A7" t="s">
        <v>282</v>
      </c>
      <c r="B7" t="s">
        <v>283</v>
      </c>
      <c r="F7" s="3" t="s">
        <v>1319</v>
      </c>
      <c r="G7" s="3" t="s">
        <v>285</v>
      </c>
      <c r="I7" s="3" t="s">
        <v>1609</v>
      </c>
      <c r="J7" s="3" t="s">
        <v>377</v>
      </c>
      <c r="L7" s="1" t="s">
        <v>1694</v>
      </c>
      <c r="M7" s="1" t="s">
        <v>187</v>
      </c>
      <c r="N7" s="59" t="s">
        <v>113</v>
      </c>
      <c r="O7" s="59" t="s">
        <v>191</v>
      </c>
      <c r="P7" s="17" t="s">
        <v>1822</v>
      </c>
      <c r="Q7" s="17" t="s">
        <v>23</v>
      </c>
      <c r="R7" s="59" t="s">
        <v>222</v>
      </c>
      <c r="S7" s="59" t="s">
        <v>264</v>
      </c>
      <c r="T7" s="2" t="s">
        <v>1648</v>
      </c>
      <c r="U7" s="2" t="s">
        <v>551</v>
      </c>
      <c r="W7" s="4" t="s">
        <v>1805</v>
      </c>
      <c r="X7" s="2" t="s">
        <v>621</v>
      </c>
    </row>
    <row r="8" spans="1:24">
      <c r="A8" t="s">
        <v>284</v>
      </c>
      <c r="B8" t="s">
        <v>285</v>
      </c>
      <c r="F8" s="3" t="s">
        <v>1323</v>
      </c>
      <c r="G8" s="3" t="s">
        <v>287</v>
      </c>
      <c r="I8" s="3" t="s">
        <v>1610</v>
      </c>
      <c r="J8" s="3" t="s">
        <v>379</v>
      </c>
      <c r="L8" s="1" t="s">
        <v>1817</v>
      </c>
      <c r="M8" s="1" t="s">
        <v>188</v>
      </c>
      <c r="N8" s="59" t="s">
        <v>111</v>
      </c>
      <c r="O8" s="59" t="s">
        <v>188</v>
      </c>
      <c r="P8" s="17" t="s">
        <v>1826</v>
      </c>
      <c r="Q8" s="17" t="s">
        <v>269</v>
      </c>
      <c r="R8" s="59" t="s">
        <v>1847</v>
      </c>
      <c r="S8" s="59" t="s">
        <v>269</v>
      </c>
      <c r="T8" s="2" t="s">
        <v>1649</v>
      </c>
      <c r="U8" s="2" t="s">
        <v>553</v>
      </c>
      <c r="W8" s="4" t="s">
        <v>1806</v>
      </c>
      <c r="X8" s="2" t="s">
        <v>829</v>
      </c>
    </row>
    <row r="9" spans="1:24">
      <c r="A9" t="s">
        <v>286</v>
      </c>
      <c r="B9" t="s">
        <v>287</v>
      </c>
      <c r="F9" s="3" t="s">
        <v>1327</v>
      </c>
      <c r="G9" s="3" t="s">
        <v>289</v>
      </c>
      <c r="I9" s="3" t="s">
        <v>1611</v>
      </c>
      <c r="J9" s="3" t="s">
        <v>381</v>
      </c>
      <c r="L9" s="1" t="s">
        <v>1700</v>
      </c>
      <c r="M9" s="1" t="s">
        <v>223</v>
      </c>
      <c r="N9" s="59" t="s">
        <v>112</v>
      </c>
      <c r="O9" s="59" t="s">
        <v>187</v>
      </c>
      <c r="P9" s="17" t="s">
        <v>1823</v>
      </c>
      <c r="Q9" s="17" t="s">
        <v>139</v>
      </c>
      <c r="R9" s="17" t="s">
        <v>139</v>
      </c>
      <c r="S9" s="17" t="s">
        <v>139</v>
      </c>
      <c r="T9" s="2" t="s">
        <v>1650</v>
      </c>
      <c r="U9" s="2" t="s">
        <v>555</v>
      </c>
      <c r="W9" s="4" t="s">
        <v>1807</v>
      </c>
      <c r="X9" s="2" t="s">
        <v>1035</v>
      </c>
    </row>
    <row r="10" spans="1:24">
      <c r="A10" t="s">
        <v>288</v>
      </c>
      <c r="B10" t="s">
        <v>289</v>
      </c>
      <c r="F10" s="3" t="s">
        <v>1331</v>
      </c>
      <c r="G10" s="3" t="s">
        <v>291</v>
      </c>
      <c r="I10" s="3" t="s">
        <v>1612</v>
      </c>
      <c r="J10" s="3" t="s">
        <v>383</v>
      </c>
      <c r="L10" s="1" t="s">
        <v>1738</v>
      </c>
      <c r="M10" s="1" t="s">
        <v>33</v>
      </c>
      <c r="N10" s="59" t="s">
        <v>157</v>
      </c>
      <c r="O10" s="59" t="s">
        <v>33</v>
      </c>
      <c r="T10" s="2" t="s">
        <v>1651</v>
      </c>
      <c r="U10" s="2" t="s">
        <v>557</v>
      </c>
    </row>
    <row r="11" spans="1:24">
      <c r="A11" t="s">
        <v>290</v>
      </c>
      <c r="B11" t="s">
        <v>291</v>
      </c>
      <c r="F11" s="3" t="s">
        <v>1335</v>
      </c>
      <c r="G11" s="3" t="s">
        <v>293</v>
      </c>
      <c r="I11" s="3" t="s">
        <v>1613</v>
      </c>
      <c r="J11" s="3" t="s">
        <v>385</v>
      </c>
      <c r="L11" s="1" t="s">
        <v>1733</v>
      </c>
      <c r="M11" s="1" t="s">
        <v>40</v>
      </c>
      <c r="N11" s="59" t="s">
        <v>158</v>
      </c>
      <c r="O11" s="59" t="s">
        <v>262</v>
      </c>
      <c r="T11" s="2" t="s">
        <v>1652</v>
      </c>
      <c r="U11" s="2" t="s">
        <v>559</v>
      </c>
    </row>
    <row r="12" spans="1:24">
      <c r="A12" t="s">
        <v>292</v>
      </c>
      <c r="B12" t="s">
        <v>293</v>
      </c>
      <c r="F12" s="3" t="s">
        <v>1339</v>
      </c>
      <c r="G12" s="3" t="s">
        <v>295</v>
      </c>
      <c r="I12" s="3" t="s">
        <v>1614</v>
      </c>
      <c r="J12" s="3" t="s">
        <v>387</v>
      </c>
      <c r="L12" s="1" t="s">
        <v>1818</v>
      </c>
      <c r="M12" s="1" t="s">
        <v>39</v>
      </c>
      <c r="N12" s="59" t="s">
        <v>161</v>
      </c>
      <c r="O12" s="59" t="s">
        <v>223</v>
      </c>
      <c r="T12" s="2" t="s">
        <v>1653</v>
      </c>
      <c r="U12" s="2" t="s">
        <v>561</v>
      </c>
    </row>
    <row r="13" spans="1:24">
      <c r="A13" t="s">
        <v>294</v>
      </c>
      <c r="B13" t="s">
        <v>295</v>
      </c>
      <c r="F13" s="3" t="s">
        <v>1343</v>
      </c>
      <c r="G13" s="3" t="s">
        <v>297</v>
      </c>
      <c r="I13" s="3" t="s">
        <v>1615</v>
      </c>
      <c r="J13" s="3" t="s">
        <v>389</v>
      </c>
      <c r="L13" s="1" t="s">
        <v>1739</v>
      </c>
      <c r="M13" s="1" t="s">
        <v>30</v>
      </c>
      <c r="N13" s="59" t="s">
        <v>162</v>
      </c>
      <c r="O13" s="59" t="s">
        <v>226</v>
      </c>
      <c r="T13" s="2" t="s">
        <v>1654</v>
      </c>
      <c r="U13" s="2" t="s">
        <v>563</v>
      </c>
    </row>
    <row r="14" spans="1:24">
      <c r="A14" t="s">
        <v>296</v>
      </c>
      <c r="B14" t="s">
        <v>297</v>
      </c>
      <c r="F14" s="3" t="s">
        <v>1347</v>
      </c>
      <c r="G14" s="3" t="s">
        <v>437</v>
      </c>
      <c r="I14" s="3" t="s">
        <v>1616</v>
      </c>
      <c r="J14" s="3" t="s">
        <v>391</v>
      </c>
      <c r="L14" s="1" t="s">
        <v>1778</v>
      </c>
      <c r="M14" s="1" t="s">
        <v>270</v>
      </c>
      <c r="N14" s="59" t="s">
        <v>1845</v>
      </c>
      <c r="O14" s="59" t="s">
        <v>271</v>
      </c>
      <c r="T14" s="2" t="s">
        <v>1655</v>
      </c>
      <c r="U14" s="2" t="s">
        <v>567</v>
      </c>
    </row>
    <row r="15" spans="1:24">
      <c r="A15" t="s">
        <v>298</v>
      </c>
      <c r="B15" t="s">
        <v>299</v>
      </c>
      <c r="F15" s="3" t="s">
        <v>1351</v>
      </c>
      <c r="G15" s="3" t="s">
        <v>467</v>
      </c>
      <c r="I15" s="3" t="s">
        <v>1617</v>
      </c>
      <c r="J15" s="3" t="s">
        <v>393</v>
      </c>
      <c r="L15" s="1" t="s">
        <v>1773</v>
      </c>
      <c r="M15" s="1" t="s">
        <v>267</v>
      </c>
      <c r="N15" s="59" t="s">
        <v>204</v>
      </c>
      <c r="O15" s="59" t="s">
        <v>40</v>
      </c>
      <c r="T15" s="2" t="s">
        <v>1656</v>
      </c>
      <c r="U15" s="2" t="s">
        <v>569</v>
      </c>
    </row>
    <row r="16" spans="1:24">
      <c r="A16" t="s">
        <v>300</v>
      </c>
      <c r="B16" t="s">
        <v>301</v>
      </c>
      <c r="F16" s="3" t="s">
        <v>1355</v>
      </c>
      <c r="G16" s="3" t="s">
        <v>487</v>
      </c>
      <c r="I16" s="3" t="s">
        <v>1618</v>
      </c>
      <c r="J16" s="3" t="s">
        <v>395</v>
      </c>
      <c r="L16" s="1" t="s">
        <v>1819</v>
      </c>
      <c r="M16" s="1" t="s">
        <v>191</v>
      </c>
      <c r="N16" s="59" t="s">
        <v>205</v>
      </c>
      <c r="O16" s="59" t="s">
        <v>39</v>
      </c>
      <c r="T16" s="2" t="s">
        <v>1657</v>
      </c>
      <c r="U16" s="2" t="s">
        <v>571</v>
      </c>
    </row>
    <row r="17" spans="1:21">
      <c r="A17" t="s">
        <v>302</v>
      </c>
      <c r="B17" t="s">
        <v>303</v>
      </c>
      <c r="F17" s="3" t="s">
        <v>1359</v>
      </c>
      <c r="G17" s="3" t="s">
        <v>509</v>
      </c>
      <c r="I17" s="3" t="s">
        <v>1619</v>
      </c>
      <c r="J17" s="3" t="s">
        <v>397</v>
      </c>
      <c r="L17" s="1" t="s">
        <v>1779</v>
      </c>
      <c r="M17" s="1" t="s">
        <v>271</v>
      </c>
      <c r="N17" s="59" t="s">
        <v>199</v>
      </c>
      <c r="O17" s="59" t="s">
        <v>270</v>
      </c>
      <c r="T17" s="2" t="s">
        <v>1658</v>
      </c>
      <c r="U17" s="2" t="s">
        <v>573</v>
      </c>
    </row>
    <row r="18" spans="1:21">
      <c r="A18" t="s">
        <v>304</v>
      </c>
      <c r="B18" t="s">
        <v>305</v>
      </c>
      <c r="F18" s="3" t="s">
        <v>1363</v>
      </c>
      <c r="G18" s="3" t="s">
        <v>535</v>
      </c>
      <c r="I18" s="3" t="s">
        <v>1620</v>
      </c>
      <c r="J18" s="3" t="s">
        <v>399</v>
      </c>
      <c r="T18" s="2" t="s">
        <v>1659</v>
      </c>
      <c r="U18" s="2" t="s">
        <v>575</v>
      </c>
    </row>
    <row r="19" spans="1:21">
      <c r="A19" t="s">
        <v>306</v>
      </c>
      <c r="B19" t="s">
        <v>307</v>
      </c>
      <c r="F19" s="3" t="s">
        <v>1367</v>
      </c>
      <c r="G19" s="3" t="s">
        <v>421</v>
      </c>
      <c r="I19" s="3" t="s">
        <v>1621</v>
      </c>
      <c r="J19" s="3" t="s">
        <v>401</v>
      </c>
      <c r="T19" s="2" t="s">
        <v>1660</v>
      </c>
      <c r="U19" s="2" t="s">
        <v>577</v>
      </c>
    </row>
    <row r="20" spans="1:21">
      <c r="A20" t="s">
        <v>308</v>
      </c>
      <c r="B20" t="s">
        <v>309</v>
      </c>
      <c r="F20" s="3" t="s">
        <v>1371</v>
      </c>
      <c r="G20" s="3" t="s">
        <v>431</v>
      </c>
      <c r="I20" s="3" t="s">
        <v>1622</v>
      </c>
      <c r="J20" s="3" t="s">
        <v>403</v>
      </c>
      <c r="T20" s="2" t="s">
        <v>1661</v>
      </c>
      <c r="U20" s="2" t="s">
        <v>579</v>
      </c>
    </row>
    <row r="21" spans="1:21">
      <c r="A21" t="s">
        <v>310</v>
      </c>
      <c r="B21" t="s">
        <v>311</v>
      </c>
      <c r="F21" s="3" t="s">
        <v>1375</v>
      </c>
      <c r="G21" s="3" t="s">
        <v>449</v>
      </c>
      <c r="I21" s="3" t="s">
        <v>1623</v>
      </c>
      <c r="J21" s="3" t="s">
        <v>405</v>
      </c>
      <c r="T21" s="2" t="s">
        <v>1662</v>
      </c>
      <c r="U21" s="2" t="s">
        <v>581</v>
      </c>
    </row>
    <row r="22" spans="1:21">
      <c r="A22" t="s">
        <v>312</v>
      </c>
      <c r="B22" t="s">
        <v>313</v>
      </c>
      <c r="F22" s="3" t="s">
        <v>1379</v>
      </c>
      <c r="G22" s="3" t="s">
        <v>469</v>
      </c>
      <c r="I22" s="3" t="s">
        <v>1624</v>
      </c>
      <c r="J22" s="3" t="s">
        <v>407</v>
      </c>
      <c r="T22" s="2" t="s">
        <v>1663</v>
      </c>
      <c r="U22" s="2" t="s">
        <v>583</v>
      </c>
    </row>
    <row r="23" spans="1:21">
      <c r="A23" t="s">
        <v>314</v>
      </c>
      <c r="B23" t="s">
        <v>315</v>
      </c>
      <c r="F23" s="3" t="s">
        <v>1383</v>
      </c>
      <c r="G23" s="3" t="s">
        <v>489</v>
      </c>
      <c r="I23" s="3" t="s">
        <v>1625</v>
      </c>
      <c r="J23" s="3" t="s">
        <v>409</v>
      </c>
      <c r="T23" s="2" t="s">
        <v>1664</v>
      </c>
      <c r="U23" s="2" t="s">
        <v>585</v>
      </c>
    </row>
    <row r="24" spans="1:21">
      <c r="A24" t="s">
        <v>316</v>
      </c>
      <c r="B24" t="s">
        <v>317</v>
      </c>
      <c r="F24" s="3" t="s">
        <v>1387</v>
      </c>
      <c r="G24" s="3" t="s">
        <v>511</v>
      </c>
      <c r="I24" s="3" t="s">
        <v>1626</v>
      </c>
      <c r="J24" s="3" t="s">
        <v>411</v>
      </c>
      <c r="T24" s="2" t="s">
        <v>1665</v>
      </c>
      <c r="U24" s="2" t="s">
        <v>587</v>
      </c>
    </row>
    <row r="25" spans="1:21">
      <c r="A25" t="s">
        <v>318</v>
      </c>
      <c r="B25" t="s">
        <v>319</v>
      </c>
      <c r="F25" s="3" t="s">
        <v>1391</v>
      </c>
      <c r="G25" s="3" t="s">
        <v>423</v>
      </c>
      <c r="I25" s="3" t="s">
        <v>1627</v>
      </c>
      <c r="J25" s="3" t="s">
        <v>413</v>
      </c>
      <c r="T25" s="2" t="s">
        <v>1666</v>
      </c>
      <c r="U25" s="2" t="s">
        <v>589</v>
      </c>
    </row>
    <row r="26" spans="1:21">
      <c r="A26" t="s">
        <v>320</v>
      </c>
      <c r="B26" t="s">
        <v>321</v>
      </c>
      <c r="F26" s="3" t="s">
        <v>1395</v>
      </c>
      <c r="G26" s="3" t="s">
        <v>433</v>
      </c>
      <c r="I26" s="3" t="s">
        <v>1628</v>
      </c>
      <c r="J26" s="3" t="s">
        <v>1245</v>
      </c>
      <c r="T26" s="2" t="s">
        <v>1667</v>
      </c>
      <c r="U26" s="2" t="s">
        <v>591</v>
      </c>
    </row>
    <row r="27" spans="1:21">
      <c r="A27" t="s">
        <v>322</v>
      </c>
      <c r="B27" t="s">
        <v>323</v>
      </c>
      <c r="F27" s="3" t="s">
        <v>1399</v>
      </c>
      <c r="G27" s="3" t="s">
        <v>451</v>
      </c>
      <c r="I27" s="3" t="s">
        <v>1629</v>
      </c>
      <c r="J27" s="3" t="s">
        <v>1253</v>
      </c>
      <c r="T27" s="2" t="s">
        <v>1668</v>
      </c>
      <c r="U27" s="2" t="s">
        <v>593</v>
      </c>
    </row>
    <row r="28" spans="1:21">
      <c r="A28" t="s">
        <v>324</v>
      </c>
      <c r="B28" t="s">
        <v>325</v>
      </c>
      <c r="F28" s="3" t="s">
        <v>1403</v>
      </c>
      <c r="G28" s="3" t="s">
        <v>471</v>
      </c>
      <c r="I28" s="3" t="s">
        <v>1630</v>
      </c>
      <c r="J28" s="3" t="s">
        <v>1261</v>
      </c>
      <c r="T28" s="2" t="s">
        <v>1669</v>
      </c>
      <c r="U28" s="2" t="s">
        <v>595</v>
      </c>
    </row>
    <row r="29" spans="1:21">
      <c r="A29" t="s">
        <v>326</v>
      </c>
      <c r="B29" t="s">
        <v>327</v>
      </c>
      <c r="F29" s="3" t="s">
        <v>1407</v>
      </c>
      <c r="G29" s="3" t="s">
        <v>491</v>
      </c>
      <c r="I29" s="3" t="s">
        <v>1631</v>
      </c>
      <c r="J29" s="3" t="s">
        <v>1247</v>
      </c>
      <c r="T29" s="2" t="s">
        <v>1670</v>
      </c>
      <c r="U29" s="2" t="s">
        <v>597</v>
      </c>
    </row>
    <row r="30" spans="1:21">
      <c r="A30" t="s">
        <v>328</v>
      </c>
      <c r="B30" t="s">
        <v>329</v>
      </c>
      <c r="F30" s="3" t="s">
        <v>1411</v>
      </c>
      <c r="G30" s="3" t="s">
        <v>513</v>
      </c>
      <c r="I30" s="3" t="s">
        <v>1632</v>
      </c>
      <c r="J30" s="3" t="s">
        <v>1255</v>
      </c>
      <c r="T30" s="2" t="s">
        <v>1671</v>
      </c>
      <c r="U30" s="2" t="s">
        <v>599</v>
      </c>
    </row>
    <row r="31" spans="1:21">
      <c r="A31" t="s">
        <v>330</v>
      </c>
      <c r="B31" t="s">
        <v>331</v>
      </c>
      <c r="F31" s="3" t="s">
        <v>1415</v>
      </c>
      <c r="G31" s="3" t="s">
        <v>537</v>
      </c>
      <c r="I31" s="3" t="s">
        <v>1633</v>
      </c>
      <c r="J31" s="3" t="s">
        <v>1249</v>
      </c>
      <c r="T31" s="2" t="s">
        <v>1672</v>
      </c>
      <c r="U31" s="2" t="s">
        <v>601</v>
      </c>
    </row>
    <row r="32" spans="1:21">
      <c r="A32" t="s">
        <v>332</v>
      </c>
      <c r="B32" t="s">
        <v>333</v>
      </c>
      <c r="F32" s="3" t="s">
        <v>1419</v>
      </c>
      <c r="G32" s="3" t="s">
        <v>425</v>
      </c>
      <c r="I32" s="3" t="s">
        <v>1634</v>
      </c>
      <c r="J32" s="3" t="s">
        <v>1257</v>
      </c>
      <c r="T32" s="2" t="s">
        <v>1673</v>
      </c>
      <c r="U32" s="2" t="s">
        <v>603</v>
      </c>
    </row>
    <row r="33" spans="1:21">
      <c r="A33" t="s">
        <v>334</v>
      </c>
      <c r="B33" t="s">
        <v>335</v>
      </c>
      <c r="F33" s="3" t="s">
        <v>1423</v>
      </c>
      <c r="G33" s="3" t="s">
        <v>453</v>
      </c>
      <c r="I33" s="3" t="s">
        <v>1635</v>
      </c>
      <c r="J33" s="3" t="s">
        <v>1263</v>
      </c>
      <c r="T33" s="2" t="s">
        <v>1674</v>
      </c>
      <c r="U33" s="2" t="s">
        <v>605</v>
      </c>
    </row>
    <row r="34" spans="1:21">
      <c r="A34" t="s">
        <v>336</v>
      </c>
      <c r="B34" t="s">
        <v>337</v>
      </c>
      <c r="F34" s="3" t="s">
        <v>1427</v>
      </c>
      <c r="G34" s="3" t="s">
        <v>473</v>
      </c>
      <c r="I34" s="3" t="s">
        <v>1636</v>
      </c>
      <c r="J34" s="3" t="s">
        <v>1251</v>
      </c>
      <c r="T34" s="2" t="s">
        <v>1675</v>
      </c>
      <c r="U34" s="2" t="s">
        <v>607</v>
      </c>
    </row>
    <row r="35" spans="1:21">
      <c r="A35" t="s">
        <v>338</v>
      </c>
      <c r="B35" t="s">
        <v>339</v>
      </c>
      <c r="F35" s="3" t="s">
        <v>1431</v>
      </c>
      <c r="G35" s="3" t="s">
        <v>493</v>
      </c>
      <c r="I35" s="3" t="s">
        <v>1637</v>
      </c>
      <c r="J35" s="3" t="s">
        <v>1259</v>
      </c>
      <c r="T35" s="2" t="s">
        <v>1676</v>
      </c>
      <c r="U35" s="2" t="s">
        <v>609</v>
      </c>
    </row>
    <row r="36" spans="1:21">
      <c r="A36" t="s">
        <v>340</v>
      </c>
      <c r="B36" t="s">
        <v>341</v>
      </c>
      <c r="F36" s="3" t="s">
        <v>1435</v>
      </c>
      <c r="G36" s="3" t="s">
        <v>515</v>
      </c>
      <c r="I36" s="3" t="s">
        <v>1638</v>
      </c>
      <c r="J36" s="3" t="s">
        <v>1265</v>
      </c>
      <c r="T36" s="2" t="s">
        <v>1677</v>
      </c>
      <c r="U36" s="2" t="s">
        <v>611</v>
      </c>
    </row>
    <row r="37" spans="1:21">
      <c r="A37" t="s">
        <v>342</v>
      </c>
      <c r="B37" t="s">
        <v>343</v>
      </c>
      <c r="F37" s="3" t="s">
        <v>1439</v>
      </c>
      <c r="G37" s="3" t="s">
        <v>435</v>
      </c>
      <c r="T37" s="2" t="s">
        <v>1678</v>
      </c>
      <c r="U37" s="2" t="s">
        <v>613</v>
      </c>
    </row>
    <row r="38" spans="1:21">
      <c r="A38" t="s">
        <v>344</v>
      </c>
      <c r="B38" t="s">
        <v>345</v>
      </c>
      <c r="F38" s="3" t="s">
        <v>1443</v>
      </c>
      <c r="G38" s="3" t="s">
        <v>439</v>
      </c>
      <c r="T38" s="2" t="s">
        <v>1679</v>
      </c>
      <c r="U38" s="2" t="s">
        <v>615</v>
      </c>
    </row>
    <row r="39" spans="1:21">
      <c r="A39" t="s">
        <v>346</v>
      </c>
      <c r="B39" t="s">
        <v>347</v>
      </c>
      <c r="F39" s="3" t="s">
        <v>1447</v>
      </c>
      <c r="G39" s="3" t="s">
        <v>455</v>
      </c>
      <c r="T39" s="2" t="s">
        <v>1680</v>
      </c>
      <c r="U39" s="2" t="s">
        <v>617</v>
      </c>
    </row>
    <row r="40" spans="1:21">
      <c r="A40" t="s">
        <v>348</v>
      </c>
      <c r="B40" t="s">
        <v>349</v>
      </c>
      <c r="F40" s="3" t="s">
        <v>1451</v>
      </c>
      <c r="G40" s="3" t="s">
        <v>475</v>
      </c>
      <c r="T40" s="2" t="s">
        <v>1681</v>
      </c>
      <c r="U40" s="2" t="s">
        <v>619</v>
      </c>
    </row>
    <row r="41" spans="1:21">
      <c r="A41" t="s">
        <v>350</v>
      </c>
      <c r="B41" t="s">
        <v>351</v>
      </c>
      <c r="F41" s="3" t="s">
        <v>1455</v>
      </c>
      <c r="G41" s="3" t="s">
        <v>495</v>
      </c>
      <c r="T41" s="2" t="s">
        <v>1682</v>
      </c>
      <c r="U41" s="2" t="s">
        <v>747</v>
      </c>
    </row>
    <row r="42" spans="1:21">
      <c r="A42" t="s">
        <v>352</v>
      </c>
      <c r="B42" t="s">
        <v>353</v>
      </c>
      <c r="F42" s="3" t="s">
        <v>1459</v>
      </c>
      <c r="G42" s="3" t="s">
        <v>517</v>
      </c>
      <c r="T42" s="2" t="s">
        <v>1683</v>
      </c>
      <c r="U42" s="2" t="s">
        <v>749</v>
      </c>
    </row>
    <row r="43" spans="1:21">
      <c r="A43" t="s">
        <v>354</v>
      </c>
      <c r="B43" t="s">
        <v>355</v>
      </c>
      <c r="F43" s="3" t="s">
        <v>1463</v>
      </c>
      <c r="G43" s="3" t="s">
        <v>441</v>
      </c>
      <c r="T43" s="2" t="s">
        <v>1684</v>
      </c>
      <c r="U43" s="2" t="s">
        <v>751</v>
      </c>
    </row>
    <row r="44" spans="1:21">
      <c r="A44" t="s">
        <v>356</v>
      </c>
      <c r="B44" t="s">
        <v>357</v>
      </c>
      <c r="F44" s="3" t="s">
        <v>1467</v>
      </c>
      <c r="G44" s="3" t="s">
        <v>457</v>
      </c>
      <c r="T44" s="2" t="s">
        <v>1685</v>
      </c>
      <c r="U44" s="2" t="s">
        <v>753</v>
      </c>
    </row>
    <row r="45" spans="1:21">
      <c r="A45" t="s">
        <v>358</v>
      </c>
      <c r="B45" t="s">
        <v>359</v>
      </c>
      <c r="F45" s="3" t="s">
        <v>1471</v>
      </c>
      <c r="G45" s="3" t="s">
        <v>477</v>
      </c>
      <c r="T45" s="2" t="s">
        <v>1686</v>
      </c>
      <c r="U45" s="2" t="s">
        <v>755</v>
      </c>
    </row>
    <row r="46" spans="1:21">
      <c r="A46" t="s">
        <v>360</v>
      </c>
      <c r="B46" t="s">
        <v>361</v>
      </c>
      <c r="F46" s="3" t="s">
        <v>1475</v>
      </c>
      <c r="G46" s="3" t="s">
        <v>497</v>
      </c>
      <c r="T46" s="2" t="s">
        <v>1687</v>
      </c>
      <c r="U46" s="2" t="s">
        <v>757</v>
      </c>
    </row>
    <row r="47" spans="1:21">
      <c r="A47" t="s">
        <v>362</v>
      </c>
      <c r="B47" t="s">
        <v>363</v>
      </c>
      <c r="F47" s="3" t="s">
        <v>1479</v>
      </c>
      <c r="G47" s="3" t="s">
        <v>519</v>
      </c>
      <c r="T47" s="2" t="s">
        <v>1688</v>
      </c>
      <c r="U47" s="2" t="s">
        <v>759</v>
      </c>
    </row>
    <row r="48" spans="1:21">
      <c r="A48" t="s">
        <v>364</v>
      </c>
      <c r="B48" t="s">
        <v>365</v>
      </c>
      <c r="F48" s="3" t="s">
        <v>1483</v>
      </c>
      <c r="G48" s="3" t="s">
        <v>459</v>
      </c>
      <c r="T48" s="2" t="s">
        <v>1689</v>
      </c>
      <c r="U48" s="2" t="s">
        <v>761</v>
      </c>
    </row>
    <row r="49" spans="1:21">
      <c r="A49" t="s">
        <v>366</v>
      </c>
      <c r="B49" t="s">
        <v>367</v>
      </c>
      <c r="F49" s="3" t="s">
        <v>1487</v>
      </c>
      <c r="G49" s="3" t="s">
        <v>479</v>
      </c>
      <c r="T49" s="2" t="s">
        <v>1690</v>
      </c>
      <c r="U49" s="2" t="s">
        <v>763</v>
      </c>
    </row>
    <row r="50" spans="1:21">
      <c r="A50" t="s">
        <v>368</v>
      </c>
      <c r="B50" t="s">
        <v>369</v>
      </c>
      <c r="F50" s="3" t="s">
        <v>1491</v>
      </c>
      <c r="G50" s="3" t="s">
        <v>499</v>
      </c>
      <c r="T50" s="2" t="s">
        <v>1691</v>
      </c>
      <c r="U50" s="2" t="s">
        <v>765</v>
      </c>
    </row>
    <row r="51" spans="1:21">
      <c r="A51" t="s">
        <v>370</v>
      </c>
      <c r="B51" t="s">
        <v>371</v>
      </c>
      <c r="F51" s="3" t="s">
        <v>1495</v>
      </c>
      <c r="G51" s="3" t="s">
        <v>501</v>
      </c>
      <c r="T51" s="2" t="s">
        <v>1692</v>
      </c>
      <c r="U51" s="2" t="s">
        <v>767</v>
      </c>
    </row>
    <row r="52" spans="1:21">
      <c r="A52" t="s">
        <v>372</v>
      </c>
      <c r="B52" t="s">
        <v>373</v>
      </c>
      <c r="F52" s="3" t="s">
        <v>1499</v>
      </c>
      <c r="G52" s="3" t="s">
        <v>521</v>
      </c>
      <c r="T52" s="2" t="s">
        <v>1693</v>
      </c>
      <c r="U52" s="2" t="s">
        <v>769</v>
      </c>
    </row>
    <row r="53" spans="1:21">
      <c r="A53" t="s">
        <v>374</v>
      </c>
      <c r="B53" t="s">
        <v>375</v>
      </c>
      <c r="F53" s="3" t="s">
        <v>1503</v>
      </c>
      <c r="G53" s="3" t="s">
        <v>529</v>
      </c>
      <c r="T53" s="2" t="s">
        <v>1694</v>
      </c>
      <c r="U53" s="2" t="s">
        <v>773</v>
      </c>
    </row>
    <row r="54" spans="1:21">
      <c r="A54" t="s">
        <v>376</v>
      </c>
      <c r="B54" t="s">
        <v>377</v>
      </c>
      <c r="F54" s="3" t="s">
        <v>1507</v>
      </c>
      <c r="G54" s="3" t="s">
        <v>427</v>
      </c>
      <c r="T54" s="2" t="s">
        <v>1695</v>
      </c>
      <c r="U54" s="2" t="s">
        <v>775</v>
      </c>
    </row>
    <row r="55" spans="1:21">
      <c r="A55" t="s">
        <v>378</v>
      </c>
      <c r="B55" t="s">
        <v>379</v>
      </c>
      <c r="F55" s="3" t="s">
        <v>1511</v>
      </c>
      <c r="G55" s="3" t="s">
        <v>443</v>
      </c>
      <c r="T55" s="2" t="s">
        <v>1696</v>
      </c>
      <c r="U55" s="2" t="s">
        <v>777</v>
      </c>
    </row>
    <row r="56" spans="1:21">
      <c r="A56" t="s">
        <v>380</v>
      </c>
      <c r="B56" t="s">
        <v>381</v>
      </c>
      <c r="F56" s="3" t="s">
        <v>1515</v>
      </c>
      <c r="G56" s="3" t="s">
        <v>461</v>
      </c>
      <c r="T56" s="2" t="s">
        <v>1697</v>
      </c>
      <c r="U56" s="2" t="s">
        <v>779</v>
      </c>
    </row>
    <row r="57" spans="1:21">
      <c r="A57" t="s">
        <v>382</v>
      </c>
      <c r="B57" t="s">
        <v>383</v>
      </c>
      <c r="F57" s="3" t="s">
        <v>1519</v>
      </c>
      <c r="G57" s="3" t="s">
        <v>481</v>
      </c>
      <c r="T57" s="2" t="s">
        <v>1698</v>
      </c>
      <c r="U57" s="2" t="s">
        <v>781</v>
      </c>
    </row>
    <row r="58" spans="1:21">
      <c r="A58" t="s">
        <v>384</v>
      </c>
      <c r="B58" t="s">
        <v>385</v>
      </c>
      <c r="F58" s="3" t="s">
        <v>1523</v>
      </c>
      <c r="G58" s="3" t="s">
        <v>503</v>
      </c>
      <c r="T58" s="2" t="s">
        <v>1699</v>
      </c>
      <c r="U58" s="2" t="s">
        <v>783</v>
      </c>
    </row>
    <row r="59" spans="1:21">
      <c r="A59" t="s">
        <v>386</v>
      </c>
      <c r="B59" t="s">
        <v>387</v>
      </c>
      <c r="F59" s="3" t="s">
        <v>1527</v>
      </c>
      <c r="G59" s="3" t="s">
        <v>523</v>
      </c>
      <c r="T59" s="2" t="s">
        <v>1700</v>
      </c>
      <c r="U59" s="2" t="s">
        <v>785</v>
      </c>
    </row>
    <row r="60" spans="1:21">
      <c r="A60" t="s">
        <v>388</v>
      </c>
      <c r="B60" t="s">
        <v>389</v>
      </c>
      <c r="F60" s="3" t="s">
        <v>1531</v>
      </c>
      <c r="G60" s="3" t="s">
        <v>531</v>
      </c>
      <c r="T60" s="2" t="s">
        <v>1701</v>
      </c>
      <c r="U60" s="2" t="s">
        <v>787</v>
      </c>
    </row>
    <row r="61" spans="1:21">
      <c r="A61" t="s">
        <v>390</v>
      </c>
      <c r="B61" t="s">
        <v>391</v>
      </c>
      <c r="F61" s="3" t="s">
        <v>1535</v>
      </c>
      <c r="G61" s="3" t="s">
        <v>445</v>
      </c>
      <c r="T61" s="2" t="s">
        <v>1702</v>
      </c>
      <c r="U61" s="2" t="s">
        <v>789</v>
      </c>
    </row>
    <row r="62" spans="1:21">
      <c r="A62" t="s">
        <v>392</v>
      </c>
      <c r="B62" t="s">
        <v>393</v>
      </c>
      <c r="F62" s="3" t="s">
        <v>1539</v>
      </c>
      <c r="G62" s="3" t="s">
        <v>463</v>
      </c>
      <c r="T62" s="2" t="s">
        <v>1703</v>
      </c>
      <c r="U62" s="2" t="s">
        <v>791</v>
      </c>
    </row>
    <row r="63" spans="1:21">
      <c r="A63" t="s">
        <v>394</v>
      </c>
      <c r="B63" t="s">
        <v>395</v>
      </c>
      <c r="F63" s="3" t="s">
        <v>1543</v>
      </c>
      <c r="G63" s="3" t="s">
        <v>483</v>
      </c>
      <c r="T63" s="2" t="s">
        <v>1704</v>
      </c>
      <c r="U63" s="2" t="s">
        <v>793</v>
      </c>
    </row>
    <row r="64" spans="1:21">
      <c r="A64" t="s">
        <v>396</v>
      </c>
      <c r="B64" t="s">
        <v>397</v>
      </c>
      <c r="F64" s="3" t="s">
        <v>1547</v>
      </c>
      <c r="G64" s="3" t="s">
        <v>505</v>
      </c>
      <c r="T64" s="2" t="s">
        <v>1705</v>
      </c>
      <c r="U64" s="2" t="s">
        <v>795</v>
      </c>
    </row>
    <row r="65" spans="1:21">
      <c r="A65" t="s">
        <v>398</v>
      </c>
      <c r="B65" t="s">
        <v>399</v>
      </c>
      <c r="F65" s="3" t="s">
        <v>1551</v>
      </c>
      <c r="G65" s="3" t="s">
        <v>525</v>
      </c>
      <c r="T65" s="2" t="s">
        <v>1706</v>
      </c>
      <c r="U65" s="2" t="s">
        <v>797</v>
      </c>
    </row>
    <row r="66" spans="1:21">
      <c r="A66" t="s">
        <v>400</v>
      </c>
      <c r="B66" t="s">
        <v>401</v>
      </c>
      <c r="F66" s="3" t="s">
        <v>1555</v>
      </c>
      <c r="G66" s="3" t="s">
        <v>533</v>
      </c>
      <c r="T66" s="2" t="s">
        <v>1707</v>
      </c>
      <c r="U66" s="2" t="s">
        <v>799</v>
      </c>
    </row>
    <row r="67" spans="1:21">
      <c r="A67" t="s">
        <v>402</v>
      </c>
      <c r="B67" t="s">
        <v>403</v>
      </c>
      <c r="F67" s="3" t="s">
        <v>1559</v>
      </c>
      <c r="G67" s="3" t="s">
        <v>429</v>
      </c>
      <c r="T67" s="2" t="s">
        <v>1708</v>
      </c>
      <c r="U67" s="2" t="s">
        <v>801</v>
      </c>
    </row>
    <row r="68" spans="1:21">
      <c r="A68" t="s">
        <v>404</v>
      </c>
      <c r="B68" t="s">
        <v>405</v>
      </c>
      <c r="F68" s="3" t="s">
        <v>1563</v>
      </c>
      <c r="G68" s="3" t="s">
        <v>447</v>
      </c>
      <c r="T68" s="2" t="s">
        <v>1709</v>
      </c>
      <c r="U68" s="2" t="s">
        <v>803</v>
      </c>
    </row>
    <row r="69" spans="1:21">
      <c r="A69" t="s">
        <v>406</v>
      </c>
      <c r="B69" t="s">
        <v>407</v>
      </c>
      <c r="F69" s="3" t="s">
        <v>1567</v>
      </c>
      <c r="G69" s="3" t="s">
        <v>465</v>
      </c>
      <c r="T69" s="2" t="s">
        <v>1710</v>
      </c>
      <c r="U69" s="2" t="s">
        <v>805</v>
      </c>
    </row>
    <row r="70" spans="1:21">
      <c r="A70" t="s">
        <v>408</v>
      </c>
      <c r="B70" t="s">
        <v>409</v>
      </c>
      <c r="F70" s="3" t="s">
        <v>1571</v>
      </c>
      <c r="G70" s="3" t="s">
        <v>485</v>
      </c>
      <c r="T70" s="2" t="s">
        <v>1711</v>
      </c>
      <c r="U70" s="2" t="s">
        <v>807</v>
      </c>
    </row>
    <row r="71" spans="1:21">
      <c r="A71" t="s">
        <v>410</v>
      </c>
      <c r="B71" t="s">
        <v>411</v>
      </c>
      <c r="F71" s="3" t="s">
        <v>1575</v>
      </c>
      <c r="G71" s="3" t="s">
        <v>507</v>
      </c>
      <c r="T71" s="2" t="s">
        <v>1712</v>
      </c>
      <c r="U71" s="2" t="s">
        <v>809</v>
      </c>
    </row>
    <row r="72" spans="1:21">
      <c r="A72" t="s">
        <v>412</v>
      </c>
      <c r="B72" t="s">
        <v>413</v>
      </c>
      <c r="F72" s="3" t="s">
        <v>1579</v>
      </c>
      <c r="G72" s="3" t="s">
        <v>527</v>
      </c>
      <c r="T72" s="2" t="s">
        <v>1713</v>
      </c>
      <c r="U72" s="2" t="s">
        <v>811</v>
      </c>
    </row>
    <row r="73" spans="1:21">
      <c r="A73" t="s">
        <v>414</v>
      </c>
      <c r="B73" t="s">
        <v>415</v>
      </c>
      <c r="F73" s="3" t="s">
        <v>1583</v>
      </c>
      <c r="G73" s="3" t="s">
        <v>539</v>
      </c>
      <c r="T73" s="2" t="s">
        <v>1714</v>
      </c>
      <c r="U73" s="2" t="s">
        <v>813</v>
      </c>
    </row>
    <row r="74" spans="1:21">
      <c r="A74" t="s">
        <v>416</v>
      </c>
      <c r="B74" t="s">
        <v>417</v>
      </c>
      <c r="F74" s="3" t="s">
        <v>1587</v>
      </c>
      <c r="G74" s="3" t="s">
        <v>1267</v>
      </c>
      <c r="T74" s="2" t="s">
        <v>1715</v>
      </c>
      <c r="U74" s="2" t="s">
        <v>815</v>
      </c>
    </row>
    <row r="75" spans="1:21">
      <c r="A75" t="s">
        <v>418</v>
      </c>
      <c r="B75" t="s">
        <v>419</v>
      </c>
      <c r="F75" s="3" t="s">
        <v>1591</v>
      </c>
      <c r="G75" s="3" t="s">
        <v>1271</v>
      </c>
      <c r="T75" s="2" t="s">
        <v>1716</v>
      </c>
      <c r="U75" s="2" t="s">
        <v>817</v>
      </c>
    </row>
    <row r="76" spans="1:21">
      <c r="A76" t="s">
        <v>420</v>
      </c>
      <c r="B76" t="s">
        <v>421</v>
      </c>
      <c r="F76" s="3" t="s">
        <v>1595</v>
      </c>
      <c r="G76" s="3" t="s">
        <v>1269</v>
      </c>
      <c r="T76" s="2" t="s">
        <v>1717</v>
      </c>
      <c r="U76" s="2" t="s">
        <v>819</v>
      </c>
    </row>
    <row r="77" spans="1:21">
      <c r="A77" t="s">
        <v>422</v>
      </c>
      <c r="B77" t="s">
        <v>423</v>
      </c>
      <c r="F77" s="3" t="s">
        <v>1599</v>
      </c>
      <c r="G77" s="3" t="s">
        <v>1273</v>
      </c>
      <c r="T77" s="2" t="s">
        <v>1718</v>
      </c>
      <c r="U77" s="2" t="s">
        <v>821</v>
      </c>
    </row>
    <row r="78" spans="1:21">
      <c r="A78" t="s">
        <v>424</v>
      </c>
      <c r="B78" t="s">
        <v>425</v>
      </c>
      <c r="F78" s="3" t="s">
        <v>1300</v>
      </c>
      <c r="G78" s="3" t="s">
        <v>299</v>
      </c>
      <c r="T78" s="2" t="s">
        <v>1719</v>
      </c>
      <c r="U78" s="2" t="s">
        <v>823</v>
      </c>
    </row>
    <row r="79" spans="1:21">
      <c r="A79" t="s">
        <v>426</v>
      </c>
      <c r="B79" t="s">
        <v>427</v>
      </c>
      <c r="F79" s="3" t="s">
        <v>1304</v>
      </c>
      <c r="G79" s="3" t="s">
        <v>301</v>
      </c>
      <c r="T79" s="2" t="s">
        <v>1720</v>
      </c>
      <c r="U79" s="2" t="s">
        <v>825</v>
      </c>
    </row>
    <row r="80" spans="1:21">
      <c r="A80" t="s">
        <v>428</v>
      </c>
      <c r="B80" t="s">
        <v>429</v>
      </c>
      <c r="F80" s="3" t="s">
        <v>1308</v>
      </c>
      <c r="G80" s="3" t="s">
        <v>303</v>
      </c>
      <c r="T80" s="2" t="s">
        <v>1721</v>
      </c>
      <c r="U80" s="2" t="s">
        <v>953</v>
      </c>
    </row>
    <row r="81" spans="1:21">
      <c r="A81" t="s">
        <v>430</v>
      </c>
      <c r="B81" t="s">
        <v>431</v>
      </c>
      <c r="F81" s="3" t="s">
        <v>1312</v>
      </c>
      <c r="G81" s="3" t="s">
        <v>305</v>
      </c>
      <c r="T81" s="2" t="s">
        <v>1722</v>
      </c>
      <c r="U81" s="2" t="s">
        <v>955</v>
      </c>
    </row>
    <row r="82" spans="1:21">
      <c r="A82" t="s">
        <v>432</v>
      </c>
      <c r="B82" t="s">
        <v>433</v>
      </c>
      <c r="F82" s="3" t="s">
        <v>1316</v>
      </c>
      <c r="G82" s="3" t="s">
        <v>307</v>
      </c>
      <c r="T82" s="2" t="s">
        <v>1723</v>
      </c>
      <c r="U82" s="2" t="s">
        <v>957</v>
      </c>
    </row>
    <row r="83" spans="1:21">
      <c r="A83" t="s">
        <v>434</v>
      </c>
      <c r="B83" t="s">
        <v>435</v>
      </c>
      <c r="F83" s="3" t="s">
        <v>1320</v>
      </c>
      <c r="G83" s="3" t="s">
        <v>309</v>
      </c>
      <c r="T83" s="2" t="s">
        <v>1724</v>
      </c>
      <c r="U83" s="2" t="s">
        <v>959</v>
      </c>
    </row>
    <row r="84" spans="1:21">
      <c r="A84" t="s">
        <v>436</v>
      </c>
      <c r="B84" t="s">
        <v>437</v>
      </c>
      <c r="F84" s="3" t="s">
        <v>1324</v>
      </c>
      <c r="G84" s="3" t="s">
        <v>311</v>
      </c>
      <c r="T84" s="2" t="s">
        <v>1725</v>
      </c>
      <c r="U84" s="2" t="s">
        <v>961</v>
      </c>
    </row>
    <row r="85" spans="1:21">
      <c r="A85" t="s">
        <v>438</v>
      </c>
      <c r="B85" t="s">
        <v>439</v>
      </c>
      <c r="F85" s="3" t="s">
        <v>1328</v>
      </c>
      <c r="G85" s="3" t="s">
        <v>313</v>
      </c>
      <c r="T85" s="2" t="s">
        <v>1726</v>
      </c>
      <c r="U85" s="2" t="s">
        <v>963</v>
      </c>
    </row>
    <row r="86" spans="1:21">
      <c r="A86" t="s">
        <v>440</v>
      </c>
      <c r="B86" t="s">
        <v>441</v>
      </c>
      <c r="F86" s="3" t="s">
        <v>1332</v>
      </c>
      <c r="G86" s="3" t="s">
        <v>315</v>
      </c>
      <c r="T86" s="2" t="s">
        <v>1727</v>
      </c>
      <c r="U86" s="2" t="s">
        <v>965</v>
      </c>
    </row>
    <row r="87" spans="1:21">
      <c r="A87" t="s">
        <v>442</v>
      </c>
      <c r="B87" t="s">
        <v>443</v>
      </c>
      <c r="F87" s="3" t="s">
        <v>1336</v>
      </c>
      <c r="G87" s="3" t="s">
        <v>317</v>
      </c>
      <c r="T87" s="2" t="s">
        <v>1728</v>
      </c>
      <c r="U87" s="2" t="s">
        <v>967</v>
      </c>
    </row>
    <row r="88" spans="1:21">
      <c r="A88" t="s">
        <v>444</v>
      </c>
      <c r="B88" t="s">
        <v>445</v>
      </c>
      <c r="F88" s="3" t="s">
        <v>1340</v>
      </c>
      <c r="G88" s="3" t="s">
        <v>319</v>
      </c>
      <c r="T88" s="2" t="s">
        <v>1729</v>
      </c>
      <c r="U88" s="2" t="s">
        <v>969</v>
      </c>
    </row>
    <row r="89" spans="1:21">
      <c r="A89" t="s">
        <v>446</v>
      </c>
      <c r="B89" t="s">
        <v>447</v>
      </c>
      <c r="F89" s="3" t="s">
        <v>1344</v>
      </c>
      <c r="G89" s="3" t="s">
        <v>321</v>
      </c>
      <c r="T89" s="2" t="s">
        <v>1730</v>
      </c>
      <c r="U89" s="2" t="s">
        <v>971</v>
      </c>
    </row>
    <row r="90" spans="1:21">
      <c r="A90" t="s">
        <v>448</v>
      </c>
      <c r="B90" t="s">
        <v>449</v>
      </c>
      <c r="F90" s="3" t="s">
        <v>1348</v>
      </c>
      <c r="G90" s="3" t="s">
        <v>643</v>
      </c>
      <c r="T90" s="2" t="s">
        <v>1731</v>
      </c>
      <c r="U90" s="2" t="s">
        <v>973</v>
      </c>
    </row>
    <row r="91" spans="1:21">
      <c r="A91" t="s">
        <v>450</v>
      </c>
      <c r="B91" t="s">
        <v>451</v>
      </c>
      <c r="F91" s="3" t="s">
        <v>1352</v>
      </c>
      <c r="G91" s="3" t="s">
        <v>673</v>
      </c>
      <c r="T91" s="2" t="s">
        <v>1732</v>
      </c>
      <c r="U91" s="2" t="s">
        <v>975</v>
      </c>
    </row>
    <row r="92" spans="1:21">
      <c r="A92" t="s">
        <v>452</v>
      </c>
      <c r="B92" t="s">
        <v>453</v>
      </c>
      <c r="F92" s="3" t="s">
        <v>1356</v>
      </c>
      <c r="G92" s="3" t="s">
        <v>693</v>
      </c>
      <c r="T92" s="2" t="s">
        <v>1733</v>
      </c>
      <c r="U92" s="2" t="s">
        <v>979</v>
      </c>
    </row>
    <row r="93" spans="1:21">
      <c r="A93" t="s">
        <v>454</v>
      </c>
      <c r="B93" t="s">
        <v>455</v>
      </c>
      <c r="F93" s="3" t="s">
        <v>1360</v>
      </c>
      <c r="G93" s="3" t="s">
        <v>715</v>
      </c>
      <c r="T93" s="2" t="s">
        <v>1734</v>
      </c>
      <c r="U93" s="2" t="s">
        <v>981</v>
      </c>
    </row>
    <row r="94" spans="1:21">
      <c r="A94" t="s">
        <v>456</v>
      </c>
      <c r="B94" t="s">
        <v>457</v>
      </c>
      <c r="F94" s="3" t="s">
        <v>1364</v>
      </c>
      <c r="G94" s="3" t="s">
        <v>741</v>
      </c>
      <c r="T94" s="2" t="s">
        <v>1735</v>
      </c>
      <c r="U94" s="2" t="s">
        <v>983</v>
      </c>
    </row>
    <row r="95" spans="1:21">
      <c r="A95" t="s">
        <v>458</v>
      </c>
      <c r="B95" t="s">
        <v>459</v>
      </c>
      <c r="F95" s="3" t="s">
        <v>1368</v>
      </c>
      <c r="G95" s="3" t="s">
        <v>627</v>
      </c>
      <c r="T95" s="2" t="s">
        <v>1736</v>
      </c>
      <c r="U95" s="2" t="s">
        <v>985</v>
      </c>
    </row>
    <row r="96" spans="1:21">
      <c r="A96" t="s">
        <v>460</v>
      </c>
      <c r="B96" t="s">
        <v>461</v>
      </c>
      <c r="F96" s="3" t="s">
        <v>1372</v>
      </c>
      <c r="G96" s="3" t="s">
        <v>637</v>
      </c>
      <c r="T96" s="2" t="s">
        <v>1737</v>
      </c>
      <c r="U96" s="2" t="s">
        <v>987</v>
      </c>
    </row>
    <row r="97" spans="1:21">
      <c r="A97" t="s">
        <v>462</v>
      </c>
      <c r="B97" t="s">
        <v>463</v>
      </c>
      <c r="F97" s="3" t="s">
        <v>1376</v>
      </c>
      <c r="G97" s="3" t="s">
        <v>655</v>
      </c>
      <c r="T97" s="2" t="s">
        <v>1738</v>
      </c>
      <c r="U97" s="2" t="s">
        <v>989</v>
      </c>
    </row>
    <row r="98" spans="1:21">
      <c r="A98" t="s">
        <v>464</v>
      </c>
      <c r="B98" t="s">
        <v>465</v>
      </c>
      <c r="F98" s="3" t="s">
        <v>1380</v>
      </c>
      <c r="G98" s="3" t="s">
        <v>675</v>
      </c>
      <c r="T98" s="2" t="s">
        <v>1739</v>
      </c>
      <c r="U98" s="2" t="s">
        <v>991</v>
      </c>
    </row>
    <row r="99" spans="1:21">
      <c r="A99" t="s">
        <v>466</v>
      </c>
      <c r="B99" t="s">
        <v>467</v>
      </c>
      <c r="F99" s="3" t="s">
        <v>1384</v>
      </c>
      <c r="G99" s="3" t="s">
        <v>695</v>
      </c>
      <c r="T99" s="2" t="s">
        <v>1740</v>
      </c>
      <c r="U99" s="2" t="s">
        <v>993</v>
      </c>
    </row>
    <row r="100" spans="1:21">
      <c r="A100" t="s">
        <v>468</v>
      </c>
      <c r="B100" t="s">
        <v>469</v>
      </c>
      <c r="F100" s="3" t="s">
        <v>1388</v>
      </c>
      <c r="G100" s="3" t="s">
        <v>717</v>
      </c>
      <c r="T100" s="2" t="s">
        <v>1741</v>
      </c>
      <c r="U100" s="2" t="s">
        <v>995</v>
      </c>
    </row>
    <row r="101" spans="1:21">
      <c r="A101" t="s">
        <v>470</v>
      </c>
      <c r="B101" t="s">
        <v>471</v>
      </c>
      <c r="F101" s="3" t="s">
        <v>1392</v>
      </c>
      <c r="G101" s="3" t="s">
        <v>629</v>
      </c>
      <c r="T101" s="2" t="s">
        <v>1742</v>
      </c>
      <c r="U101" s="2" t="s">
        <v>997</v>
      </c>
    </row>
    <row r="102" spans="1:21">
      <c r="A102" t="s">
        <v>472</v>
      </c>
      <c r="B102" t="s">
        <v>473</v>
      </c>
      <c r="F102" s="3" t="s">
        <v>1396</v>
      </c>
      <c r="G102" s="3" t="s">
        <v>639</v>
      </c>
      <c r="T102" s="2" t="s">
        <v>1743</v>
      </c>
      <c r="U102" s="2" t="s">
        <v>999</v>
      </c>
    </row>
    <row r="103" spans="1:21">
      <c r="A103" t="s">
        <v>474</v>
      </c>
      <c r="B103" t="s">
        <v>475</v>
      </c>
      <c r="F103" s="3" t="s">
        <v>1400</v>
      </c>
      <c r="G103" s="3" t="s">
        <v>657</v>
      </c>
      <c r="T103" s="2" t="s">
        <v>1744</v>
      </c>
      <c r="U103" s="2" t="s">
        <v>1001</v>
      </c>
    </row>
    <row r="104" spans="1:21">
      <c r="A104" t="s">
        <v>476</v>
      </c>
      <c r="B104" t="s">
        <v>477</v>
      </c>
      <c r="F104" s="3" t="s">
        <v>1404</v>
      </c>
      <c r="G104" s="3" t="s">
        <v>677</v>
      </c>
      <c r="T104" s="2" t="s">
        <v>1745</v>
      </c>
      <c r="U104" s="2" t="s">
        <v>1003</v>
      </c>
    </row>
    <row r="105" spans="1:21">
      <c r="A105" t="s">
        <v>478</v>
      </c>
      <c r="B105" t="s">
        <v>479</v>
      </c>
      <c r="F105" s="3" t="s">
        <v>1408</v>
      </c>
      <c r="G105" s="3" t="s">
        <v>697</v>
      </c>
      <c r="T105" s="2" t="s">
        <v>1746</v>
      </c>
      <c r="U105" s="2" t="s">
        <v>1005</v>
      </c>
    </row>
    <row r="106" spans="1:21">
      <c r="A106" t="s">
        <v>480</v>
      </c>
      <c r="B106" t="s">
        <v>481</v>
      </c>
      <c r="F106" s="3" t="s">
        <v>1412</v>
      </c>
      <c r="G106" s="3" t="s">
        <v>719</v>
      </c>
      <c r="T106" s="2" t="s">
        <v>1747</v>
      </c>
      <c r="U106" s="2" t="s">
        <v>1007</v>
      </c>
    </row>
    <row r="107" spans="1:21">
      <c r="A107" t="s">
        <v>482</v>
      </c>
      <c r="B107" t="s">
        <v>483</v>
      </c>
      <c r="F107" s="3" t="s">
        <v>1416</v>
      </c>
      <c r="G107" s="3" t="s">
        <v>743</v>
      </c>
      <c r="T107" s="2" t="s">
        <v>1748</v>
      </c>
      <c r="U107" s="2" t="s">
        <v>1009</v>
      </c>
    </row>
    <row r="108" spans="1:21">
      <c r="A108" t="s">
        <v>484</v>
      </c>
      <c r="B108" t="s">
        <v>485</v>
      </c>
      <c r="F108" s="3" t="s">
        <v>1420</v>
      </c>
      <c r="G108" s="3" t="s">
        <v>631</v>
      </c>
      <c r="T108" s="2" t="s">
        <v>1749</v>
      </c>
      <c r="U108" s="2" t="s">
        <v>1011</v>
      </c>
    </row>
    <row r="109" spans="1:21">
      <c r="A109" t="s">
        <v>486</v>
      </c>
      <c r="B109" t="s">
        <v>487</v>
      </c>
      <c r="F109" s="3" t="s">
        <v>1424</v>
      </c>
      <c r="G109" s="3" t="s">
        <v>659</v>
      </c>
      <c r="T109" s="2" t="s">
        <v>1750</v>
      </c>
      <c r="U109" s="2" t="s">
        <v>1013</v>
      </c>
    </row>
    <row r="110" spans="1:21">
      <c r="A110" t="s">
        <v>488</v>
      </c>
      <c r="B110" t="s">
        <v>489</v>
      </c>
      <c r="F110" s="3" t="s">
        <v>1428</v>
      </c>
      <c r="G110" s="3" t="s">
        <v>679</v>
      </c>
      <c r="T110" s="2" t="s">
        <v>1751</v>
      </c>
      <c r="U110" s="2" t="s">
        <v>1015</v>
      </c>
    </row>
    <row r="111" spans="1:21">
      <c r="A111" t="s">
        <v>490</v>
      </c>
      <c r="B111" t="s">
        <v>491</v>
      </c>
      <c r="F111" s="3" t="s">
        <v>1432</v>
      </c>
      <c r="G111" s="3" t="s">
        <v>699</v>
      </c>
      <c r="T111" s="2" t="s">
        <v>1752</v>
      </c>
      <c r="U111" s="2" t="s">
        <v>1017</v>
      </c>
    </row>
    <row r="112" spans="1:21">
      <c r="A112" t="s">
        <v>492</v>
      </c>
      <c r="B112" t="s">
        <v>493</v>
      </c>
      <c r="F112" s="3" t="s">
        <v>1436</v>
      </c>
      <c r="G112" s="3" t="s">
        <v>721</v>
      </c>
      <c r="T112" s="2" t="s">
        <v>1753</v>
      </c>
      <c r="U112" s="2" t="s">
        <v>1019</v>
      </c>
    </row>
    <row r="113" spans="1:21">
      <c r="A113" t="s">
        <v>494</v>
      </c>
      <c r="B113" t="s">
        <v>495</v>
      </c>
      <c r="F113" s="3" t="s">
        <v>1440</v>
      </c>
      <c r="G113" s="3" t="s">
        <v>641</v>
      </c>
      <c r="T113" s="2" t="s">
        <v>1754</v>
      </c>
      <c r="U113" s="2" t="s">
        <v>1021</v>
      </c>
    </row>
    <row r="114" spans="1:21">
      <c r="A114" t="s">
        <v>496</v>
      </c>
      <c r="B114" t="s">
        <v>497</v>
      </c>
      <c r="F114" s="3" t="s">
        <v>1444</v>
      </c>
      <c r="G114" s="3" t="s">
        <v>645</v>
      </c>
      <c r="T114" s="2" t="s">
        <v>1755</v>
      </c>
      <c r="U114" s="2" t="s">
        <v>1756</v>
      </c>
    </row>
    <row r="115" spans="1:21">
      <c r="A115" t="s">
        <v>498</v>
      </c>
      <c r="B115" t="s">
        <v>499</v>
      </c>
      <c r="F115" s="3" t="s">
        <v>1448</v>
      </c>
      <c r="G115" s="3" t="s">
        <v>661</v>
      </c>
      <c r="T115" s="2" t="s">
        <v>1757</v>
      </c>
      <c r="U115" s="2" t="s">
        <v>1025</v>
      </c>
    </row>
    <row r="116" spans="1:21">
      <c r="A116" t="s">
        <v>500</v>
      </c>
      <c r="B116" t="s">
        <v>501</v>
      </c>
      <c r="F116" s="3" t="s">
        <v>1452</v>
      </c>
      <c r="G116" s="3" t="s">
        <v>681</v>
      </c>
      <c r="T116" s="2" t="s">
        <v>1758</v>
      </c>
      <c r="U116" s="2" t="s">
        <v>1027</v>
      </c>
    </row>
    <row r="117" spans="1:21">
      <c r="A117" t="s">
        <v>502</v>
      </c>
      <c r="B117" t="s">
        <v>503</v>
      </c>
      <c r="F117" s="3" t="s">
        <v>1456</v>
      </c>
      <c r="G117" s="3" t="s">
        <v>701</v>
      </c>
      <c r="T117" s="2" t="s">
        <v>1759</v>
      </c>
      <c r="U117" s="2" t="s">
        <v>1029</v>
      </c>
    </row>
    <row r="118" spans="1:21">
      <c r="A118" t="s">
        <v>504</v>
      </c>
      <c r="B118" t="s">
        <v>505</v>
      </c>
      <c r="F118" s="3" t="s">
        <v>1460</v>
      </c>
      <c r="G118" s="3" t="s">
        <v>723</v>
      </c>
      <c r="T118" s="2" t="s">
        <v>1760</v>
      </c>
      <c r="U118" s="2" t="s">
        <v>1031</v>
      </c>
    </row>
    <row r="119" spans="1:21">
      <c r="A119" t="s">
        <v>506</v>
      </c>
      <c r="B119" t="s">
        <v>507</v>
      </c>
      <c r="F119" s="3" t="s">
        <v>1464</v>
      </c>
      <c r="G119" s="3" t="s">
        <v>647</v>
      </c>
      <c r="T119" s="2" t="s">
        <v>1761</v>
      </c>
      <c r="U119" s="2" t="s">
        <v>1159</v>
      </c>
    </row>
    <row r="120" spans="1:21">
      <c r="A120" t="s">
        <v>508</v>
      </c>
      <c r="B120" t="s">
        <v>509</v>
      </c>
      <c r="F120" s="3" t="s">
        <v>1468</v>
      </c>
      <c r="G120" s="3" t="s">
        <v>663</v>
      </c>
      <c r="T120" s="2" t="s">
        <v>1762</v>
      </c>
      <c r="U120" s="2" t="s">
        <v>1161</v>
      </c>
    </row>
    <row r="121" spans="1:21">
      <c r="A121" t="s">
        <v>510</v>
      </c>
      <c r="B121" t="s">
        <v>511</v>
      </c>
      <c r="F121" s="3" t="s">
        <v>1472</v>
      </c>
      <c r="G121" s="3" t="s">
        <v>683</v>
      </c>
      <c r="T121" s="2" t="s">
        <v>1763</v>
      </c>
      <c r="U121" s="2" t="s">
        <v>1163</v>
      </c>
    </row>
    <row r="122" spans="1:21">
      <c r="A122" t="s">
        <v>512</v>
      </c>
      <c r="B122" t="s">
        <v>513</v>
      </c>
      <c r="F122" s="3" t="s">
        <v>1476</v>
      </c>
      <c r="G122" s="3" t="s">
        <v>703</v>
      </c>
      <c r="T122" s="2" t="s">
        <v>1764</v>
      </c>
      <c r="U122" s="2" t="s">
        <v>1165</v>
      </c>
    </row>
    <row r="123" spans="1:21">
      <c r="A123" t="s">
        <v>514</v>
      </c>
      <c r="B123" t="s">
        <v>515</v>
      </c>
      <c r="F123" s="3" t="s">
        <v>1480</v>
      </c>
      <c r="G123" s="3" t="s">
        <v>725</v>
      </c>
      <c r="T123" s="2" t="s">
        <v>1765</v>
      </c>
      <c r="U123" s="2" t="s">
        <v>1167</v>
      </c>
    </row>
    <row r="124" spans="1:21">
      <c r="A124" t="s">
        <v>516</v>
      </c>
      <c r="B124" t="s">
        <v>517</v>
      </c>
      <c r="F124" s="3" t="s">
        <v>1484</v>
      </c>
      <c r="G124" s="3" t="s">
        <v>665</v>
      </c>
      <c r="T124" s="2" t="s">
        <v>1766</v>
      </c>
      <c r="U124" s="2" t="s">
        <v>1169</v>
      </c>
    </row>
    <row r="125" spans="1:21">
      <c r="A125" t="s">
        <v>518</v>
      </c>
      <c r="B125" t="s">
        <v>519</v>
      </c>
      <c r="F125" s="3" t="s">
        <v>1488</v>
      </c>
      <c r="G125" s="3" t="s">
        <v>685</v>
      </c>
      <c r="T125" s="2" t="s">
        <v>1767</v>
      </c>
      <c r="U125" s="2" t="s">
        <v>1171</v>
      </c>
    </row>
    <row r="126" spans="1:21">
      <c r="A126" t="s">
        <v>520</v>
      </c>
      <c r="B126" t="s">
        <v>521</v>
      </c>
      <c r="F126" s="3" t="s">
        <v>1492</v>
      </c>
      <c r="G126" s="3" t="s">
        <v>705</v>
      </c>
      <c r="T126" s="2" t="s">
        <v>1768</v>
      </c>
      <c r="U126" s="2" t="s">
        <v>1173</v>
      </c>
    </row>
    <row r="127" spans="1:21">
      <c r="A127" t="s">
        <v>522</v>
      </c>
      <c r="B127" t="s">
        <v>523</v>
      </c>
      <c r="F127" s="3" t="s">
        <v>1496</v>
      </c>
      <c r="G127" s="3" t="s">
        <v>707</v>
      </c>
      <c r="T127" s="2" t="s">
        <v>1769</v>
      </c>
      <c r="U127" s="2" t="s">
        <v>1175</v>
      </c>
    </row>
    <row r="128" spans="1:21">
      <c r="A128" t="s">
        <v>524</v>
      </c>
      <c r="B128" t="s">
        <v>525</v>
      </c>
      <c r="F128" s="3" t="s">
        <v>1500</v>
      </c>
      <c r="G128" s="3" t="s">
        <v>727</v>
      </c>
      <c r="T128" s="2" t="s">
        <v>1770</v>
      </c>
      <c r="U128" s="2" t="s">
        <v>1177</v>
      </c>
    </row>
    <row r="129" spans="1:21">
      <c r="A129" t="s">
        <v>526</v>
      </c>
      <c r="B129" t="s">
        <v>527</v>
      </c>
      <c r="F129" s="3" t="s">
        <v>1504</v>
      </c>
      <c r="G129" s="3" t="s">
        <v>735</v>
      </c>
      <c r="T129" s="2" t="s">
        <v>1771</v>
      </c>
      <c r="U129" s="2" t="s">
        <v>1179</v>
      </c>
    </row>
    <row r="130" spans="1:21">
      <c r="A130" t="s">
        <v>528</v>
      </c>
      <c r="B130" t="s">
        <v>529</v>
      </c>
      <c r="F130" s="3" t="s">
        <v>1508</v>
      </c>
      <c r="G130" s="3" t="s">
        <v>633</v>
      </c>
      <c r="T130" s="2" t="s">
        <v>1772</v>
      </c>
      <c r="U130" s="2" t="s">
        <v>1181</v>
      </c>
    </row>
    <row r="131" spans="1:21">
      <c r="A131" t="s">
        <v>530</v>
      </c>
      <c r="B131" t="s">
        <v>531</v>
      </c>
      <c r="F131" s="3" t="s">
        <v>1512</v>
      </c>
      <c r="G131" s="3" t="s">
        <v>649</v>
      </c>
      <c r="T131" s="2" t="s">
        <v>1773</v>
      </c>
      <c r="U131" s="2" t="s">
        <v>1185</v>
      </c>
    </row>
    <row r="132" spans="1:21">
      <c r="A132" t="s">
        <v>532</v>
      </c>
      <c r="B132" t="s">
        <v>533</v>
      </c>
      <c r="F132" s="3" t="s">
        <v>1516</v>
      </c>
      <c r="G132" s="3" t="s">
        <v>667</v>
      </c>
      <c r="T132" s="2" t="s">
        <v>1774</v>
      </c>
      <c r="U132" s="2" t="s">
        <v>1187</v>
      </c>
    </row>
    <row r="133" spans="1:21">
      <c r="A133" t="s">
        <v>534</v>
      </c>
      <c r="B133" t="s">
        <v>535</v>
      </c>
      <c r="F133" s="3" t="s">
        <v>1520</v>
      </c>
      <c r="G133" s="3" t="s">
        <v>687</v>
      </c>
      <c r="T133" s="2" t="s">
        <v>1775</v>
      </c>
      <c r="U133" s="2" t="s">
        <v>1189</v>
      </c>
    </row>
    <row r="134" spans="1:21">
      <c r="A134" t="s">
        <v>536</v>
      </c>
      <c r="B134" t="s">
        <v>537</v>
      </c>
      <c r="F134" s="3" t="s">
        <v>1524</v>
      </c>
      <c r="G134" s="3" t="s">
        <v>709</v>
      </c>
      <c r="T134" s="2" t="s">
        <v>1776</v>
      </c>
      <c r="U134" s="2" t="s">
        <v>1191</v>
      </c>
    </row>
    <row r="135" spans="1:21">
      <c r="A135" t="s">
        <v>538</v>
      </c>
      <c r="B135" t="s">
        <v>539</v>
      </c>
      <c r="F135" s="3" t="s">
        <v>1528</v>
      </c>
      <c r="G135" s="3" t="s">
        <v>729</v>
      </c>
      <c r="T135" s="2" t="s">
        <v>1777</v>
      </c>
      <c r="U135" s="2" t="s">
        <v>1193</v>
      </c>
    </row>
    <row r="136" spans="1:21">
      <c r="A136" t="s">
        <v>540</v>
      </c>
      <c r="B136" t="s">
        <v>541</v>
      </c>
      <c r="F136" s="3" t="s">
        <v>1532</v>
      </c>
      <c r="G136" s="3" t="s">
        <v>737</v>
      </c>
      <c r="T136" s="2" t="s">
        <v>1778</v>
      </c>
      <c r="U136" s="2" t="s">
        <v>1195</v>
      </c>
    </row>
    <row r="137" spans="1:21">
      <c r="A137" t="s">
        <v>542</v>
      </c>
      <c r="B137" t="s">
        <v>543</v>
      </c>
      <c r="F137" s="3" t="s">
        <v>1536</v>
      </c>
      <c r="G137" s="3" t="s">
        <v>651</v>
      </c>
      <c r="T137" s="2" t="s">
        <v>1779</v>
      </c>
      <c r="U137" s="2" t="s">
        <v>1197</v>
      </c>
    </row>
    <row r="138" spans="1:21">
      <c r="A138" t="s">
        <v>544</v>
      </c>
      <c r="B138" t="s">
        <v>545</v>
      </c>
      <c r="F138" s="3" t="s">
        <v>1540</v>
      </c>
      <c r="G138" s="3" t="s">
        <v>669</v>
      </c>
      <c r="T138" s="2" t="s">
        <v>1780</v>
      </c>
      <c r="U138" s="2" t="s">
        <v>1199</v>
      </c>
    </row>
    <row r="139" spans="1:21">
      <c r="A139" t="s">
        <v>546</v>
      </c>
      <c r="B139" t="s">
        <v>547</v>
      </c>
      <c r="F139" s="3" t="s">
        <v>1544</v>
      </c>
      <c r="G139" s="3" t="s">
        <v>689</v>
      </c>
      <c r="T139" s="2" t="s">
        <v>1781</v>
      </c>
      <c r="U139" s="2" t="s">
        <v>1201</v>
      </c>
    </row>
    <row r="140" spans="1:21">
      <c r="A140" t="s">
        <v>548</v>
      </c>
      <c r="B140" t="s">
        <v>549</v>
      </c>
      <c r="F140" s="3" t="s">
        <v>1548</v>
      </c>
      <c r="G140" s="3" t="s">
        <v>711</v>
      </c>
      <c r="T140" s="2" t="s">
        <v>1782</v>
      </c>
      <c r="U140" s="2" t="s">
        <v>1203</v>
      </c>
    </row>
    <row r="141" spans="1:21">
      <c r="A141" t="s">
        <v>550</v>
      </c>
      <c r="B141" t="s">
        <v>551</v>
      </c>
      <c r="F141" s="3" t="s">
        <v>1552</v>
      </c>
      <c r="G141" s="3" t="s">
        <v>731</v>
      </c>
      <c r="T141" s="2" t="s">
        <v>1783</v>
      </c>
      <c r="U141" s="2" t="s">
        <v>1205</v>
      </c>
    </row>
    <row r="142" spans="1:21">
      <c r="A142" t="s">
        <v>552</v>
      </c>
      <c r="B142" t="s">
        <v>553</v>
      </c>
      <c r="F142" s="3" t="s">
        <v>1556</v>
      </c>
      <c r="G142" s="3" t="s">
        <v>739</v>
      </c>
      <c r="T142" s="2" t="s">
        <v>1784</v>
      </c>
      <c r="U142" s="2" t="s">
        <v>1207</v>
      </c>
    </row>
    <row r="143" spans="1:21">
      <c r="A143" t="s">
        <v>554</v>
      </c>
      <c r="B143" t="s">
        <v>555</v>
      </c>
      <c r="F143" s="3" t="s">
        <v>1560</v>
      </c>
      <c r="G143" s="3" t="s">
        <v>635</v>
      </c>
      <c r="T143" s="2" t="s">
        <v>1785</v>
      </c>
      <c r="U143" s="2" t="s">
        <v>1209</v>
      </c>
    </row>
    <row r="144" spans="1:21">
      <c r="A144" t="s">
        <v>556</v>
      </c>
      <c r="B144" t="s">
        <v>557</v>
      </c>
      <c r="F144" s="3" t="s">
        <v>1564</v>
      </c>
      <c r="G144" s="3" t="s">
        <v>653</v>
      </c>
      <c r="T144" s="2" t="s">
        <v>1786</v>
      </c>
      <c r="U144" s="2" t="s">
        <v>1211</v>
      </c>
    </row>
    <row r="145" spans="1:21">
      <c r="A145" t="s">
        <v>558</v>
      </c>
      <c r="B145" t="s">
        <v>559</v>
      </c>
      <c r="F145" s="3" t="s">
        <v>1568</v>
      </c>
      <c r="G145" s="3" t="s">
        <v>671</v>
      </c>
      <c r="T145" s="2" t="s">
        <v>1787</v>
      </c>
      <c r="U145" s="2" t="s">
        <v>1213</v>
      </c>
    </row>
    <row r="146" spans="1:21">
      <c r="A146" t="s">
        <v>560</v>
      </c>
      <c r="B146" t="s">
        <v>561</v>
      </c>
      <c r="F146" s="3" t="s">
        <v>1572</v>
      </c>
      <c r="G146" s="3" t="s">
        <v>691</v>
      </c>
      <c r="T146" s="2" t="s">
        <v>1788</v>
      </c>
      <c r="U146" s="2" t="s">
        <v>1215</v>
      </c>
    </row>
    <row r="147" spans="1:21">
      <c r="A147" t="s">
        <v>562</v>
      </c>
      <c r="B147" t="s">
        <v>563</v>
      </c>
      <c r="F147" s="3" t="s">
        <v>1576</v>
      </c>
      <c r="G147" s="3" t="s">
        <v>713</v>
      </c>
      <c r="T147" s="2" t="s">
        <v>1789</v>
      </c>
      <c r="U147" s="2" t="s">
        <v>1217</v>
      </c>
    </row>
    <row r="148" spans="1:21">
      <c r="A148" t="s">
        <v>564</v>
      </c>
      <c r="B148" t="s">
        <v>565</v>
      </c>
      <c r="F148" s="3" t="s">
        <v>1580</v>
      </c>
      <c r="G148" s="3" t="s">
        <v>733</v>
      </c>
      <c r="T148" s="2" t="s">
        <v>1790</v>
      </c>
      <c r="U148" s="2" t="s">
        <v>1219</v>
      </c>
    </row>
    <row r="149" spans="1:21">
      <c r="A149" t="s">
        <v>566</v>
      </c>
      <c r="B149" t="s">
        <v>567</v>
      </c>
      <c r="F149" s="3" t="s">
        <v>1584</v>
      </c>
      <c r="G149" s="3" t="s">
        <v>745</v>
      </c>
      <c r="T149" s="2" t="s">
        <v>1791</v>
      </c>
      <c r="U149" s="2" t="s">
        <v>1221</v>
      </c>
    </row>
    <row r="150" spans="1:21">
      <c r="A150" t="s">
        <v>568</v>
      </c>
      <c r="B150" t="s">
        <v>569</v>
      </c>
      <c r="F150" s="3" t="s">
        <v>1588</v>
      </c>
      <c r="G150" s="3" t="s">
        <v>1275</v>
      </c>
      <c r="T150" s="2" t="s">
        <v>1792</v>
      </c>
      <c r="U150" s="2" t="s">
        <v>1223</v>
      </c>
    </row>
    <row r="151" spans="1:21">
      <c r="A151" t="s">
        <v>570</v>
      </c>
      <c r="B151" t="s">
        <v>571</v>
      </c>
      <c r="F151" s="3" t="s">
        <v>1592</v>
      </c>
      <c r="G151" s="3" t="s">
        <v>1279</v>
      </c>
      <c r="T151" s="2" t="s">
        <v>1793</v>
      </c>
      <c r="U151" s="2" t="s">
        <v>1225</v>
      </c>
    </row>
    <row r="152" spans="1:21">
      <c r="A152" t="s">
        <v>572</v>
      </c>
      <c r="B152" t="s">
        <v>573</v>
      </c>
      <c r="F152" s="3" t="s">
        <v>1596</v>
      </c>
      <c r="G152" s="3" t="s">
        <v>1277</v>
      </c>
      <c r="T152" s="2" t="s">
        <v>1794</v>
      </c>
      <c r="U152" s="2" t="s">
        <v>1227</v>
      </c>
    </row>
    <row r="153" spans="1:21">
      <c r="A153" t="s">
        <v>574</v>
      </c>
      <c r="B153" t="s">
        <v>575</v>
      </c>
      <c r="F153" s="3" t="s">
        <v>1600</v>
      </c>
      <c r="G153" s="3" t="s">
        <v>1281</v>
      </c>
      <c r="T153" s="2" t="s">
        <v>1795</v>
      </c>
      <c r="U153" s="2" t="s">
        <v>1229</v>
      </c>
    </row>
    <row r="154" spans="1:21">
      <c r="A154" t="s">
        <v>576</v>
      </c>
      <c r="B154" t="s">
        <v>577</v>
      </c>
      <c r="F154" s="3" t="s">
        <v>1301</v>
      </c>
      <c r="G154" s="3" t="s">
        <v>323</v>
      </c>
      <c r="T154" s="2" t="s">
        <v>1796</v>
      </c>
      <c r="U154" s="2" t="s">
        <v>1231</v>
      </c>
    </row>
    <row r="155" spans="1:21">
      <c r="A155" t="s">
        <v>578</v>
      </c>
      <c r="B155" t="s">
        <v>579</v>
      </c>
      <c r="F155" s="3" t="s">
        <v>1305</v>
      </c>
      <c r="G155" s="3" t="s">
        <v>325</v>
      </c>
      <c r="T155" s="2" t="s">
        <v>1797</v>
      </c>
      <c r="U155" s="2" t="s">
        <v>1233</v>
      </c>
    </row>
    <row r="156" spans="1:21">
      <c r="A156" t="s">
        <v>580</v>
      </c>
      <c r="B156" t="s">
        <v>581</v>
      </c>
      <c r="F156" s="3" t="s">
        <v>1309</v>
      </c>
      <c r="G156" s="3" t="s">
        <v>327</v>
      </c>
      <c r="T156" s="2" t="s">
        <v>1798</v>
      </c>
      <c r="U156" s="2" t="s">
        <v>1235</v>
      </c>
    </row>
    <row r="157" spans="1:21">
      <c r="A157" t="s">
        <v>582</v>
      </c>
      <c r="B157" t="s">
        <v>583</v>
      </c>
      <c r="F157" s="3" t="s">
        <v>1313</v>
      </c>
      <c r="G157" s="3" t="s">
        <v>329</v>
      </c>
      <c r="T157" s="2" t="s">
        <v>1799</v>
      </c>
      <c r="U157" s="2" t="s">
        <v>1237</v>
      </c>
    </row>
    <row r="158" spans="1:21">
      <c r="A158" t="s">
        <v>584</v>
      </c>
      <c r="B158" t="s">
        <v>585</v>
      </c>
      <c r="F158" s="3" t="s">
        <v>1317</v>
      </c>
      <c r="G158" s="3" t="s">
        <v>331</v>
      </c>
    </row>
    <row r="159" spans="1:21">
      <c r="A159" t="s">
        <v>586</v>
      </c>
      <c r="B159" t="s">
        <v>587</v>
      </c>
      <c r="F159" s="3" t="s">
        <v>1321</v>
      </c>
      <c r="G159" s="3" t="s">
        <v>333</v>
      </c>
    </row>
    <row r="160" spans="1:21">
      <c r="A160" t="s">
        <v>588</v>
      </c>
      <c r="B160" t="s">
        <v>589</v>
      </c>
      <c r="F160" s="3" t="s">
        <v>1325</v>
      </c>
      <c r="G160" s="3" t="s">
        <v>335</v>
      </c>
    </row>
    <row r="161" spans="1:7">
      <c r="A161" t="s">
        <v>590</v>
      </c>
      <c r="B161" t="s">
        <v>591</v>
      </c>
      <c r="F161" s="3" t="s">
        <v>1329</v>
      </c>
      <c r="G161" s="3" t="s">
        <v>337</v>
      </c>
    </row>
    <row r="162" spans="1:7">
      <c r="A162" t="s">
        <v>592</v>
      </c>
      <c r="B162" t="s">
        <v>593</v>
      </c>
      <c r="F162" s="3" t="s">
        <v>1333</v>
      </c>
      <c r="G162" s="3" t="s">
        <v>339</v>
      </c>
    </row>
    <row r="163" spans="1:7">
      <c r="A163" t="s">
        <v>594</v>
      </c>
      <c r="B163" t="s">
        <v>595</v>
      </c>
      <c r="F163" s="3" t="s">
        <v>1337</v>
      </c>
      <c r="G163" s="3" t="s">
        <v>341</v>
      </c>
    </row>
    <row r="164" spans="1:7">
      <c r="A164" t="s">
        <v>596</v>
      </c>
      <c r="B164" t="s">
        <v>597</v>
      </c>
      <c r="F164" s="3" t="s">
        <v>1341</v>
      </c>
      <c r="G164" s="3" t="s">
        <v>343</v>
      </c>
    </row>
    <row r="165" spans="1:7">
      <c r="A165" t="s">
        <v>598</v>
      </c>
      <c r="B165" t="s">
        <v>599</v>
      </c>
      <c r="F165" s="3" t="s">
        <v>1345</v>
      </c>
      <c r="G165" s="3" t="s">
        <v>345</v>
      </c>
    </row>
    <row r="166" spans="1:7">
      <c r="A166" t="s">
        <v>600</v>
      </c>
      <c r="B166" t="s">
        <v>601</v>
      </c>
      <c r="F166" s="3" t="s">
        <v>1349</v>
      </c>
      <c r="G166" s="3" t="s">
        <v>849</v>
      </c>
    </row>
    <row r="167" spans="1:7">
      <c r="A167" t="s">
        <v>602</v>
      </c>
      <c r="B167" t="s">
        <v>603</v>
      </c>
      <c r="F167" s="3" t="s">
        <v>1353</v>
      </c>
      <c r="G167" s="3" t="s">
        <v>879</v>
      </c>
    </row>
    <row r="168" spans="1:7">
      <c r="A168" t="s">
        <v>604</v>
      </c>
      <c r="B168" t="s">
        <v>605</v>
      </c>
      <c r="F168" s="3" t="s">
        <v>1357</v>
      </c>
      <c r="G168" s="3" t="s">
        <v>899</v>
      </c>
    </row>
    <row r="169" spans="1:7">
      <c r="A169" t="s">
        <v>606</v>
      </c>
      <c r="B169" t="s">
        <v>607</v>
      </c>
      <c r="F169" s="3" t="s">
        <v>1361</v>
      </c>
      <c r="G169" s="3" t="s">
        <v>921</v>
      </c>
    </row>
    <row r="170" spans="1:7">
      <c r="A170" t="s">
        <v>608</v>
      </c>
      <c r="B170" t="s">
        <v>609</v>
      </c>
      <c r="F170" s="3" t="s">
        <v>1365</v>
      </c>
      <c r="G170" s="3" t="s">
        <v>947</v>
      </c>
    </row>
    <row r="171" spans="1:7">
      <c r="A171" t="s">
        <v>610</v>
      </c>
      <c r="B171" t="s">
        <v>611</v>
      </c>
      <c r="F171" s="3" t="s">
        <v>1369</v>
      </c>
      <c r="G171" s="3" t="s">
        <v>833</v>
      </c>
    </row>
    <row r="172" spans="1:7">
      <c r="A172" t="s">
        <v>612</v>
      </c>
      <c r="B172" t="s">
        <v>613</v>
      </c>
      <c r="F172" s="3" t="s">
        <v>1373</v>
      </c>
      <c r="G172" s="3" t="s">
        <v>843</v>
      </c>
    </row>
    <row r="173" spans="1:7">
      <c r="A173" t="s">
        <v>614</v>
      </c>
      <c r="B173" t="s">
        <v>615</v>
      </c>
      <c r="F173" s="3" t="s">
        <v>1377</v>
      </c>
      <c r="G173" s="3" t="s">
        <v>861</v>
      </c>
    </row>
    <row r="174" spans="1:7">
      <c r="A174" t="s">
        <v>616</v>
      </c>
      <c r="B174" t="s">
        <v>617</v>
      </c>
      <c r="F174" s="3" t="s">
        <v>1381</v>
      </c>
      <c r="G174" s="3" t="s">
        <v>881</v>
      </c>
    </row>
    <row r="175" spans="1:7">
      <c r="A175" t="s">
        <v>618</v>
      </c>
      <c r="B175" t="s">
        <v>619</v>
      </c>
      <c r="F175" s="3" t="s">
        <v>1385</v>
      </c>
      <c r="G175" s="3" t="s">
        <v>901</v>
      </c>
    </row>
    <row r="176" spans="1:7">
      <c r="A176" t="s">
        <v>620</v>
      </c>
      <c r="B176" t="s">
        <v>621</v>
      </c>
      <c r="F176" s="3" t="s">
        <v>1389</v>
      </c>
      <c r="G176" s="3" t="s">
        <v>923</v>
      </c>
    </row>
    <row r="177" spans="1:7">
      <c r="A177" t="s">
        <v>622</v>
      </c>
      <c r="B177" t="s">
        <v>623</v>
      </c>
      <c r="F177" s="3" t="s">
        <v>1393</v>
      </c>
      <c r="G177" s="3" t="s">
        <v>835</v>
      </c>
    </row>
    <row r="178" spans="1:7">
      <c r="A178" t="s">
        <v>624</v>
      </c>
      <c r="B178" t="s">
        <v>625</v>
      </c>
      <c r="F178" s="3" t="s">
        <v>1397</v>
      </c>
      <c r="G178" s="3" t="s">
        <v>845</v>
      </c>
    </row>
    <row r="179" spans="1:7">
      <c r="A179" t="s">
        <v>626</v>
      </c>
      <c r="B179" t="s">
        <v>627</v>
      </c>
      <c r="F179" s="3" t="s">
        <v>1401</v>
      </c>
      <c r="G179" s="3" t="s">
        <v>863</v>
      </c>
    </row>
    <row r="180" spans="1:7">
      <c r="A180" t="s">
        <v>628</v>
      </c>
      <c r="B180" t="s">
        <v>629</v>
      </c>
      <c r="F180" s="3" t="s">
        <v>1405</v>
      </c>
      <c r="G180" s="3" t="s">
        <v>883</v>
      </c>
    </row>
    <row r="181" spans="1:7">
      <c r="A181" t="s">
        <v>630</v>
      </c>
      <c r="B181" t="s">
        <v>631</v>
      </c>
      <c r="F181" s="3" t="s">
        <v>1409</v>
      </c>
      <c r="G181" s="3" t="s">
        <v>903</v>
      </c>
    </row>
    <row r="182" spans="1:7">
      <c r="A182" t="s">
        <v>632</v>
      </c>
      <c r="B182" t="s">
        <v>633</v>
      </c>
      <c r="F182" s="3" t="s">
        <v>1413</v>
      </c>
      <c r="G182" s="3" t="s">
        <v>925</v>
      </c>
    </row>
    <row r="183" spans="1:7">
      <c r="A183" t="s">
        <v>634</v>
      </c>
      <c r="B183" t="s">
        <v>635</v>
      </c>
      <c r="F183" s="3" t="s">
        <v>1417</v>
      </c>
      <c r="G183" s="3" t="s">
        <v>949</v>
      </c>
    </row>
    <row r="184" spans="1:7">
      <c r="A184" t="s">
        <v>636</v>
      </c>
      <c r="B184" t="s">
        <v>637</v>
      </c>
      <c r="F184" s="3" t="s">
        <v>1421</v>
      </c>
      <c r="G184" s="3" t="s">
        <v>837</v>
      </c>
    </row>
    <row r="185" spans="1:7">
      <c r="A185" t="s">
        <v>638</v>
      </c>
      <c r="B185" t="s">
        <v>639</v>
      </c>
      <c r="F185" s="3" t="s">
        <v>1425</v>
      </c>
      <c r="G185" s="3" t="s">
        <v>865</v>
      </c>
    </row>
    <row r="186" spans="1:7">
      <c r="A186" t="s">
        <v>640</v>
      </c>
      <c r="B186" t="s">
        <v>641</v>
      </c>
      <c r="F186" s="3" t="s">
        <v>1429</v>
      </c>
      <c r="G186" s="3" t="s">
        <v>885</v>
      </c>
    </row>
    <row r="187" spans="1:7">
      <c r="A187" t="s">
        <v>642</v>
      </c>
      <c r="B187" t="s">
        <v>643</v>
      </c>
      <c r="F187" s="3" t="s">
        <v>1433</v>
      </c>
      <c r="G187" s="3" t="s">
        <v>905</v>
      </c>
    </row>
    <row r="188" spans="1:7">
      <c r="A188" t="s">
        <v>644</v>
      </c>
      <c r="B188" t="s">
        <v>645</v>
      </c>
      <c r="F188" s="3" t="s">
        <v>1437</v>
      </c>
      <c r="G188" s="3" t="s">
        <v>927</v>
      </c>
    </row>
    <row r="189" spans="1:7">
      <c r="A189" t="s">
        <v>646</v>
      </c>
      <c r="B189" t="s">
        <v>647</v>
      </c>
      <c r="F189" s="3" t="s">
        <v>1441</v>
      </c>
      <c r="G189" s="3" t="s">
        <v>847</v>
      </c>
    </row>
    <row r="190" spans="1:7">
      <c r="A190" t="s">
        <v>648</v>
      </c>
      <c r="B190" t="s">
        <v>649</v>
      </c>
      <c r="F190" s="3" t="s">
        <v>1445</v>
      </c>
      <c r="G190" s="3" t="s">
        <v>851</v>
      </c>
    </row>
    <row r="191" spans="1:7">
      <c r="A191" t="s">
        <v>650</v>
      </c>
      <c r="B191" t="s">
        <v>651</v>
      </c>
      <c r="F191" s="3" t="s">
        <v>1449</v>
      </c>
      <c r="G191" s="3" t="s">
        <v>867</v>
      </c>
    </row>
    <row r="192" spans="1:7">
      <c r="A192" t="s">
        <v>652</v>
      </c>
      <c r="B192" t="s">
        <v>653</v>
      </c>
      <c r="F192" s="3" t="s">
        <v>1453</v>
      </c>
      <c r="G192" s="3" t="s">
        <v>887</v>
      </c>
    </row>
    <row r="193" spans="1:7">
      <c r="A193" t="s">
        <v>654</v>
      </c>
      <c r="B193" t="s">
        <v>655</v>
      </c>
      <c r="F193" s="3" t="s">
        <v>1457</v>
      </c>
      <c r="G193" s="3" t="s">
        <v>907</v>
      </c>
    </row>
    <row r="194" spans="1:7">
      <c r="A194" t="s">
        <v>656</v>
      </c>
      <c r="B194" t="s">
        <v>657</v>
      </c>
      <c r="F194" s="3" t="s">
        <v>1461</v>
      </c>
      <c r="G194" s="3" t="s">
        <v>929</v>
      </c>
    </row>
    <row r="195" spans="1:7">
      <c r="A195" t="s">
        <v>658</v>
      </c>
      <c r="B195" t="s">
        <v>659</v>
      </c>
      <c r="F195" s="3" t="s">
        <v>1465</v>
      </c>
      <c r="G195" s="3" t="s">
        <v>853</v>
      </c>
    </row>
    <row r="196" spans="1:7">
      <c r="A196" t="s">
        <v>660</v>
      </c>
      <c r="B196" t="s">
        <v>661</v>
      </c>
      <c r="F196" s="3" t="s">
        <v>1469</v>
      </c>
      <c r="G196" s="3" t="s">
        <v>869</v>
      </c>
    </row>
    <row r="197" spans="1:7">
      <c r="A197" t="s">
        <v>662</v>
      </c>
      <c r="B197" t="s">
        <v>663</v>
      </c>
      <c r="F197" s="3" t="s">
        <v>1473</v>
      </c>
      <c r="G197" s="3" t="s">
        <v>889</v>
      </c>
    </row>
    <row r="198" spans="1:7">
      <c r="A198" t="s">
        <v>664</v>
      </c>
      <c r="B198" t="s">
        <v>665</v>
      </c>
      <c r="F198" s="3" t="s">
        <v>1477</v>
      </c>
      <c r="G198" s="3" t="s">
        <v>909</v>
      </c>
    </row>
    <row r="199" spans="1:7">
      <c r="A199" t="s">
        <v>666</v>
      </c>
      <c r="B199" t="s">
        <v>667</v>
      </c>
      <c r="F199" s="3" t="s">
        <v>1481</v>
      </c>
      <c r="G199" s="3" t="s">
        <v>931</v>
      </c>
    </row>
    <row r="200" spans="1:7">
      <c r="A200" t="s">
        <v>668</v>
      </c>
      <c r="B200" t="s">
        <v>669</v>
      </c>
      <c r="F200" s="3" t="s">
        <v>1485</v>
      </c>
      <c r="G200" s="3" t="s">
        <v>871</v>
      </c>
    </row>
    <row r="201" spans="1:7">
      <c r="A201" t="s">
        <v>670</v>
      </c>
      <c r="B201" t="s">
        <v>671</v>
      </c>
      <c r="F201" s="3" t="s">
        <v>1489</v>
      </c>
      <c r="G201" s="3" t="s">
        <v>891</v>
      </c>
    </row>
    <row r="202" spans="1:7">
      <c r="A202" t="s">
        <v>672</v>
      </c>
      <c r="B202" t="s">
        <v>673</v>
      </c>
      <c r="F202" s="3" t="s">
        <v>1493</v>
      </c>
      <c r="G202" s="3" t="s">
        <v>911</v>
      </c>
    </row>
    <row r="203" spans="1:7">
      <c r="A203" t="s">
        <v>674</v>
      </c>
      <c r="B203" t="s">
        <v>675</v>
      </c>
      <c r="F203" s="3" t="s">
        <v>1497</v>
      </c>
      <c r="G203" s="3" t="s">
        <v>913</v>
      </c>
    </row>
    <row r="204" spans="1:7">
      <c r="A204" t="s">
        <v>676</v>
      </c>
      <c r="B204" t="s">
        <v>677</v>
      </c>
      <c r="F204" s="3" t="s">
        <v>1501</v>
      </c>
      <c r="G204" s="3" t="s">
        <v>933</v>
      </c>
    </row>
    <row r="205" spans="1:7">
      <c r="A205" t="s">
        <v>678</v>
      </c>
      <c r="B205" t="s">
        <v>679</v>
      </c>
      <c r="F205" s="3" t="s">
        <v>1505</v>
      </c>
      <c r="G205" s="3" t="s">
        <v>941</v>
      </c>
    </row>
    <row r="206" spans="1:7">
      <c r="A206" t="s">
        <v>680</v>
      </c>
      <c r="B206" t="s">
        <v>681</v>
      </c>
      <c r="F206" s="3" t="s">
        <v>1509</v>
      </c>
      <c r="G206" s="3" t="s">
        <v>839</v>
      </c>
    </row>
    <row r="207" spans="1:7">
      <c r="A207" t="s">
        <v>682</v>
      </c>
      <c r="B207" t="s">
        <v>683</v>
      </c>
      <c r="F207" s="3" t="s">
        <v>1513</v>
      </c>
      <c r="G207" s="3" t="s">
        <v>855</v>
      </c>
    </row>
    <row r="208" spans="1:7">
      <c r="A208" t="s">
        <v>684</v>
      </c>
      <c r="B208" t="s">
        <v>685</v>
      </c>
      <c r="F208" s="3" t="s">
        <v>1517</v>
      </c>
      <c r="G208" s="3" t="s">
        <v>873</v>
      </c>
    </row>
    <row r="209" spans="1:7">
      <c r="A209" t="s">
        <v>686</v>
      </c>
      <c r="B209" t="s">
        <v>687</v>
      </c>
      <c r="F209" s="3" t="s">
        <v>1521</v>
      </c>
      <c r="G209" s="3" t="s">
        <v>893</v>
      </c>
    </row>
    <row r="210" spans="1:7">
      <c r="A210" t="s">
        <v>688</v>
      </c>
      <c r="B210" t="s">
        <v>689</v>
      </c>
      <c r="F210" s="3" t="s">
        <v>1525</v>
      </c>
      <c r="G210" s="3" t="s">
        <v>915</v>
      </c>
    </row>
    <row r="211" spans="1:7">
      <c r="A211" t="s">
        <v>690</v>
      </c>
      <c r="B211" t="s">
        <v>691</v>
      </c>
      <c r="F211" s="3" t="s">
        <v>1529</v>
      </c>
      <c r="G211" s="3" t="s">
        <v>935</v>
      </c>
    </row>
    <row r="212" spans="1:7">
      <c r="A212" t="s">
        <v>692</v>
      </c>
      <c r="B212" t="s">
        <v>693</v>
      </c>
      <c r="F212" s="3" t="s">
        <v>1533</v>
      </c>
      <c r="G212" s="3" t="s">
        <v>943</v>
      </c>
    </row>
    <row r="213" spans="1:7">
      <c r="A213" t="s">
        <v>694</v>
      </c>
      <c r="B213" t="s">
        <v>695</v>
      </c>
      <c r="F213" s="3" t="s">
        <v>1537</v>
      </c>
      <c r="G213" s="3" t="s">
        <v>857</v>
      </c>
    </row>
    <row r="214" spans="1:7">
      <c r="A214" t="s">
        <v>696</v>
      </c>
      <c r="B214" t="s">
        <v>697</v>
      </c>
      <c r="F214" s="3" t="s">
        <v>1541</v>
      </c>
      <c r="G214" s="3" t="s">
        <v>875</v>
      </c>
    </row>
    <row r="215" spans="1:7">
      <c r="A215" t="s">
        <v>698</v>
      </c>
      <c r="B215" t="s">
        <v>699</v>
      </c>
      <c r="F215" s="3" t="s">
        <v>1545</v>
      </c>
      <c r="G215" s="3" t="s">
        <v>895</v>
      </c>
    </row>
    <row r="216" spans="1:7">
      <c r="A216" t="s">
        <v>700</v>
      </c>
      <c r="B216" t="s">
        <v>701</v>
      </c>
      <c r="F216" s="3" t="s">
        <v>1549</v>
      </c>
      <c r="G216" s="3" t="s">
        <v>917</v>
      </c>
    </row>
    <row r="217" spans="1:7">
      <c r="A217" t="s">
        <v>702</v>
      </c>
      <c r="B217" t="s">
        <v>703</v>
      </c>
      <c r="F217" s="3" t="s">
        <v>1553</v>
      </c>
      <c r="G217" s="3" t="s">
        <v>937</v>
      </c>
    </row>
    <row r="218" spans="1:7">
      <c r="A218" t="s">
        <v>704</v>
      </c>
      <c r="B218" t="s">
        <v>705</v>
      </c>
      <c r="F218" s="3" t="s">
        <v>1557</v>
      </c>
      <c r="G218" s="3" t="s">
        <v>945</v>
      </c>
    </row>
    <row r="219" spans="1:7">
      <c r="A219" t="s">
        <v>706</v>
      </c>
      <c r="B219" t="s">
        <v>707</v>
      </c>
      <c r="F219" s="3" t="s">
        <v>1561</v>
      </c>
      <c r="G219" s="3" t="s">
        <v>841</v>
      </c>
    </row>
    <row r="220" spans="1:7">
      <c r="A220" t="s">
        <v>708</v>
      </c>
      <c r="B220" t="s">
        <v>709</v>
      </c>
      <c r="F220" s="3" t="s">
        <v>1565</v>
      </c>
      <c r="G220" s="3" t="s">
        <v>859</v>
      </c>
    </row>
    <row r="221" spans="1:7">
      <c r="A221" t="s">
        <v>710</v>
      </c>
      <c r="B221" t="s">
        <v>711</v>
      </c>
      <c r="F221" s="3" t="s">
        <v>1569</v>
      </c>
      <c r="G221" s="3" t="s">
        <v>877</v>
      </c>
    </row>
    <row r="222" spans="1:7">
      <c r="A222" t="s">
        <v>712</v>
      </c>
      <c r="B222" t="s">
        <v>713</v>
      </c>
      <c r="F222" s="3" t="s">
        <v>1573</v>
      </c>
      <c r="G222" s="3" t="s">
        <v>897</v>
      </c>
    </row>
    <row r="223" spans="1:7">
      <c r="A223" t="s">
        <v>714</v>
      </c>
      <c r="B223" t="s">
        <v>715</v>
      </c>
      <c r="F223" s="3" t="s">
        <v>1577</v>
      </c>
      <c r="G223" s="3" t="s">
        <v>919</v>
      </c>
    </row>
    <row r="224" spans="1:7">
      <c r="A224" t="s">
        <v>716</v>
      </c>
      <c r="B224" t="s">
        <v>717</v>
      </c>
      <c r="F224" s="3" t="s">
        <v>1581</v>
      </c>
      <c r="G224" s="3" t="s">
        <v>939</v>
      </c>
    </row>
    <row r="225" spans="1:7">
      <c r="A225" t="s">
        <v>718</v>
      </c>
      <c r="B225" t="s">
        <v>719</v>
      </c>
      <c r="F225" s="3" t="s">
        <v>1585</v>
      </c>
      <c r="G225" s="3" t="s">
        <v>951</v>
      </c>
    </row>
    <row r="226" spans="1:7">
      <c r="A226" t="s">
        <v>720</v>
      </c>
      <c r="B226" t="s">
        <v>721</v>
      </c>
      <c r="F226" s="3" t="s">
        <v>1589</v>
      </c>
      <c r="G226" s="3" t="s">
        <v>1283</v>
      </c>
    </row>
    <row r="227" spans="1:7">
      <c r="A227" t="s">
        <v>722</v>
      </c>
      <c r="B227" t="s">
        <v>723</v>
      </c>
      <c r="F227" s="3" t="s">
        <v>1593</v>
      </c>
      <c r="G227" s="3" t="s">
        <v>1287</v>
      </c>
    </row>
    <row r="228" spans="1:7">
      <c r="A228" t="s">
        <v>724</v>
      </c>
      <c r="B228" t="s">
        <v>725</v>
      </c>
      <c r="F228" s="3" t="s">
        <v>1597</v>
      </c>
      <c r="G228" s="3" t="s">
        <v>1285</v>
      </c>
    </row>
    <row r="229" spans="1:7">
      <c r="A229" t="s">
        <v>726</v>
      </c>
      <c r="B229" t="s">
        <v>727</v>
      </c>
      <c r="F229" s="3" t="s">
        <v>1601</v>
      </c>
      <c r="G229" s="3" t="s">
        <v>1289</v>
      </c>
    </row>
    <row r="230" spans="1:7">
      <c r="A230" t="s">
        <v>728</v>
      </c>
      <c r="B230" t="s">
        <v>729</v>
      </c>
      <c r="F230" s="3" t="s">
        <v>1302</v>
      </c>
      <c r="G230" s="3" t="s">
        <v>347</v>
      </c>
    </row>
    <row r="231" spans="1:7">
      <c r="A231" t="s">
        <v>730</v>
      </c>
      <c r="B231" t="s">
        <v>731</v>
      </c>
      <c r="F231" s="3" t="s">
        <v>1306</v>
      </c>
      <c r="G231" s="3" t="s">
        <v>349</v>
      </c>
    </row>
    <row r="232" spans="1:7">
      <c r="A232" t="s">
        <v>732</v>
      </c>
      <c r="B232" t="s">
        <v>733</v>
      </c>
      <c r="F232" s="3" t="s">
        <v>1310</v>
      </c>
      <c r="G232" s="3" t="s">
        <v>351</v>
      </c>
    </row>
    <row r="233" spans="1:7">
      <c r="A233" t="s">
        <v>734</v>
      </c>
      <c r="B233" t="s">
        <v>735</v>
      </c>
      <c r="F233" s="3" t="s">
        <v>1314</v>
      </c>
      <c r="G233" s="3" t="s">
        <v>353</v>
      </c>
    </row>
    <row r="234" spans="1:7">
      <c r="A234" t="s">
        <v>736</v>
      </c>
      <c r="B234" t="s">
        <v>737</v>
      </c>
      <c r="F234" s="3" t="s">
        <v>1318</v>
      </c>
      <c r="G234" s="3" t="s">
        <v>355</v>
      </c>
    </row>
    <row r="235" spans="1:7">
      <c r="A235" t="s">
        <v>738</v>
      </c>
      <c r="B235" t="s">
        <v>739</v>
      </c>
      <c r="F235" s="3" t="s">
        <v>1322</v>
      </c>
      <c r="G235" s="3" t="s">
        <v>357</v>
      </c>
    </row>
    <row r="236" spans="1:7">
      <c r="A236" t="s">
        <v>740</v>
      </c>
      <c r="B236" t="s">
        <v>741</v>
      </c>
      <c r="F236" s="3" t="s">
        <v>1326</v>
      </c>
      <c r="G236" s="3" t="s">
        <v>359</v>
      </c>
    </row>
    <row r="237" spans="1:7">
      <c r="A237" t="s">
        <v>742</v>
      </c>
      <c r="B237" t="s">
        <v>743</v>
      </c>
      <c r="F237" s="3" t="s">
        <v>1330</v>
      </c>
      <c r="G237" s="3" t="s">
        <v>361</v>
      </c>
    </row>
    <row r="238" spans="1:7">
      <c r="A238" t="s">
        <v>744</v>
      </c>
      <c r="B238" t="s">
        <v>745</v>
      </c>
      <c r="F238" s="3" t="s">
        <v>1334</v>
      </c>
      <c r="G238" s="3" t="s">
        <v>363</v>
      </c>
    </row>
    <row r="239" spans="1:7">
      <c r="A239" t="s">
        <v>746</v>
      </c>
      <c r="B239" t="s">
        <v>747</v>
      </c>
      <c r="F239" s="3" t="s">
        <v>1338</v>
      </c>
      <c r="G239" s="3" t="s">
        <v>365</v>
      </c>
    </row>
    <row r="240" spans="1:7">
      <c r="A240" t="s">
        <v>748</v>
      </c>
      <c r="B240" t="s">
        <v>749</v>
      </c>
      <c r="F240" s="3" t="s">
        <v>1342</v>
      </c>
      <c r="G240" s="3" t="s">
        <v>367</v>
      </c>
    </row>
    <row r="241" spans="1:7">
      <c r="A241" t="s">
        <v>750</v>
      </c>
      <c r="B241" t="s">
        <v>751</v>
      </c>
      <c r="F241" s="3" t="s">
        <v>1346</v>
      </c>
      <c r="G241" s="3" t="s">
        <v>369</v>
      </c>
    </row>
    <row r="242" spans="1:7">
      <c r="A242" t="s">
        <v>752</v>
      </c>
      <c r="B242" t="s">
        <v>753</v>
      </c>
      <c r="F242" s="3" t="s">
        <v>1350</v>
      </c>
      <c r="G242" s="3" t="s">
        <v>1055</v>
      </c>
    </row>
    <row r="243" spans="1:7">
      <c r="A243" t="s">
        <v>754</v>
      </c>
      <c r="B243" t="s">
        <v>755</v>
      </c>
      <c r="F243" s="3" t="s">
        <v>1354</v>
      </c>
      <c r="G243" s="3" t="s">
        <v>1085</v>
      </c>
    </row>
    <row r="244" spans="1:7">
      <c r="A244" t="s">
        <v>756</v>
      </c>
      <c r="B244" t="s">
        <v>757</v>
      </c>
      <c r="F244" s="3" t="s">
        <v>1358</v>
      </c>
      <c r="G244" s="3" t="s">
        <v>1105</v>
      </c>
    </row>
    <row r="245" spans="1:7">
      <c r="A245" t="s">
        <v>758</v>
      </c>
      <c r="B245" t="s">
        <v>759</v>
      </c>
      <c r="F245" s="3" t="s">
        <v>1362</v>
      </c>
      <c r="G245" s="3" t="s">
        <v>1127</v>
      </c>
    </row>
    <row r="246" spans="1:7">
      <c r="A246" t="s">
        <v>760</v>
      </c>
      <c r="B246" t="s">
        <v>761</v>
      </c>
      <c r="F246" s="3" t="s">
        <v>1366</v>
      </c>
      <c r="G246" s="3" t="s">
        <v>1153</v>
      </c>
    </row>
    <row r="247" spans="1:7">
      <c r="A247" t="s">
        <v>762</v>
      </c>
      <c r="B247" t="s">
        <v>763</v>
      </c>
      <c r="F247" s="3" t="s">
        <v>1370</v>
      </c>
      <c r="G247" s="3" t="s">
        <v>1039</v>
      </c>
    </row>
    <row r="248" spans="1:7">
      <c r="A248" t="s">
        <v>764</v>
      </c>
      <c r="B248" t="s">
        <v>765</v>
      </c>
      <c r="F248" s="3" t="s">
        <v>1374</v>
      </c>
      <c r="G248" s="3" t="s">
        <v>1049</v>
      </c>
    </row>
    <row r="249" spans="1:7">
      <c r="A249" t="s">
        <v>766</v>
      </c>
      <c r="B249" t="s">
        <v>767</v>
      </c>
      <c r="F249" s="3" t="s">
        <v>1378</v>
      </c>
      <c r="G249" s="3" t="s">
        <v>1067</v>
      </c>
    </row>
    <row r="250" spans="1:7">
      <c r="A250" t="s">
        <v>768</v>
      </c>
      <c r="B250" t="s">
        <v>769</v>
      </c>
      <c r="F250" s="3" t="s">
        <v>1382</v>
      </c>
      <c r="G250" s="3" t="s">
        <v>1087</v>
      </c>
    </row>
    <row r="251" spans="1:7">
      <c r="A251" t="s">
        <v>770</v>
      </c>
      <c r="B251" t="s">
        <v>771</v>
      </c>
      <c r="F251" s="3" t="s">
        <v>1386</v>
      </c>
      <c r="G251" s="3" t="s">
        <v>1107</v>
      </c>
    </row>
    <row r="252" spans="1:7">
      <c r="A252" t="s">
        <v>772</v>
      </c>
      <c r="B252" t="s">
        <v>773</v>
      </c>
      <c r="F252" s="3" t="s">
        <v>1390</v>
      </c>
      <c r="G252" s="3" t="s">
        <v>1129</v>
      </c>
    </row>
    <row r="253" spans="1:7">
      <c r="A253" t="s">
        <v>774</v>
      </c>
      <c r="B253" t="s">
        <v>775</v>
      </c>
      <c r="F253" s="3" t="s">
        <v>1394</v>
      </c>
      <c r="G253" s="3" t="s">
        <v>1041</v>
      </c>
    </row>
    <row r="254" spans="1:7">
      <c r="A254" t="s">
        <v>776</v>
      </c>
      <c r="B254" t="s">
        <v>777</v>
      </c>
      <c r="F254" s="3" t="s">
        <v>1398</v>
      </c>
      <c r="G254" s="3" t="s">
        <v>1051</v>
      </c>
    </row>
    <row r="255" spans="1:7">
      <c r="A255" t="s">
        <v>778</v>
      </c>
      <c r="B255" t="s">
        <v>779</v>
      </c>
      <c r="F255" s="3" t="s">
        <v>1402</v>
      </c>
      <c r="G255" s="3" t="s">
        <v>1069</v>
      </c>
    </row>
    <row r="256" spans="1:7">
      <c r="A256" t="s">
        <v>780</v>
      </c>
      <c r="B256" t="s">
        <v>781</v>
      </c>
      <c r="F256" s="3" t="s">
        <v>1406</v>
      </c>
      <c r="G256" s="3" t="s">
        <v>1089</v>
      </c>
    </row>
    <row r="257" spans="1:7">
      <c r="A257" t="s">
        <v>782</v>
      </c>
      <c r="B257" t="s">
        <v>783</v>
      </c>
      <c r="F257" s="3" t="s">
        <v>1410</v>
      </c>
      <c r="G257" s="3" t="s">
        <v>1109</v>
      </c>
    </row>
    <row r="258" spans="1:7">
      <c r="A258" t="s">
        <v>784</v>
      </c>
      <c r="B258" t="s">
        <v>785</v>
      </c>
      <c r="F258" s="3" t="s">
        <v>1414</v>
      </c>
      <c r="G258" s="3" t="s">
        <v>1131</v>
      </c>
    </row>
    <row r="259" spans="1:7">
      <c r="A259" t="s">
        <v>786</v>
      </c>
      <c r="B259" t="s">
        <v>787</v>
      </c>
      <c r="F259" s="3" t="s">
        <v>1418</v>
      </c>
      <c r="G259" s="3" t="s">
        <v>1155</v>
      </c>
    </row>
    <row r="260" spans="1:7">
      <c r="A260" t="s">
        <v>788</v>
      </c>
      <c r="B260" t="s">
        <v>789</v>
      </c>
      <c r="F260" s="3" t="s">
        <v>1422</v>
      </c>
      <c r="G260" s="3" t="s">
        <v>1043</v>
      </c>
    </row>
    <row r="261" spans="1:7">
      <c r="A261" t="s">
        <v>790</v>
      </c>
      <c r="B261" t="s">
        <v>791</v>
      </c>
      <c r="F261" s="3" t="s">
        <v>1426</v>
      </c>
      <c r="G261" s="3" t="s">
        <v>1071</v>
      </c>
    </row>
    <row r="262" spans="1:7">
      <c r="A262" t="s">
        <v>792</v>
      </c>
      <c r="B262" t="s">
        <v>793</v>
      </c>
      <c r="F262" s="3" t="s">
        <v>1430</v>
      </c>
      <c r="G262" s="3" t="s">
        <v>1091</v>
      </c>
    </row>
    <row r="263" spans="1:7">
      <c r="A263" t="s">
        <v>794</v>
      </c>
      <c r="B263" t="s">
        <v>795</v>
      </c>
      <c r="F263" s="3" t="s">
        <v>1434</v>
      </c>
      <c r="G263" s="3" t="s">
        <v>1111</v>
      </c>
    </row>
    <row r="264" spans="1:7">
      <c r="A264" t="s">
        <v>796</v>
      </c>
      <c r="B264" t="s">
        <v>797</v>
      </c>
      <c r="F264" s="3" t="s">
        <v>1438</v>
      </c>
      <c r="G264" s="3" t="s">
        <v>1133</v>
      </c>
    </row>
    <row r="265" spans="1:7">
      <c r="A265" t="s">
        <v>798</v>
      </c>
      <c r="B265" t="s">
        <v>799</v>
      </c>
      <c r="F265" s="3" t="s">
        <v>1442</v>
      </c>
      <c r="G265" s="3" t="s">
        <v>1053</v>
      </c>
    </row>
    <row r="266" spans="1:7">
      <c r="A266" t="s">
        <v>800</v>
      </c>
      <c r="B266" t="s">
        <v>801</v>
      </c>
      <c r="F266" s="3" t="s">
        <v>1446</v>
      </c>
      <c r="G266" s="3" t="s">
        <v>1057</v>
      </c>
    </row>
    <row r="267" spans="1:7">
      <c r="A267" t="s">
        <v>802</v>
      </c>
      <c r="B267" t="s">
        <v>803</v>
      </c>
      <c r="F267" s="3" t="s">
        <v>1450</v>
      </c>
      <c r="G267" s="3" t="s">
        <v>1073</v>
      </c>
    </row>
    <row r="268" spans="1:7">
      <c r="A268" t="s">
        <v>804</v>
      </c>
      <c r="B268" t="s">
        <v>805</v>
      </c>
      <c r="F268" s="3" t="s">
        <v>1454</v>
      </c>
      <c r="G268" s="3" t="s">
        <v>1093</v>
      </c>
    </row>
    <row r="269" spans="1:7">
      <c r="A269" t="s">
        <v>806</v>
      </c>
      <c r="B269" t="s">
        <v>807</v>
      </c>
      <c r="F269" s="3" t="s">
        <v>1458</v>
      </c>
      <c r="G269" s="3" t="s">
        <v>1113</v>
      </c>
    </row>
    <row r="270" spans="1:7">
      <c r="A270" t="s">
        <v>808</v>
      </c>
      <c r="B270" t="s">
        <v>809</v>
      </c>
      <c r="F270" s="3" t="s">
        <v>1462</v>
      </c>
      <c r="G270" s="3" t="s">
        <v>1135</v>
      </c>
    </row>
    <row r="271" spans="1:7">
      <c r="A271" t="s">
        <v>810</v>
      </c>
      <c r="B271" t="s">
        <v>811</v>
      </c>
      <c r="F271" s="3" t="s">
        <v>1466</v>
      </c>
      <c r="G271" s="3" t="s">
        <v>1059</v>
      </c>
    </row>
    <row r="272" spans="1:7">
      <c r="A272" t="s">
        <v>812</v>
      </c>
      <c r="B272" t="s">
        <v>813</v>
      </c>
      <c r="F272" s="3" t="s">
        <v>1470</v>
      </c>
      <c r="G272" s="3" t="s">
        <v>1075</v>
      </c>
    </row>
    <row r="273" spans="1:7">
      <c r="A273" t="s">
        <v>814</v>
      </c>
      <c r="B273" t="s">
        <v>815</v>
      </c>
      <c r="F273" s="3" t="s">
        <v>1474</v>
      </c>
      <c r="G273" s="3" t="s">
        <v>1095</v>
      </c>
    </row>
    <row r="274" spans="1:7">
      <c r="A274" t="s">
        <v>816</v>
      </c>
      <c r="B274" t="s">
        <v>817</v>
      </c>
      <c r="F274" s="3" t="s">
        <v>1478</v>
      </c>
      <c r="G274" s="3" t="s">
        <v>1115</v>
      </c>
    </row>
    <row r="275" spans="1:7">
      <c r="A275" t="s">
        <v>818</v>
      </c>
      <c r="B275" t="s">
        <v>819</v>
      </c>
      <c r="F275" s="3" t="s">
        <v>1482</v>
      </c>
      <c r="G275" s="3" t="s">
        <v>1137</v>
      </c>
    </row>
    <row r="276" spans="1:7">
      <c r="A276" t="s">
        <v>820</v>
      </c>
      <c r="B276" t="s">
        <v>821</v>
      </c>
      <c r="F276" s="3" t="s">
        <v>1486</v>
      </c>
      <c r="G276" s="3" t="s">
        <v>1077</v>
      </c>
    </row>
    <row r="277" spans="1:7">
      <c r="A277" t="s">
        <v>822</v>
      </c>
      <c r="B277" t="s">
        <v>823</v>
      </c>
      <c r="F277" s="3" t="s">
        <v>1490</v>
      </c>
      <c r="G277" s="3" t="s">
        <v>1097</v>
      </c>
    </row>
    <row r="278" spans="1:7">
      <c r="A278" t="s">
        <v>824</v>
      </c>
      <c r="B278" t="s">
        <v>825</v>
      </c>
      <c r="F278" s="3" t="s">
        <v>1494</v>
      </c>
      <c r="G278" s="3" t="s">
        <v>1117</v>
      </c>
    </row>
    <row r="279" spans="1:7">
      <c r="A279" t="s">
        <v>826</v>
      </c>
      <c r="B279" t="s">
        <v>827</v>
      </c>
      <c r="F279" s="3" t="s">
        <v>1498</v>
      </c>
      <c r="G279" s="3" t="s">
        <v>1119</v>
      </c>
    </row>
    <row r="280" spans="1:7">
      <c r="A280" t="s">
        <v>828</v>
      </c>
      <c r="B280" t="s">
        <v>829</v>
      </c>
      <c r="F280" s="3" t="s">
        <v>1502</v>
      </c>
      <c r="G280" s="3" t="s">
        <v>1139</v>
      </c>
    </row>
    <row r="281" spans="1:7">
      <c r="A281" t="s">
        <v>830</v>
      </c>
      <c r="B281" t="s">
        <v>831</v>
      </c>
      <c r="F281" s="3" t="s">
        <v>1506</v>
      </c>
      <c r="G281" s="3" t="s">
        <v>1147</v>
      </c>
    </row>
    <row r="282" spans="1:7">
      <c r="A282" t="s">
        <v>832</v>
      </c>
      <c r="B282" t="s">
        <v>833</v>
      </c>
      <c r="F282" s="3" t="s">
        <v>1510</v>
      </c>
      <c r="G282" s="3" t="s">
        <v>1045</v>
      </c>
    </row>
    <row r="283" spans="1:7">
      <c r="A283" t="s">
        <v>834</v>
      </c>
      <c r="B283" t="s">
        <v>835</v>
      </c>
      <c r="F283" s="3" t="s">
        <v>1514</v>
      </c>
      <c r="G283" s="3" t="s">
        <v>1061</v>
      </c>
    </row>
    <row r="284" spans="1:7">
      <c r="A284" t="s">
        <v>836</v>
      </c>
      <c r="B284" t="s">
        <v>837</v>
      </c>
      <c r="F284" s="3" t="s">
        <v>1518</v>
      </c>
      <c r="G284" s="3" t="s">
        <v>1079</v>
      </c>
    </row>
    <row r="285" spans="1:7">
      <c r="A285" t="s">
        <v>838</v>
      </c>
      <c r="B285" t="s">
        <v>839</v>
      </c>
      <c r="F285" s="3" t="s">
        <v>1522</v>
      </c>
      <c r="G285" s="3" t="s">
        <v>1099</v>
      </c>
    </row>
    <row r="286" spans="1:7">
      <c r="A286" t="s">
        <v>840</v>
      </c>
      <c r="B286" t="s">
        <v>841</v>
      </c>
      <c r="F286" s="3" t="s">
        <v>1526</v>
      </c>
      <c r="G286" s="3" t="s">
        <v>1121</v>
      </c>
    </row>
    <row r="287" spans="1:7">
      <c r="A287" t="s">
        <v>842</v>
      </c>
      <c r="B287" t="s">
        <v>843</v>
      </c>
      <c r="F287" s="3" t="s">
        <v>1530</v>
      </c>
      <c r="G287" s="3" t="s">
        <v>1141</v>
      </c>
    </row>
    <row r="288" spans="1:7">
      <c r="A288" t="s">
        <v>844</v>
      </c>
      <c r="B288" t="s">
        <v>845</v>
      </c>
      <c r="F288" s="3" t="s">
        <v>1534</v>
      </c>
      <c r="G288" s="3" t="s">
        <v>1149</v>
      </c>
    </row>
    <row r="289" spans="1:7">
      <c r="A289" t="s">
        <v>846</v>
      </c>
      <c r="B289" t="s">
        <v>847</v>
      </c>
      <c r="F289" s="3" t="s">
        <v>1538</v>
      </c>
      <c r="G289" s="3" t="s">
        <v>1063</v>
      </c>
    </row>
    <row r="290" spans="1:7">
      <c r="A290" t="s">
        <v>848</v>
      </c>
      <c r="B290" t="s">
        <v>849</v>
      </c>
      <c r="F290" s="3" t="s">
        <v>1542</v>
      </c>
      <c r="G290" s="3" t="s">
        <v>1081</v>
      </c>
    </row>
    <row r="291" spans="1:7">
      <c r="A291" t="s">
        <v>850</v>
      </c>
      <c r="B291" t="s">
        <v>851</v>
      </c>
      <c r="F291" s="3" t="s">
        <v>1546</v>
      </c>
      <c r="G291" s="3" t="s">
        <v>1101</v>
      </c>
    </row>
    <row r="292" spans="1:7">
      <c r="A292" t="s">
        <v>852</v>
      </c>
      <c r="B292" t="s">
        <v>853</v>
      </c>
      <c r="F292" s="3" t="s">
        <v>1550</v>
      </c>
      <c r="G292" s="3" t="s">
        <v>1123</v>
      </c>
    </row>
    <row r="293" spans="1:7">
      <c r="A293" t="s">
        <v>854</v>
      </c>
      <c r="B293" t="s">
        <v>855</v>
      </c>
      <c r="F293" s="3" t="s">
        <v>1554</v>
      </c>
      <c r="G293" s="3" t="s">
        <v>1143</v>
      </c>
    </row>
    <row r="294" spans="1:7">
      <c r="A294" t="s">
        <v>856</v>
      </c>
      <c r="B294" t="s">
        <v>857</v>
      </c>
      <c r="F294" s="3" t="s">
        <v>1558</v>
      </c>
      <c r="G294" s="3" t="s">
        <v>1151</v>
      </c>
    </row>
    <row r="295" spans="1:7">
      <c r="A295" t="s">
        <v>858</v>
      </c>
      <c r="B295" t="s">
        <v>859</v>
      </c>
      <c r="F295" s="3" t="s">
        <v>1562</v>
      </c>
      <c r="G295" s="3" t="s">
        <v>1047</v>
      </c>
    </row>
    <row r="296" spans="1:7">
      <c r="A296" t="s">
        <v>860</v>
      </c>
      <c r="B296" t="s">
        <v>861</v>
      </c>
      <c r="F296" s="3" t="s">
        <v>1566</v>
      </c>
      <c r="G296" s="3" t="s">
        <v>1065</v>
      </c>
    </row>
    <row r="297" spans="1:7">
      <c r="A297" t="s">
        <v>862</v>
      </c>
      <c r="B297" t="s">
        <v>863</v>
      </c>
      <c r="F297" s="3" t="s">
        <v>1570</v>
      </c>
      <c r="G297" s="3" t="s">
        <v>1083</v>
      </c>
    </row>
    <row r="298" spans="1:7">
      <c r="A298" t="s">
        <v>864</v>
      </c>
      <c r="B298" t="s">
        <v>865</v>
      </c>
      <c r="F298" s="3" t="s">
        <v>1574</v>
      </c>
      <c r="G298" s="3" t="s">
        <v>1103</v>
      </c>
    </row>
    <row r="299" spans="1:7">
      <c r="A299" t="s">
        <v>866</v>
      </c>
      <c r="B299" t="s">
        <v>867</v>
      </c>
      <c r="F299" s="3" t="s">
        <v>1578</v>
      </c>
      <c r="G299" s="3" t="s">
        <v>1125</v>
      </c>
    </row>
    <row r="300" spans="1:7">
      <c r="A300" t="s">
        <v>868</v>
      </c>
      <c r="B300" t="s">
        <v>869</v>
      </c>
      <c r="F300" s="3" t="s">
        <v>1582</v>
      </c>
      <c r="G300" s="3" t="s">
        <v>1145</v>
      </c>
    </row>
    <row r="301" spans="1:7">
      <c r="A301" t="s">
        <v>870</v>
      </c>
      <c r="B301" t="s">
        <v>871</v>
      </c>
      <c r="F301" s="3" t="s">
        <v>1586</v>
      </c>
      <c r="G301" s="3" t="s">
        <v>1157</v>
      </c>
    </row>
    <row r="302" spans="1:7">
      <c r="A302" t="s">
        <v>872</v>
      </c>
      <c r="B302" t="s">
        <v>873</v>
      </c>
      <c r="F302" s="3" t="s">
        <v>1590</v>
      </c>
      <c r="G302" s="3" t="s">
        <v>1291</v>
      </c>
    </row>
    <row r="303" spans="1:7">
      <c r="A303" t="s">
        <v>874</v>
      </c>
      <c r="B303" t="s">
        <v>875</v>
      </c>
      <c r="F303" s="3" t="s">
        <v>1594</v>
      </c>
      <c r="G303" s="3" t="s">
        <v>1295</v>
      </c>
    </row>
    <row r="304" spans="1:7">
      <c r="A304" t="s">
        <v>876</v>
      </c>
      <c r="B304" t="s">
        <v>877</v>
      </c>
      <c r="F304" s="3" t="s">
        <v>1598</v>
      </c>
      <c r="G304" s="3" t="s">
        <v>1293</v>
      </c>
    </row>
    <row r="305" spans="1:7">
      <c r="A305" t="s">
        <v>878</v>
      </c>
      <c r="B305" t="s">
        <v>879</v>
      </c>
      <c r="F305" s="3" t="s">
        <v>1602</v>
      </c>
      <c r="G305" s="3" t="s">
        <v>1297</v>
      </c>
    </row>
    <row r="306" spans="1:7">
      <c r="A306" t="s">
        <v>880</v>
      </c>
      <c r="B306" t="s">
        <v>881</v>
      </c>
    </row>
    <row r="307" spans="1:7">
      <c r="A307" t="s">
        <v>882</v>
      </c>
      <c r="B307" t="s">
        <v>883</v>
      </c>
    </row>
    <row r="308" spans="1:7">
      <c r="A308" t="s">
        <v>884</v>
      </c>
      <c r="B308" t="s">
        <v>885</v>
      </c>
    </row>
    <row r="309" spans="1:7">
      <c r="A309" t="s">
        <v>886</v>
      </c>
      <c r="B309" t="s">
        <v>887</v>
      </c>
    </row>
    <row r="310" spans="1:7">
      <c r="A310" t="s">
        <v>888</v>
      </c>
      <c r="B310" t="s">
        <v>889</v>
      </c>
    </row>
    <row r="311" spans="1:7">
      <c r="A311" t="s">
        <v>890</v>
      </c>
      <c r="B311" t="s">
        <v>891</v>
      </c>
    </row>
    <row r="312" spans="1:7">
      <c r="A312" t="s">
        <v>892</v>
      </c>
      <c r="B312" t="s">
        <v>893</v>
      </c>
    </row>
    <row r="313" spans="1:7">
      <c r="A313" t="s">
        <v>894</v>
      </c>
      <c r="B313" t="s">
        <v>895</v>
      </c>
    </row>
    <row r="314" spans="1:7">
      <c r="A314" t="s">
        <v>896</v>
      </c>
      <c r="B314" t="s">
        <v>897</v>
      </c>
    </row>
    <row r="315" spans="1:7">
      <c r="A315" t="s">
        <v>898</v>
      </c>
      <c r="B315" t="s">
        <v>899</v>
      </c>
    </row>
    <row r="316" spans="1:7">
      <c r="A316" t="s">
        <v>900</v>
      </c>
      <c r="B316" t="s">
        <v>901</v>
      </c>
    </row>
    <row r="317" spans="1:7">
      <c r="A317" t="s">
        <v>902</v>
      </c>
      <c r="B317" t="s">
        <v>903</v>
      </c>
    </row>
    <row r="318" spans="1:7">
      <c r="A318" t="s">
        <v>904</v>
      </c>
      <c r="B318" t="s">
        <v>905</v>
      </c>
    </row>
    <row r="319" spans="1:7">
      <c r="A319" t="s">
        <v>906</v>
      </c>
      <c r="B319" t="s">
        <v>907</v>
      </c>
    </row>
    <row r="320" spans="1:7">
      <c r="A320" t="s">
        <v>908</v>
      </c>
      <c r="B320" t="s">
        <v>909</v>
      </c>
    </row>
    <row r="321" spans="1:2">
      <c r="A321" t="s">
        <v>910</v>
      </c>
      <c r="B321" t="s">
        <v>911</v>
      </c>
    </row>
    <row r="322" spans="1:2">
      <c r="A322" t="s">
        <v>912</v>
      </c>
      <c r="B322" t="s">
        <v>913</v>
      </c>
    </row>
    <row r="323" spans="1:2">
      <c r="A323" t="s">
        <v>914</v>
      </c>
      <c r="B323" t="s">
        <v>915</v>
      </c>
    </row>
    <row r="324" spans="1:2">
      <c r="A324" t="s">
        <v>916</v>
      </c>
      <c r="B324" t="s">
        <v>917</v>
      </c>
    </row>
    <row r="325" spans="1:2">
      <c r="A325" t="s">
        <v>918</v>
      </c>
      <c r="B325" t="s">
        <v>919</v>
      </c>
    </row>
    <row r="326" spans="1:2">
      <c r="A326" t="s">
        <v>920</v>
      </c>
      <c r="B326" t="s">
        <v>921</v>
      </c>
    </row>
    <row r="327" spans="1:2">
      <c r="A327" t="s">
        <v>922</v>
      </c>
      <c r="B327" t="s">
        <v>923</v>
      </c>
    </row>
    <row r="328" spans="1:2">
      <c r="A328" t="s">
        <v>924</v>
      </c>
      <c r="B328" t="s">
        <v>925</v>
      </c>
    </row>
    <row r="329" spans="1:2">
      <c r="A329" t="s">
        <v>926</v>
      </c>
      <c r="B329" t="s">
        <v>927</v>
      </c>
    </row>
    <row r="330" spans="1:2">
      <c r="A330" t="s">
        <v>928</v>
      </c>
      <c r="B330" t="s">
        <v>929</v>
      </c>
    </row>
    <row r="331" spans="1:2">
      <c r="A331" t="s">
        <v>930</v>
      </c>
      <c r="B331" t="s">
        <v>931</v>
      </c>
    </row>
    <row r="332" spans="1:2">
      <c r="A332" t="s">
        <v>932</v>
      </c>
      <c r="B332" t="s">
        <v>933</v>
      </c>
    </row>
    <row r="333" spans="1:2">
      <c r="A333" t="s">
        <v>934</v>
      </c>
      <c r="B333" t="s">
        <v>935</v>
      </c>
    </row>
    <row r="334" spans="1:2">
      <c r="A334" t="s">
        <v>936</v>
      </c>
      <c r="B334" t="s">
        <v>937</v>
      </c>
    </row>
    <row r="335" spans="1:2">
      <c r="A335" t="s">
        <v>938</v>
      </c>
      <c r="B335" t="s">
        <v>939</v>
      </c>
    </row>
    <row r="336" spans="1:2">
      <c r="A336" t="s">
        <v>940</v>
      </c>
      <c r="B336" t="s">
        <v>941</v>
      </c>
    </row>
    <row r="337" spans="1:2">
      <c r="A337" t="s">
        <v>942</v>
      </c>
      <c r="B337" t="s">
        <v>943</v>
      </c>
    </row>
    <row r="338" spans="1:2">
      <c r="A338" t="s">
        <v>944</v>
      </c>
      <c r="B338" t="s">
        <v>945</v>
      </c>
    </row>
    <row r="339" spans="1:2">
      <c r="A339" t="s">
        <v>946</v>
      </c>
      <c r="B339" t="s">
        <v>947</v>
      </c>
    </row>
    <row r="340" spans="1:2">
      <c r="A340" t="s">
        <v>948</v>
      </c>
      <c r="B340" t="s">
        <v>949</v>
      </c>
    </row>
    <row r="341" spans="1:2">
      <c r="A341" t="s">
        <v>950</v>
      </c>
      <c r="B341" t="s">
        <v>951</v>
      </c>
    </row>
    <row r="342" spans="1:2">
      <c r="A342" t="s">
        <v>952</v>
      </c>
      <c r="B342" t="s">
        <v>953</v>
      </c>
    </row>
    <row r="343" spans="1:2">
      <c r="A343" t="s">
        <v>954</v>
      </c>
      <c r="B343" t="s">
        <v>955</v>
      </c>
    </row>
    <row r="344" spans="1:2">
      <c r="A344" t="s">
        <v>956</v>
      </c>
      <c r="B344" t="s">
        <v>957</v>
      </c>
    </row>
    <row r="345" spans="1:2">
      <c r="A345" t="s">
        <v>958</v>
      </c>
      <c r="B345" t="s">
        <v>959</v>
      </c>
    </row>
    <row r="346" spans="1:2">
      <c r="A346" t="s">
        <v>960</v>
      </c>
      <c r="B346" t="s">
        <v>961</v>
      </c>
    </row>
    <row r="347" spans="1:2">
      <c r="A347" t="s">
        <v>962</v>
      </c>
      <c r="B347" t="s">
        <v>963</v>
      </c>
    </row>
    <row r="348" spans="1:2">
      <c r="A348" t="s">
        <v>964</v>
      </c>
      <c r="B348" t="s">
        <v>965</v>
      </c>
    </row>
    <row r="349" spans="1:2">
      <c r="A349" t="s">
        <v>966</v>
      </c>
      <c r="B349" t="s">
        <v>967</v>
      </c>
    </row>
    <row r="350" spans="1:2">
      <c r="A350" t="s">
        <v>968</v>
      </c>
      <c r="B350" t="s">
        <v>969</v>
      </c>
    </row>
    <row r="351" spans="1:2">
      <c r="A351" t="s">
        <v>970</v>
      </c>
      <c r="B351" t="s">
        <v>971</v>
      </c>
    </row>
    <row r="352" spans="1:2">
      <c r="A352" t="s">
        <v>972</v>
      </c>
      <c r="B352" t="s">
        <v>973</v>
      </c>
    </row>
    <row r="353" spans="1:2">
      <c r="A353" t="s">
        <v>974</v>
      </c>
      <c r="B353" t="s">
        <v>975</v>
      </c>
    </row>
    <row r="354" spans="1:2">
      <c r="A354" t="s">
        <v>976</v>
      </c>
      <c r="B354" t="s">
        <v>977</v>
      </c>
    </row>
    <row r="355" spans="1:2">
      <c r="A355" t="s">
        <v>978</v>
      </c>
      <c r="B355" t="s">
        <v>979</v>
      </c>
    </row>
    <row r="356" spans="1:2">
      <c r="A356" t="s">
        <v>980</v>
      </c>
      <c r="B356" t="s">
        <v>981</v>
      </c>
    </row>
    <row r="357" spans="1:2">
      <c r="A357" t="s">
        <v>982</v>
      </c>
      <c r="B357" t="s">
        <v>983</v>
      </c>
    </row>
    <row r="358" spans="1:2">
      <c r="A358" t="s">
        <v>984</v>
      </c>
      <c r="B358" t="s">
        <v>985</v>
      </c>
    </row>
    <row r="359" spans="1:2">
      <c r="A359" t="s">
        <v>986</v>
      </c>
      <c r="B359" t="s">
        <v>987</v>
      </c>
    </row>
    <row r="360" spans="1:2">
      <c r="A360" t="s">
        <v>988</v>
      </c>
      <c r="B360" t="s">
        <v>989</v>
      </c>
    </row>
    <row r="361" spans="1:2">
      <c r="A361" t="s">
        <v>990</v>
      </c>
      <c r="B361" t="s">
        <v>991</v>
      </c>
    </row>
    <row r="362" spans="1:2">
      <c r="A362" t="s">
        <v>992</v>
      </c>
      <c r="B362" t="s">
        <v>993</v>
      </c>
    </row>
    <row r="363" spans="1:2">
      <c r="A363" t="s">
        <v>994</v>
      </c>
      <c r="B363" t="s">
        <v>995</v>
      </c>
    </row>
    <row r="364" spans="1:2">
      <c r="A364" t="s">
        <v>996</v>
      </c>
      <c r="B364" t="s">
        <v>997</v>
      </c>
    </row>
    <row r="365" spans="1:2">
      <c r="A365" t="s">
        <v>998</v>
      </c>
      <c r="B365" t="s">
        <v>999</v>
      </c>
    </row>
    <row r="366" spans="1:2">
      <c r="A366" t="s">
        <v>1000</v>
      </c>
      <c r="B366" t="s">
        <v>1001</v>
      </c>
    </row>
    <row r="367" spans="1:2">
      <c r="A367" t="s">
        <v>1002</v>
      </c>
      <c r="B367" t="s">
        <v>1003</v>
      </c>
    </row>
    <row r="368" spans="1:2">
      <c r="A368" t="s">
        <v>1004</v>
      </c>
      <c r="B368" t="s">
        <v>1005</v>
      </c>
    </row>
    <row r="369" spans="1:2">
      <c r="A369" t="s">
        <v>1006</v>
      </c>
      <c r="B369" t="s">
        <v>1007</v>
      </c>
    </row>
    <row r="370" spans="1:2">
      <c r="A370" t="s">
        <v>1008</v>
      </c>
      <c r="B370" t="s">
        <v>1009</v>
      </c>
    </row>
    <row r="371" spans="1:2">
      <c r="A371" t="s">
        <v>1010</v>
      </c>
      <c r="B371" t="s">
        <v>1011</v>
      </c>
    </row>
    <row r="372" spans="1:2">
      <c r="A372" t="s">
        <v>1012</v>
      </c>
      <c r="B372" t="s">
        <v>1013</v>
      </c>
    </row>
    <row r="373" spans="1:2">
      <c r="A373" t="s">
        <v>1014</v>
      </c>
      <c r="B373" t="s">
        <v>1015</v>
      </c>
    </row>
    <row r="374" spans="1:2">
      <c r="A374" t="s">
        <v>1016</v>
      </c>
      <c r="B374" t="s">
        <v>1017</v>
      </c>
    </row>
    <row r="375" spans="1:2">
      <c r="A375" t="s">
        <v>1018</v>
      </c>
      <c r="B375" t="s">
        <v>1019</v>
      </c>
    </row>
    <row r="376" spans="1:2">
      <c r="A376" t="s">
        <v>1020</v>
      </c>
      <c r="B376" t="s">
        <v>1021</v>
      </c>
    </row>
    <row r="377" spans="1:2">
      <c r="A377" t="s">
        <v>1022</v>
      </c>
      <c r="B377" t="s">
        <v>1023</v>
      </c>
    </row>
    <row r="378" spans="1:2">
      <c r="A378" t="s">
        <v>1024</v>
      </c>
      <c r="B378" t="s">
        <v>1025</v>
      </c>
    </row>
    <row r="379" spans="1:2">
      <c r="A379" t="s">
        <v>1026</v>
      </c>
      <c r="B379" t="s">
        <v>1027</v>
      </c>
    </row>
    <row r="380" spans="1:2">
      <c r="A380" t="s">
        <v>1028</v>
      </c>
      <c r="B380" t="s">
        <v>1029</v>
      </c>
    </row>
    <row r="381" spans="1:2">
      <c r="A381" t="s">
        <v>1030</v>
      </c>
      <c r="B381" t="s">
        <v>1031</v>
      </c>
    </row>
    <row r="382" spans="1:2">
      <c r="A382" t="s">
        <v>1032</v>
      </c>
      <c r="B382" t="s">
        <v>1033</v>
      </c>
    </row>
    <row r="383" spans="1:2">
      <c r="A383" t="s">
        <v>1034</v>
      </c>
      <c r="B383" t="s">
        <v>1035</v>
      </c>
    </row>
    <row r="384" spans="1:2">
      <c r="A384" t="s">
        <v>1036</v>
      </c>
      <c r="B384" t="s">
        <v>1037</v>
      </c>
    </row>
    <row r="385" spans="1:2">
      <c r="A385" t="s">
        <v>1038</v>
      </c>
      <c r="B385" t="s">
        <v>1039</v>
      </c>
    </row>
    <row r="386" spans="1:2">
      <c r="A386" t="s">
        <v>1040</v>
      </c>
      <c r="B386" t="s">
        <v>1041</v>
      </c>
    </row>
    <row r="387" spans="1:2">
      <c r="A387" t="s">
        <v>1042</v>
      </c>
      <c r="B387" t="s">
        <v>1043</v>
      </c>
    </row>
    <row r="388" spans="1:2">
      <c r="A388" t="s">
        <v>1044</v>
      </c>
      <c r="B388" t="s">
        <v>1045</v>
      </c>
    </row>
    <row r="389" spans="1:2">
      <c r="A389" t="s">
        <v>1046</v>
      </c>
      <c r="B389" t="s">
        <v>1047</v>
      </c>
    </row>
    <row r="390" spans="1:2">
      <c r="A390" t="s">
        <v>1048</v>
      </c>
      <c r="B390" t="s">
        <v>1049</v>
      </c>
    </row>
    <row r="391" spans="1:2">
      <c r="A391" t="s">
        <v>1050</v>
      </c>
      <c r="B391" t="s">
        <v>1051</v>
      </c>
    </row>
    <row r="392" spans="1:2">
      <c r="A392" t="s">
        <v>1052</v>
      </c>
      <c r="B392" t="s">
        <v>1053</v>
      </c>
    </row>
    <row r="393" spans="1:2">
      <c r="A393" t="s">
        <v>1054</v>
      </c>
      <c r="B393" t="s">
        <v>1055</v>
      </c>
    </row>
    <row r="394" spans="1:2">
      <c r="A394" t="s">
        <v>1056</v>
      </c>
      <c r="B394" t="s">
        <v>1057</v>
      </c>
    </row>
    <row r="395" spans="1:2">
      <c r="A395" t="s">
        <v>1058</v>
      </c>
      <c r="B395" t="s">
        <v>1059</v>
      </c>
    </row>
    <row r="396" spans="1:2">
      <c r="A396" t="s">
        <v>1060</v>
      </c>
      <c r="B396" t="s">
        <v>1061</v>
      </c>
    </row>
    <row r="397" spans="1:2">
      <c r="A397" t="s">
        <v>1062</v>
      </c>
      <c r="B397" t="s">
        <v>1063</v>
      </c>
    </row>
    <row r="398" spans="1:2">
      <c r="A398" t="s">
        <v>1064</v>
      </c>
      <c r="B398" t="s">
        <v>1065</v>
      </c>
    </row>
    <row r="399" spans="1:2">
      <c r="A399" t="s">
        <v>1066</v>
      </c>
      <c r="B399" t="s">
        <v>1067</v>
      </c>
    </row>
    <row r="400" spans="1:2">
      <c r="A400" t="s">
        <v>1068</v>
      </c>
      <c r="B400" t="s">
        <v>1069</v>
      </c>
    </row>
    <row r="401" spans="1:2">
      <c r="A401" t="s">
        <v>1070</v>
      </c>
      <c r="B401" t="s">
        <v>1071</v>
      </c>
    </row>
    <row r="402" spans="1:2">
      <c r="A402" t="s">
        <v>1072</v>
      </c>
      <c r="B402" t="s">
        <v>1073</v>
      </c>
    </row>
    <row r="403" spans="1:2">
      <c r="A403" t="s">
        <v>1074</v>
      </c>
      <c r="B403" t="s">
        <v>1075</v>
      </c>
    </row>
    <row r="404" spans="1:2">
      <c r="A404" t="s">
        <v>1076</v>
      </c>
      <c r="B404" t="s">
        <v>1077</v>
      </c>
    </row>
    <row r="405" spans="1:2">
      <c r="A405" t="s">
        <v>1078</v>
      </c>
      <c r="B405" t="s">
        <v>1079</v>
      </c>
    </row>
    <row r="406" spans="1:2">
      <c r="A406" t="s">
        <v>1080</v>
      </c>
      <c r="B406" t="s">
        <v>1081</v>
      </c>
    </row>
    <row r="407" spans="1:2">
      <c r="A407" t="s">
        <v>1082</v>
      </c>
      <c r="B407" t="s">
        <v>1083</v>
      </c>
    </row>
    <row r="408" spans="1:2">
      <c r="A408" t="s">
        <v>1084</v>
      </c>
      <c r="B408" t="s">
        <v>1085</v>
      </c>
    </row>
    <row r="409" spans="1:2">
      <c r="A409" t="s">
        <v>1086</v>
      </c>
      <c r="B409" t="s">
        <v>1087</v>
      </c>
    </row>
    <row r="410" spans="1:2">
      <c r="A410" t="s">
        <v>1088</v>
      </c>
      <c r="B410" t="s">
        <v>1089</v>
      </c>
    </row>
    <row r="411" spans="1:2">
      <c r="A411" t="s">
        <v>1090</v>
      </c>
      <c r="B411" t="s">
        <v>1091</v>
      </c>
    </row>
    <row r="412" spans="1:2">
      <c r="A412" t="s">
        <v>1092</v>
      </c>
      <c r="B412" t="s">
        <v>1093</v>
      </c>
    </row>
    <row r="413" spans="1:2">
      <c r="A413" t="s">
        <v>1094</v>
      </c>
      <c r="B413" t="s">
        <v>1095</v>
      </c>
    </row>
    <row r="414" spans="1:2">
      <c r="A414" t="s">
        <v>1096</v>
      </c>
      <c r="B414" t="s">
        <v>1097</v>
      </c>
    </row>
    <row r="415" spans="1:2">
      <c r="A415" t="s">
        <v>1098</v>
      </c>
      <c r="B415" t="s">
        <v>1099</v>
      </c>
    </row>
    <row r="416" spans="1:2">
      <c r="A416" t="s">
        <v>1100</v>
      </c>
      <c r="B416" t="s">
        <v>1101</v>
      </c>
    </row>
    <row r="417" spans="1:2">
      <c r="A417" t="s">
        <v>1102</v>
      </c>
      <c r="B417" t="s">
        <v>1103</v>
      </c>
    </row>
    <row r="418" spans="1:2">
      <c r="A418" t="s">
        <v>1104</v>
      </c>
      <c r="B418" t="s">
        <v>1105</v>
      </c>
    </row>
    <row r="419" spans="1:2">
      <c r="A419" t="s">
        <v>1106</v>
      </c>
      <c r="B419" t="s">
        <v>1107</v>
      </c>
    </row>
    <row r="420" spans="1:2">
      <c r="A420" t="s">
        <v>1108</v>
      </c>
      <c r="B420" t="s">
        <v>1109</v>
      </c>
    </row>
    <row r="421" spans="1:2">
      <c r="A421" t="s">
        <v>1110</v>
      </c>
      <c r="B421" t="s">
        <v>1111</v>
      </c>
    </row>
    <row r="422" spans="1:2">
      <c r="A422" t="s">
        <v>1112</v>
      </c>
      <c r="B422" t="s">
        <v>1113</v>
      </c>
    </row>
    <row r="423" spans="1:2">
      <c r="A423" t="s">
        <v>1114</v>
      </c>
      <c r="B423" t="s">
        <v>1115</v>
      </c>
    </row>
    <row r="424" spans="1:2">
      <c r="A424" t="s">
        <v>1116</v>
      </c>
      <c r="B424" t="s">
        <v>1117</v>
      </c>
    </row>
    <row r="425" spans="1:2">
      <c r="A425" t="s">
        <v>1118</v>
      </c>
      <c r="B425" t="s">
        <v>1119</v>
      </c>
    </row>
    <row r="426" spans="1:2">
      <c r="A426" t="s">
        <v>1120</v>
      </c>
      <c r="B426" t="s">
        <v>1121</v>
      </c>
    </row>
    <row r="427" spans="1:2">
      <c r="A427" t="s">
        <v>1122</v>
      </c>
      <c r="B427" t="s">
        <v>1123</v>
      </c>
    </row>
    <row r="428" spans="1:2">
      <c r="A428" t="s">
        <v>1124</v>
      </c>
      <c r="B428" t="s">
        <v>1125</v>
      </c>
    </row>
    <row r="429" spans="1:2">
      <c r="A429" t="s">
        <v>1126</v>
      </c>
      <c r="B429" t="s">
        <v>1127</v>
      </c>
    </row>
    <row r="430" spans="1:2">
      <c r="A430" t="s">
        <v>1128</v>
      </c>
      <c r="B430" t="s">
        <v>1129</v>
      </c>
    </row>
    <row r="431" spans="1:2">
      <c r="A431" t="s">
        <v>1130</v>
      </c>
      <c r="B431" t="s">
        <v>1131</v>
      </c>
    </row>
    <row r="432" spans="1:2">
      <c r="A432" t="s">
        <v>1132</v>
      </c>
      <c r="B432" t="s">
        <v>1133</v>
      </c>
    </row>
    <row r="433" spans="1:2">
      <c r="A433" t="s">
        <v>1134</v>
      </c>
      <c r="B433" t="s">
        <v>1135</v>
      </c>
    </row>
    <row r="434" spans="1:2">
      <c r="A434" t="s">
        <v>1136</v>
      </c>
      <c r="B434" t="s">
        <v>1137</v>
      </c>
    </row>
    <row r="435" spans="1:2">
      <c r="A435" t="s">
        <v>1138</v>
      </c>
      <c r="B435" t="s">
        <v>1139</v>
      </c>
    </row>
    <row r="436" spans="1:2">
      <c r="A436" t="s">
        <v>1140</v>
      </c>
      <c r="B436" t="s">
        <v>1141</v>
      </c>
    </row>
    <row r="437" spans="1:2">
      <c r="A437" t="s">
        <v>1142</v>
      </c>
      <c r="B437" t="s">
        <v>1143</v>
      </c>
    </row>
    <row r="438" spans="1:2">
      <c r="A438" t="s">
        <v>1144</v>
      </c>
      <c r="B438" t="s">
        <v>1145</v>
      </c>
    </row>
    <row r="439" spans="1:2">
      <c r="A439" t="s">
        <v>1146</v>
      </c>
      <c r="B439" t="s">
        <v>1147</v>
      </c>
    </row>
    <row r="440" spans="1:2">
      <c r="A440" t="s">
        <v>1148</v>
      </c>
      <c r="B440" t="s">
        <v>1149</v>
      </c>
    </row>
    <row r="441" spans="1:2">
      <c r="A441" t="s">
        <v>1150</v>
      </c>
      <c r="B441" t="s">
        <v>1151</v>
      </c>
    </row>
    <row r="442" spans="1:2">
      <c r="A442" t="s">
        <v>1152</v>
      </c>
      <c r="B442" t="s">
        <v>1153</v>
      </c>
    </row>
    <row r="443" spans="1:2">
      <c r="A443" t="s">
        <v>1154</v>
      </c>
      <c r="B443" t="s">
        <v>1155</v>
      </c>
    </row>
    <row r="444" spans="1:2">
      <c r="A444" t="s">
        <v>1156</v>
      </c>
      <c r="B444" t="s">
        <v>1157</v>
      </c>
    </row>
    <row r="445" spans="1:2">
      <c r="A445" t="s">
        <v>1158</v>
      </c>
      <c r="B445" t="s">
        <v>1159</v>
      </c>
    </row>
    <row r="446" spans="1:2">
      <c r="A446" t="s">
        <v>1160</v>
      </c>
      <c r="B446" t="s">
        <v>1161</v>
      </c>
    </row>
    <row r="447" spans="1:2">
      <c r="A447" t="s">
        <v>1162</v>
      </c>
      <c r="B447" t="s">
        <v>1163</v>
      </c>
    </row>
    <row r="448" spans="1:2">
      <c r="A448" t="s">
        <v>1164</v>
      </c>
      <c r="B448" t="s">
        <v>1165</v>
      </c>
    </row>
    <row r="449" spans="1:2">
      <c r="A449" t="s">
        <v>1166</v>
      </c>
      <c r="B449" t="s">
        <v>1167</v>
      </c>
    </row>
    <row r="450" spans="1:2">
      <c r="A450" t="s">
        <v>1168</v>
      </c>
      <c r="B450" t="s">
        <v>1169</v>
      </c>
    </row>
    <row r="451" spans="1:2">
      <c r="A451" t="s">
        <v>1170</v>
      </c>
      <c r="B451" t="s">
        <v>1171</v>
      </c>
    </row>
    <row r="452" spans="1:2">
      <c r="A452" t="s">
        <v>1172</v>
      </c>
      <c r="B452" t="s">
        <v>1173</v>
      </c>
    </row>
    <row r="453" spans="1:2">
      <c r="A453" t="s">
        <v>1174</v>
      </c>
      <c r="B453" t="s">
        <v>1175</v>
      </c>
    </row>
    <row r="454" spans="1:2">
      <c r="A454" t="s">
        <v>1176</v>
      </c>
      <c r="B454" t="s">
        <v>1177</v>
      </c>
    </row>
    <row r="455" spans="1:2">
      <c r="A455" t="s">
        <v>1178</v>
      </c>
      <c r="B455" t="s">
        <v>1179</v>
      </c>
    </row>
    <row r="456" spans="1:2">
      <c r="A456" t="s">
        <v>1180</v>
      </c>
      <c r="B456" t="s">
        <v>1181</v>
      </c>
    </row>
    <row r="457" spans="1:2">
      <c r="A457" t="s">
        <v>1182</v>
      </c>
      <c r="B457" t="s">
        <v>1183</v>
      </c>
    </row>
    <row r="458" spans="1:2">
      <c r="A458" t="s">
        <v>1184</v>
      </c>
      <c r="B458" t="s">
        <v>1185</v>
      </c>
    </row>
    <row r="459" spans="1:2">
      <c r="A459" t="s">
        <v>1186</v>
      </c>
      <c r="B459" t="s">
        <v>1187</v>
      </c>
    </row>
    <row r="460" spans="1:2">
      <c r="A460" t="s">
        <v>1188</v>
      </c>
      <c r="B460" t="s">
        <v>1189</v>
      </c>
    </row>
    <row r="461" spans="1:2">
      <c r="A461" t="s">
        <v>1190</v>
      </c>
      <c r="B461" t="s">
        <v>1191</v>
      </c>
    </row>
    <row r="462" spans="1:2">
      <c r="A462" t="s">
        <v>1192</v>
      </c>
      <c r="B462" t="s">
        <v>1193</v>
      </c>
    </row>
    <row r="463" spans="1:2">
      <c r="A463" t="s">
        <v>1194</v>
      </c>
      <c r="B463" t="s">
        <v>1195</v>
      </c>
    </row>
    <row r="464" spans="1:2">
      <c r="A464" t="s">
        <v>1196</v>
      </c>
      <c r="B464" t="s">
        <v>1197</v>
      </c>
    </row>
    <row r="465" spans="1:2">
      <c r="A465" t="s">
        <v>1198</v>
      </c>
      <c r="B465" t="s">
        <v>1199</v>
      </c>
    </row>
    <row r="466" spans="1:2">
      <c r="A466" t="s">
        <v>1200</v>
      </c>
      <c r="B466" t="s">
        <v>1201</v>
      </c>
    </row>
    <row r="467" spans="1:2">
      <c r="A467" t="s">
        <v>1202</v>
      </c>
      <c r="B467" t="s">
        <v>1203</v>
      </c>
    </row>
    <row r="468" spans="1:2">
      <c r="A468" t="s">
        <v>1204</v>
      </c>
      <c r="B468" t="s">
        <v>1205</v>
      </c>
    </row>
    <row r="469" spans="1:2">
      <c r="A469" t="s">
        <v>1206</v>
      </c>
      <c r="B469" t="s">
        <v>1207</v>
      </c>
    </row>
    <row r="470" spans="1:2">
      <c r="A470" t="s">
        <v>1208</v>
      </c>
      <c r="B470" t="s">
        <v>1209</v>
      </c>
    </row>
    <row r="471" spans="1:2">
      <c r="A471" t="s">
        <v>1210</v>
      </c>
      <c r="B471" t="s">
        <v>1211</v>
      </c>
    </row>
    <row r="472" spans="1:2">
      <c r="A472" t="s">
        <v>1212</v>
      </c>
      <c r="B472" t="s">
        <v>1213</v>
      </c>
    </row>
    <row r="473" spans="1:2">
      <c r="A473" t="s">
        <v>1214</v>
      </c>
      <c r="B473" t="s">
        <v>1215</v>
      </c>
    </row>
    <row r="474" spans="1:2">
      <c r="A474" t="s">
        <v>1216</v>
      </c>
      <c r="B474" t="s">
        <v>1217</v>
      </c>
    </row>
    <row r="475" spans="1:2">
      <c r="A475" t="s">
        <v>1218</v>
      </c>
      <c r="B475" t="s">
        <v>1219</v>
      </c>
    </row>
    <row r="476" spans="1:2">
      <c r="A476" t="s">
        <v>1220</v>
      </c>
      <c r="B476" t="s">
        <v>1221</v>
      </c>
    </row>
    <row r="477" spans="1:2">
      <c r="A477" t="s">
        <v>1222</v>
      </c>
      <c r="B477" t="s">
        <v>1223</v>
      </c>
    </row>
    <row r="478" spans="1:2">
      <c r="A478" t="s">
        <v>1224</v>
      </c>
      <c r="B478" t="s">
        <v>1225</v>
      </c>
    </row>
    <row r="479" spans="1:2">
      <c r="A479" t="s">
        <v>1226</v>
      </c>
      <c r="B479" t="s">
        <v>1227</v>
      </c>
    </row>
    <row r="480" spans="1:2">
      <c r="A480" t="s">
        <v>1228</v>
      </c>
      <c r="B480" t="s">
        <v>1229</v>
      </c>
    </row>
    <row r="481" spans="1:2">
      <c r="A481" t="s">
        <v>1230</v>
      </c>
      <c r="B481" t="s">
        <v>1231</v>
      </c>
    </row>
    <row r="482" spans="1:2">
      <c r="A482" t="s">
        <v>1232</v>
      </c>
      <c r="B482" t="s">
        <v>1233</v>
      </c>
    </row>
    <row r="483" spans="1:2">
      <c r="A483" t="s">
        <v>1234</v>
      </c>
      <c r="B483" t="s">
        <v>1235</v>
      </c>
    </row>
    <row r="484" spans="1:2">
      <c r="A484" t="s">
        <v>1236</v>
      </c>
      <c r="B484" t="s">
        <v>1237</v>
      </c>
    </row>
    <row r="485" spans="1:2">
      <c r="A485" t="s">
        <v>1238</v>
      </c>
      <c r="B485" t="s">
        <v>1239</v>
      </c>
    </row>
    <row r="486" spans="1:2">
      <c r="A486" t="s">
        <v>1240</v>
      </c>
      <c r="B486" t="s">
        <v>1241</v>
      </c>
    </row>
    <row r="487" spans="1:2">
      <c r="A487" t="s">
        <v>1242</v>
      </c>
      <c r="B487" t="s">
        <v>1243</v>
      </c>
    </row>
    <row r="488" spans="1:2">
      <c r="A488" t="s">
        <v>1244</v>
      </c>
      <c r="B488" t="s">
        <v>1245</v>
      </c>
    </row>
    <row r="489" spans="1:2">
      <c r="A489" t="s">
        <v>1246</v>
      </c>
      <c r="B489" t="s">
        <v>1247</v>
      </c>
    </row>
    <row r="490" spans="1:2">
      <c r="A490" t="s">
        <v>1248</v>
      </c>
      <c r="B490" t="s">
        <v>1249</v>
      </c>
    </row>
    <row r="491" spans="1:2">
      <c r="A491" t="s">
        <v>1250</v>
      </c>
      <c r="B491" t="s">
        <v>1251</v>
      </c>
    </row>
    <row r="492" spans="1:2">
      <c r="A492" t="s">
        <v>1252</v>
      </c>
      <c r="B492" t="s">
        <v>1253</v>
      </c>
    </row>
    <row r="493" spans="1:2">
      <c r="A493" t="s">
        <v>1254</v>
      </c>
      <c r="B493" t="s">
        <v>1255</v>
      </c>
    </row>
    <row r="494" spans="1:2">
      <c r="A494" t="s">
        <v>1256</v>
      </c>
      <c r="B494" t="s">
        <v>1257</v>
      </c>
    </row>
    <row r="495" spans="1:2">
      <c r="A495" t="s">
        <v>1258</v>
      </c>
      <c r="B495" t="s">
        <v>1259</v>
      </c>
    </row>
    <row r="496" spans="1:2">
      <c r="A496" t="s">
        <v>1260</v>
      </c>
      <c r="B496" t="s">
        <v>1261</v>
      </c>
    </row>
    <row r="497" spans="1:2">
      <c r="A497" t="s">
        <v>1262</v>
      </c>
      <c r="B497" t="s">
        <v>1263</v>
      </c>
    </row>
    <row r="498" spans="1:2">
      <c r="A498" t="s">
        <v>1264</v>
      </c>
      <c r="B498" t="s">
        <v>1265</v>
      </c>
    </row>
    <row r="499" spans="1:2">
      <c r="A499" t="s">
        <v>1266</v>
      </c>
      <c r="B499" t="s">
        <v>1267</v>
      </c>
    </row>
    <row r="500" spans="1:2">
      <c r="A500" t="s">
        <v>1268</v>
      </c>
      <c r="B500" t="s">
        <v>1269</v>
      </c>
    </row>
    <row r="501" spans="1:2">
      <c r="A501" t="s">
        <v>1270</v>
      </c>
      <c r="B501" t="s">
        <v>1271</v>
      </c>
    </row>
    <row r="502" spans="1:2">
      <c r="A502" t="s">
        <v>1272</v>
      </c>
      <c r="B502" t="s">
        <v>1273</v>
      </c>
    </row>
    <row r="503" spans="1:2">
      <c r="A503" t="s">
        <v>1274</v>
      </c>
      <c r="B503" t="s">
        <v>1275</v>
      </c>
    </row>
    <row r="504" spans="1:2">
      <c r="A504" t="s">
        <v>1276</v>
      </c>
      <c r="B504" t="s">
        <v>1277</v>
      </c>
    </row>
    <row r="505" spans="1:2">
      <c r="A505" t="s">
        <v>1278</v>
      </c>
      <c r="B505" t="s">
        <v>1279</v>
      </c>
    </row>
    <row r="506" spans="1:2">
      <c r="A506" t="s">
        <v>1280</v>
      </c>
      <c r="B506" t="s">
        <v>1281</v>
      </c>
    </row>
    <row r="507" spans="1:2">
      <c r="A507" t="s">
        <v>1282</v>
      </c>
      <c r="B507" t="s">
        <v>1283</v>
      </c>
    </row>
    <row r="508" spans="1:2">
      <c r="A508" t="s">
        <v>1284</v>
      </c>
      <c r="B508" t="s">
        <v>1285</v>
      </c>
    </row>
    <row r="509" spans="1:2">
      <c r="A509" t="s">
        <v>1286</v>
      </c>
      <c r="B509" t="s">
        <v>1287</v>
      </c>
    </row>
    <row r="510" spans="1:2">
      <c r="A510" t="s">
        <v>1288</v>
      </c>
      <c r="B510" t="s">
        <v>1289</v>
      </c>
    </row>
    <row r="511" spans="1:2">
      <c r="A511" t="s">
        <v>1290</v>
      </c>
      <c r="B511" t="s">
        <v>1291</v>
      </c>
    </row>
    <row r="512" spans="1:2">
      <c r="A512" t="s">
        <v>1292</v>
      </c>
      <c r="B512" t="s">
        <v>1293</v>
      </c>
    </row>
    <row r="513" spans="1:2">
      <c r="A513" t="s">
        <v>1294</v>
      </c>
      <c r="B513" t="s">
        <v>1295</v>
      </c>
    </row>
    <row r="514" spans="1:2">
      <c r="A514" t="s">
        <v>1296</v>
      </c>
      <c r="B514" t="s">
        <v>1297</v>
      </c>
    </row>
  </sheetData>
  <protectedRanges>
    <protectedRange sqref="A3:B514" name="範圍1"/>
    <protectedRange sqref="P2" name="範圍1_1"/>
    <protectedRange sqref="P4" name="範圍1_2"/>
    <protectedRange sqref="P6" name="範圍1_3"/>
    <protectedRange sqref="P8" name="範圍1_4"/>
  </protectedRanges>
  <mergeCells count="2">
    <mergeCell ref="A1:B1"/>
    <mergeCell ref="F1:G1"/>
  </mergeCells>
  <phoneticPr fontId="1" type="noConversion"/>
  <conditionalFormatting sqref="P3">
    <cfRule type="duplicateValues" dxfId="43" priority="4"/>
  </conditionalFormatting>
  <conditionalFormatting sqref="P5">
    <cfRule type="duplicateValues" dxfId="42" priority="3"/>
  </conditionalFormatting>
  <conditionalFormatting sqref="P7">
    <cfRule type="duplicateValues" dxfId="41" priority="2"/>
  </conditionalFormatting>
  <conditionalFormatting sqref="P9">
    <cfRule type="duplicateValues" dxfId="40" priority="1"/>
  </conditionalFormatting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520"/>
  <sheetViews>
    <sheetView workbookViewId="0">
      <selection activeCell="B14" sqref="B14:B17"/>
    </sheetView>
  </sheetViews>
  <sheetFormatPr defaultRowHeight="15.75"/>
  <cols>
    <col min="1" max="1" width="29.375" bestFit="1" customWidth="1"/>
    <col min="2" max="2" width="16.375" bestFit="1" customWidth="1"/>
    <col min="8" max="8" width="23.125" bestFit="1" customWidth="1"/>
    <col min="9" max="9" width="12.875" customWidth="1"/>
    <col min="10" max="10" width="13.375" bestFit="1" customWidth="1"/>
    <col min="11" max="11" width="18.125" bestFit="1" customWidth="1"/>
    <col min="12" max="12" width="24.125" bestFit="1" customWidth="1"/>
    <col min="13" max="13" width="11.375" bestFit="1" customWidth="1"/>
    <col min="14" max="14" width="13.375" bestFit="1" customWidth="1"/>
    <col min="15" max="15" width="18.125" bestFit="1" customWidth="1"/>
    <col min="16" max="16" width="23.125" bestFit="1" customWidth="1"/>
    <col min="17" max="17" width="16.5" bestFit="1" customWidth="1"/>
    <col min="18" max="18" width="13.375" bestFit="1" customWidth="1"/>
    <col min="19" max="19" width="18.125" bestFit="1" customWidth="1"/>
    <col min="20" max="20" width="24.125" bestFit="1" customWidth="1"/>
    <col min="21" max="21" width="11.375" bestFit="1" customWidth="1"/>
    <col min="22" max="22" width="13.375" bestFit="1" customWidth="1"/>
    <col min="23" max="23" width="18.125" bestFit="1" customWidth="1"/>
  </cols>
  <sheetData>
    <row r="1" spans="1:23" ht="16.5" thickBot="1">
      <c r="A1" t="s">
        <v>1838</v>
      </c>
      <c r="B1" t="s">
        <v>1839</v>
      </c>
      <c r="C1" s="42" t="s">
        <v>1809</v>
      </c>
      <c r="D1" s="43"/>
      <c r="E1" s="44"/>
      <c r="F1" s="44"/>
      <c r="G1" s="45"/>
      <c r="H1" t="s">
        <v>1828</v>
      </c>
      <c r="J1" s="28" t="s">
        <v>1829</v>
      </c>
      <c r="K1" s="28" t="s">
        <v>1830</v>
      </c>
      <c r="N1" s="28" t="s">
        <v>1829</v>
      </c>
      <c r="O1" s="28" t="s">
        <v>1830</v>
      </c>
      <c r="R1" s="28" t="s">
        <v>1829</v>
      </c>
      <c r="S1" s="28" t="s">
        <v>1830</v>
      </c>
      <c r="V1" s="24" t="s">
        <v>1829</v>
      </c>
      <c r="W1" s="28" t="s">
        <v>1830</v>
      </c>
    </row>
    <row r="2" spans="1:23">
      <c r="A2" s="1" t="s">
        <v>1660</v>
      </c>
      <c r="B2" s="59" t="s">
        <v>65</v>
      </c>
      <c r="C2" s="5" t="s">
        <v>0</v>
      </c>
      <c r="D2" s="18"/>
      <c r="G2" s="46"/>
      <c r="H2" t="s">
        <v>1831</v>
      </c>
      <c r="I2" s="19" t="s">
        <v>1827</v>
      </c>
      <c r="J2" s="25"/>
      <c r="K2" s="25"/>
      <c r="L2" s="30" t="s">
        <v>1836</v>
      </c>
      <c r="M2" s="19" t="s">
        <v>1837</v>
      </c>
      <c r="N2" s="25"/>
      <c r="O2" s="25"/>
      <c r="P2" s="30" t="s">
        <v>1832</v>
      </c>
      <c r="Q2" s="19" t="s">
        <v>1835</v>
      </c>
      <c r="R2" s="25"/>
      <c r="S2" s="25"/>
      <c r="T2" s="30" t="s">
        <v>1833</v>
      </c>
      <c r="U2" s="19" t="s">
        <v>1834</v>
      </c>
      <c r="V2" s="25"/>
      <c r="W2" s="29"/>
    </row>
    <row r="3" spans="1:23">
      <c r="A3" s="1" t="s">
        <v>1655</v>
      </c>
      <c r="B3" s="59" t="s">
        <v>22</v>
      </c>
      <c r="C3" s="6" t="s">
        <v>1</v>
      </c>
      <c r="D3" s="18"/>
      <c r="G3" s="46"/>
      <c r="H3" s="1" t="s">
        <v>1660</v>
      </c>
      <c r="I3" s="19" t="str">
        <f>VLOOKUP(H3,A:B,2,0)</f>
        <v>SLOT0.CH56</v>
      </c>
      <c r="J3" s="33" t="str">
        <f>LEFT(I3,5)</f>
        <v>SLOT0</v>
      </c>
      <c r="K3" s="33" t="str">
        <f>MID(I3,9,10)</f>
        <v>56</v>
      </c>
      <c r="L3" s="1" t="s">
        <v>1699</v>
      </c>
      <c r="M3" s="19" t="str">
        <f>VLOOKUP(L3,A:B,2,0)</f>
        <v>SLOT0.CH108</v>
      </c>
      <c r="N3" s="33" t="str">
        <f>LEFT(M3,5)</f>
        <v>SLOT0</v>
      </c>
      <c r="O3" s="33" t="str">
        <f>MID(M3,9,10)</f>
        <v>108</v>
      </c>
      <c r="P3" s="1" t="s">
        <v>1738</v>
      </c>
      <c r="Q3" s="19" t="str">
        <f>VLOOKUP(P3,A:B,2,0)</f>
        <v>SLOT1.CH22</v>
      </c>
      <c r="R3" s="33" t="str">
        <f>LEFT(Q3,5)</f>
        <v>SLOT1</v>
      </c>
      <c r="S3" s="33" t="str">
        <f>MID(Q3,9,10)</f>
        <v>22</v>
      </c>
      <c r="T3" s="1" t="s">
        <v>1778</v>
      </c>
      <c r="U3" s="19" t="str">
        <f>VLOOKUP(T3,A:B,2,0)</f>
        <v>SLOT1.CH64</v>
      </c>
      <c r="V3" s="33" t="str">
        <f>LEFT(U3,5)</f>
        <v>SLOT1</v>
      </c>
      <c r="W3" s="34" t="str">
        <f>MID(U3,9,10)</f>
        <v>64</v>
      </c>
    </row>
    <row r="4" spans="1:23">
      <c r="A4" s="1" t="s">
        <v>1816</v>
      </c>
      <c r="B4" s="59" t="s">
        <v>21</v>
      </c>
      <c r="C4" s="6" t="s">
        <v>2</v>
      </c>
      <c r="D4" s="18"/>
      <c r="G4" s="46"/>
      <c r="H4" s="1" t="s">
        <v>1655</v>
      </c>
      <c r="I4" s="19" t="str">
        <f t="shared" ref="I4:I6" si="0">VLOOKUP(H4,A:B,2,0)</f>
        <v>SLOT0.CH13</v>
      </c>
      <c r="J4" s="33" t="str">
        <f t="shared" ref="J4:J6" si="1">LEFT(I4,5)</f>
        <v>SLOT0</v>
      </c>
      <c r="K4" s="33" t="str">
        <f t="shared" ref="K4:K6" si="2">MID(I4,9,10)</f>
        <v>13</v>
      </c>
      <c r="L4" s="1" t="s">
        <v>1694</v>
      </c>
      <c r="M4" s="19" t="str">
        <f t="shared" ref="M4:M6" si="3">VLOOKUP(L4,A:B,2,0)</f>
        <v>SLOT0.CH105</v>
      </c>
      <c r="N4" s="33" t="str">
        <f t="shared" ref="N4:N6" si="4">LEFT(M4,5)</f>
        <v>SLOT0</v>
      </c>
      <c r="O4" s="33" t="str">
        <f t="shared" ref="O4:O6" si="5">MID(M4,9,10)</f>
        <v>105</v>
      </c>
      <c r="P4" s="1" t="s">
        <v>1733</v>
      </c>
      <c r="Q4" s="19" t="str">
        <f t="shared" ref="Q4:Q6" si="6">VLOOKUP(P4,A:B,2,0)</f>
        <v>SLOT1.CH23</v>
      </c>
      <c r="R4" s="33" t="str">
        <f t="shared" ref="R4:R6" si="7">LEFT(Q4,5)</f>
        <v>SLOT1</v>
      </c>
      <c r="S4" s="33" t="str">
        <f t="shared" ref="S4:S6" si="8">MID(Q4,9,10)</f>
        <v>23</v>
      </c>
      <c r="T4" s="1" t="s">
        <v>1773</v>
      </c>
      <c r="U4" s="19" t="str">
        <f t="shared" ref="U4:U6" si="9">VLOOKUP(T4,A:B,2,0)</f>
        <v>SLOT1.CH70</v>
      </c>
      <c r="V4" s="33" t="str">
        <f t="shared" ref="V4:V6" si="10">LEFT(U4,5)</f>
        <v>SLOT1</v>
      </c>
      <c r="W4" s="34" t="str">
        <f t="shared" ref="W4:W6" si="11">MID(U4,9,10)</f>
        <v>70</v>
      </c>
    </row>
    <row r="5" spans="1:23">
      <c r="A5" s="1" t="s">
        <v>1661</v>
      </c>
      <c r="B5" s="59" t="s">
        <v>63</v>
      </c>
      <c r="C5" s="6" t="s">
        <v>3</v>
      </c>
      <c r="D5" s="18"/>
      <c r="G5" s="46"/>
      <c r="H5" s="1" t="s">
        <v>1816</v>
      </c>
      <c r="I5" s="19" t="str">
        <f t="shared" si="0"/>
        <v>SLOT0.CH12</v>
      </c>
      <c r="J5" s="33" t="str">
        <f t="shared" si="1"/>
        <v>SLOT0</v>
      </c>
      <c r="K5" s="33" t="str">
        <f t="shared" si="2"/>
        <v>12</v>
      </c>
      <c r="L5" s="1" t="s">
        <v>1817</v>
      </c>
      <c r="M5" s="19" t="str">
        <f t="shared" si="3"/>
        <v>SLOT0.CH103</v>
      </c>
      <c r="N5" s="33" t="str">
        <f t="shared" si="4"/>
        <v>SLOT0</v>
      </c>
      <c r="O5" s="33" t="str">
        <f t="shared" si="5"/>
        <v>103</v>
      </c>
      <c r="P5" s="1" t="s">
        <v>1818</v>
      </c>
      <c r="Q5" s="19" t="str">
        <f t="shared" si="6"/>
        <v>SLOT1.CH26</v>
      </c>
      <c r="R5" s="33" t="str">
        <f t="shared" si="7"/>
        <v>SLOT1</v>
      </c>
      <c r="S5" s="33" t="str">
        <f t="shared" si="8"/>
        <v>26</v>
      </c>
      <c r="T5" s="1" t="s">
        <v>1819</v>
      </c>
      <c r="U5" s="19" t="str">
        <f t="shared" si="9"/>
        <v>SLOT1.CH71</v>
      </c>
      <c r="V5" s="33" t="str">
        <f t="shared" si="10"/>
        <v>SLOT1</v>
      </c>
      <c r="W5" s="34" t="str">
        <f t="shared" si="11"/>
        <v>71</v>
      </c>
    </row>
    <row r="6" spans="1:23">
      <c r="A6" s="1" t="s">
        <v>1699</v>
      </c>
      <c r="B6" s="59" t="s">
        <v>116</v>
      </c>
      <c r="C6" s="6"/>
      <c r="D6" s="18"/>
      <c r="G6" s="46"/>
      <c r="H6" s="1" t="s">
        <v>1661</v>
      </c>
      <c r="I6" s="19" t="str">
        <f t="shared" si="0"/>
        <v>SLOT0.CH54</v>
      </c>
      <c r="J6" s="33" t="str">
        <f t="shared" si="1"/>
        <v>SLOT0</v>
      </c>
      <c r="K6" s="33" t="str">
        <f t="shared" si="2"/>
        <v>54</v>
      </c>
      <c r="L6" s="1" t="s">
        <v>1700</v>
      </c>
      <c r="M6" s="19" t="str">
        <f t="shared" si="3"/>
        <v>SLOT0.CH104</v>
      </c>
      <c r="N6" s="33" t="str">
        <f t="shared" si="4"/>
        <v>SLOT0</v>
      </c>
      <c r="O6" s="33" t="str">
        <f t="shared" si="5"/>
        <v>104</v>
      </c>
      <c r="P6" s="1" t="s">
        <v>1739</v>
      </c>
      <c r="Q6" s="19" t="str">
        <f t="shared" si="6"/>
        <v>SLOT1.CH27</v>
      </c>
      <c r="R6" s="33" t="str">
        <f t="shared" si="7"/>
        <v>SLOT1</v>
      </c>
      <c r="S6" s="33" t="str">
        <f t="shared" si="8"/>
        <v>27</v>
      </c>
      <c r="T6" s="1" t="s">
        <v>1779</v>
      </c>
      <c r="U6" s="19" t="str">
        <f t="shared" si="9"/>
        <v>SLOT1.CH65</v>
      </c>
      <c r="V6" s="33" t="str">
        <f t="shared" si="10"/>
        <v>SLOT1</v>
      </c>
      <c r="W6" s="34" t="str">
        <f t="shared" si="11"/>
        <v>65</v>
      </c>
    </row>
    <row r="7" spans="1:23">
      <c r="A7" s="1" t="s">
        <v>1694</v>
      </c>
      <c r="B7" s="59" t="s">
        <v>113</v>
      </c>
      <c r="C7" s="6" t="s">
        <v>4</v>
      </c>
      <c r="D7" s="18"/>
      <c r="G7" s="46"/>
      <c r="I7" s="20"/>
      <c r="J7" s="32"/>
      <c r="K7" s="32"/>
      <c r="L7" s="31"/>
      <c r="M7" s="20"/>
      <c r="N7" s="32"/>
      <c r="O7" s="32"/>
      <c r="P7" s="31"/>
      <c r="Q7" s="20"/>
      <c r="R7" s="32"/>
      <c r="S7" s="32"/>
      <c r="T7" s="31"/>
      <c r="U7" s="20"/>
      <c r="V7" s="25"/>
      <c r="W7" s="29"/>
    </row>
    <row r="8" spans="1:23">
      <c r="A8" s="1" t="s">
        <v>1817</v>
      </c>
      <c r="B8" s="59" t="s">
        <v>111</v>
      </c>
      <c r="C8" s="6" t="s">
        <v>5</v>
      </c>
      <c r="D8" s="18"/>
      <c r="G8" s="46"/>
      <c r="H8" s="22" t="str">
        <f>"RULE: "&amp; MID(C2,21,99)</f>
        <v>RULE: SLOT0 CH0~CH63</v>
      </c>
      <c r="I8" s="21"/>
      <c r="J8" s="26" t="b">
        <f>J3=MID($H$8,7,5)</f>
        <v>1</v>
      </c>
      <c r="K8" s="26" t="b">
        <f>IF(AND(VALUE(K3)&gt;=0,VALUE(K3)&lt;=63),TRUE,FALSE)</f>
        <v>1</v>
      </c>
      <c r="L8" s="22" t="str">
        <f>"RULE: "&amp; MID(C3,21,99)</f>
        <v>RULE: SLOT0 CH64 127</v>
      </c>
      <c r="M8" s="21"/>
      <c r="N8" s="26" t="b">
        <f>J3=MID($L$8,7,5)</f>
        <v>1</v>
      </c>
      <c r="O8" s="26" t="b">
        <f>IF(AND(VALUE(O3)&gt;=63,VALUE(O3)&lt;=127),TRUE,FALSE)</f>
        <v>1</v>
      </c>
      <c r="P8" s="22" t="str">
        <f>"RULE: "&amp; MID(C4,21,99)</f>
        <v>RULE: SLOT1 CH0 ~CH63</v>
      </c>
      <c r="Q8" s="21"/>
      <c r="R8" s="26" t="b">
        <f>R3=MID($P$8,7,5)</f>
        <v>1</v>
      </c>
      <c r="S8" s="26" t="b">
        <f>IF(AND(VALUE(S3)&gt;=0,VALUE(S3)&lt;=63),TRUE,FALSE)</f>
        <v>1</v>
      </c>
      <c r="T8" s="22" t="str">
        <f>"RULE: "&amp; MID(C5,21,99)</f>
        <v>RULE: SLOT1 CH64~CH127</v>
      </c>
      <c r="U8" s="21"/>
      <c r="V8" s="26" t="b">
        <f>V3=MID($T$8,7,5)</f>
        <v>1</v>
      </c>
      <c r="W8" s="26" t="b">
        <f>IF(AND(VALUE(W3)&gt;=63,VALUE(W3)&lt;=127),TRUE,FALSE)</f>
        <v>1</v>
      </c>
    </row>
    <row r="9" spans="1:23">
      <c r="A9" s="1" t="s">
        <v>1700</v>
      </c>
      <c r="B9" s="59" t="s">
        <v>112</v>
      </c>
      <c r="C9" s="57" t="s">
        <v>1843</v>
      </c>
      <c r="D9" s="18"/>
      <c r="G9" s="46"/>
      <c r="H9" s="22"/>
      <c r="I9" s="21"/>
      <c r="J9" s="26" t="b">
        <f t="shared" ref="J9:J11" si="12">J4=MID($H$8,7,5)</f>
        <v>1</v>
      </c>
      <c r="K9" s="26" t="b">
        <f t="shared" ref="K9:K11" si="13">IF(AND(VALUE(K4)&gt;=0,VALUE(K4)&lt;=63),TRUE,FALSE)</f>
        <v>1</v>
      </c>
      <c r="L9" s="22"/>
      <c r="M9" s="21"/>
      <c r="N9" s="26" t="b">
        <f t="shared" ref="N9:N11" si="14">J4=MID($L$8,7,5)</f>
        <v>1</v>
      </c>
      <c r="O9" s="26" t="b">
        <f t="shared" ref="O9:O11" si="15">IF(AND(VALUE(O4)&gt;=63,VALUE(O4)&lt;=127),TRUE,FALSE)</f>
        <v>1</v>
      </c>
      <c r="P9" s="22"/>
      <c r="Q9" s="21"/>
      <c r="R9" s="26" t="b">
        <f t="shared" ref="R9:R11" si="16">R4=MID($P$8,7,5)</f>
        <v>1</v>
      </c>
      <c r="S9" s="26" t="b">
        <f t="shared" ref="S9:S11" si="17">IF(AND(VALUE(S4)&gt;=0,VALUE(S4)&lt;=63),TRUE,FALSE)</f>
        <v>1</v>
      </c>
      <c r="T9" s="22"/>
      <c r="U9" s="21"/>
      <c r="V9" s="26" t="b">
        <f t="shared" ref="V9:V11" si="18">V4=MID($T$8,7,5)</f>
        <v>1</v>
      </c>
      <c r="W9" s="26" t="b">
        <f t="shared" ref="W9:W11" si="19">IF(AND(VALUE(W4)&gt;=63,VALUE(W4)&lt;=127),TRUE,FALSE)</f>
        <v>1</v>
      </c>
    </row>
    <row r="10" spans="1:23" ht="16.5" thickBot="1">
      <c r="A10" s="1" t="s">
        <v>1738</v>
      </c>
      <c r="B10" s="59" t="s">
        <v>157</v>
      </c>
      <c r="C10" s="58" t="s">
        <v>1844</v>
      </c>
      <c r="D10" s="47"/>
      <c r="E10" s="48"/>
      <c r="F10" s="48"/>
      <c r="G10" s="49"/>
      <c r="H10" s="22"/>
      <c r="I10" s="21"/>
      <c r="J10" s="26" t="b">
        <f t="shared" si="12"/>
        <v>1</v>
      </c>
      <c r="K10" s="26" t="b">
        <f t="shared" si="13"/>
        <v>1</v>
      </c>
      <c r="L10" s="22"/>
      <c r="M10" s="21"/>
      <c r="N10" s="26" t="b">
        <f t="shared" si="14"/>
        <v>1</v>
      </c>
      <c r="O10" s="26" t="b">
        <f t="shared" si="15"/>
        <v>1</v>
      </c>
      <c r="P10" s="22"/>
      <c r="Q10" s="21"/>
      <c r="R10" s="26" t="b">
        <f t="shared" si="16"/>
        <v>1</v>
      </c>
      <c r="S10" s="26" t="b">
        <f t="shared" si="17"/>
        <v>1</v>
      </c>
      <c r="T10" s="22"/>
      <c r="U10" s="21"/>
      <c r="V10" s="26" t="b">
        <f t="shared" si="18"/>
        <v>1</v>
      </c>
      <c r="W10" s="26" t="b">
        <f t="shared" si="19"/>
        <v>1</v>
      </c>
    </row>
    <row r="11" spans="1:23" ht="16.5" thickBot="1">
      <c r="A11" s="1" t="s">
        <v>1733</v>
      </c>
      <c r="B11" s="59" t="s">
        <v>158</v>
      </c>
      <c r="C11" s="41"/>
      <c r="H11" s="16"/>
      <c r="I11" s="21"/>
      <c r="J11" s="27" t="b">
        <f t="shared" si="12"/>
        <v>1</v>
      </c>
      <c r="K11" s="27" t="b">
        <f t="shared" si="13"/>
        <v>1</v>
      </c>
      <c r="L11" s="22"/>
      <c r="M11" s="21"/>
      <c r="N11" s="27" t="b">
        <f t="shared" si="14"/>
        <v>1</v>
      </c>
      <c r="O11" s="27" t="b">
        <f t="shared" si="15"/>
        <v>1</v>
      </c>
      <c r="P11" s="22"/>
      <c r="Q11" s="21"/>
      <c r="R11" s="27" t="b">
        <f t="shared" si="16"/>
        <v>1</v>
      </c>
      <c r="S11" s="27" t="b">
        <f t="shared" si="17"/>
        <v>1</v>
      </c>
      <c r="T11" s="22"/>
      <c r="U11" s="21"/>
      <c r="V11" s="27" t="b">
        <f t="shared" si="18"/>
        <v>1</v>
      </c>
      <c r="W11" s="27" t="b">
        <f t="shared" si="19"/>
        <v>1</v>
      </c>
    </row>
    <row r="12" spans="1:23">
      <c r="A12" s="1" t="s">
        <v>1818</v>
      </c>
      <c r="B12" s="59" t="s">
        <v>161</v>
      </c>
      <c r="C12" s="18"/>
      <c r="H12" s="16"/>
      <c r="I12" s="16"/>
      <c r="J12" s="23"/>
      <c r="K12" s="23"/>
      <c r="L12" s="16"/>
      <c r="M12" s="16"/>
      <c r="N12" s="23"/>
      <c r="O12" s="23"/>
      <c r="P12" s="16"/>
      <c r="Q12" s="16"/>
      <c r="R12" s="23"/>
      <c r="S12" s="23"/>
      <c r="T12" s="16"/>
      <c r="U12" s="16"/>
      <c r="V12" s="23"/>
      <c r="W12" s="23"/>
    </row>
    <row r="13" spans="1:23" ht="16.5" thickBot="1">
      <c r="A13" s="1" t="s">
        <v>1739</v>
      </c>
      <c r="B13" s="59" t="s">
        <v>162</v>
      </c>
      <c r="H13" s="16"/>
      <c r="I13" s="16"/>
      <c r="J13" s="16"/>
      <c r="K13" s="16"/>
      <c r="L13" s="36"/>
      <c r="M13" s="36"/>
      <c r="N13" s="16"/>
      <c r="O13" s="16"/>
      <c r="P13" s="16"/>
      <c r="Q13" s="16"/>
      <c r="R13" s="16"/>
      <c r="S13" s="16"/>
      <c r="T13" s="16"/>
      <c r="U13" s="16"/>
      <c r="V13" s="16"/>
      <c r="W13" s="16"/>
    </row>
    <row r="14" spans="1:23" ht="16.5" thickBot="1">
      <c r="A14" s="1" t="s">
        <v>1778</v>
      </c>
      <c r="B14" s="59" t="s">
        <v>1845</v>
      </c>
      <c r="C14" s="60" t="s">
        <v>1840</v>
      </c>
      <c r="D14" s="60"/>
      <c r="E14" s="60"/>
      <c r="F14" s="60"/>
      <c r="G14" s="62"/>
      <c r="H14" s="16"/>
      <c r="I14" s="16"/>
      <c r="J14" s="16" t="s">
        <v>1841</v>
      </c>
      <c r="L14" s="37" t="s">
        <v>1842</v>
      </c>
      <c r="M14" s="38" t="b">
        <f>COUNTIF(J15:J46,"TRUE")=COUNTA(J15:J46)</f>
        <v>1</v>
      </c>
      <c r="N14" s="22"/>
      <c r="O14" s="16"/>
      <c r="P14" s="16"/>
      <c r="Q14" s="16"/>
      <c r="R14" s="16"/>
      <c r="S14" s="16"/>
      <c r="T14" s="16"/>
      <c r="U14" s="16"/>
      <c r="V14" s="16"/>
      <c r="W14" s="16"/>
    </row>
    <row r="15" spans="1:23">
      <c r="A15" s="1" t="s">
        <v>1773</v>
      </c>
      <c r="B15" s="59" t="s">
        <v>204</v>
      </c>
      <c r="C15" s="63" t="str">
        <f>IF(M14=TRUE,"PASS","FAIL")</f>
        <v>PASS</v>
      </c>
      <c r="D15" s="63"/>
      <c r="E15" s="63"/>
      <c r="F15" s="63"/>
      <c r="G15" s="64"/>
      <c r="H15" s="16"/>
      <c r="I15" s="16"/>
      <c r="J15" s="16" t="b">
        <f>J8</f>
        <v>1</v>
      </c>
      <c r="K15" s="16"/>
      <c r="L15" s="23"/>
      <c r="M15" s="23"/>
      <c r="N15" s="16"/>
      <c r="O15" s="16"/>
      <c r="P15" s="16"/>
      <c r="Q15" s="16"/>
      <c r="R15" s="16"/>
      <c r="S15" s="16"/>
      <c r="T15" s="16"/>
      <c r="U15" s="16"/>
      <c r="V15" s="16"/>
      <c r="W15" s="16"/>
    </row>
    <row r="16" spans="1:23">
      <c r="A16" s="1" t="s">
        <v>1819</v>
      </c>
      <c r="B16" s="59" t="s">
        <v>205</v>
      </c>
      <c r="C16" s="63"/>
      <c r="D16" s="63"/>
      <c r="E16" s="63"/>
      <c r="F16" s="63"/>
      <c r="G16" s="64"/>
      <c r="H16" s="16"/>
      <c r="I16" s="16"/>
      <c r="J16" s="16" t="b">
        <f t="shared" ref="J16:J18" si="20">J9</f>
        <v>1</v>
      </c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</row>
    <row r="17" spans="1:23">
      <c r="A17" s="1" t="s">
        <v>1779</v>
      </c>
      <c r="B17" s="59" t="s">
        <v>199</v>
      </c>
      <c r="C17" s="63"/>
      <c r="D17" s="63"/>
      <c r="E17" s="63"/>
      <c r="F17" s="63"/>
      <c r="G17" s="64"/>
      <c r="H17" s="16"/>
      <c r="I17" s="16"/>
      <c r="J17" s="16" t="b">
        <f t="shared" si="20"/>
        <v>1</v>
      </c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</row>
    <row r="18" spans="1:23">
      <c r="A18" s="17"/>
      <c r="B18" s="17"/>
      <c r="C18" s="63"/>
      <c r="D18" s="63"/>
      <c r="E18" s="63"/>
      <c r="F18" s="63"/>
      <c r="G18" s="64"/>
      <c r="H18" s="16"/>
      <c r="I18" s="16"/>
      <c r="J18" s="16" t="b">
        <f t="shared" si="20"/>
        <v>1</v>
      </c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</row>
    <row r="19" spans="1:23">
      <c r="A19" s="17"/>
      <c r="B19" s="17"/>
      <c r="C19" s="63"/>
      <c r="D19" s="63"/>
      <c r="E19" s="63"/>
      <c r="F19" s="63"/>
      <c r="G19" s="64"/>
      <c r="H19" s="16"/>
      <c r="I19" s="16"/>
      <c r="J19" s="16" t="b">
        <f>K8</f>
        <v>1</v>
      </c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</row>
    <row r="20" spans="1:23">
      <c r="A20" s="17"/>
      <c r="B20" s="17"/>
      <c r="C20" s="63"/>
      <c r="D20" s="63"/>
      <c r="E20" s="63"/>
      <c r="F20" s="63"/>
      <c r="G20" s="64"/>
      <c r="H20" s="16"/>
      <c r="I20" s="16"/>
      <c r="J20" s="16" t="b">
        <f t="shared" ref="J20:J22" si="21">K9</f>
        <v>1</v>
      </c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</row>
    <row r="21" spans="1:23">
      <c r="A21" s="17"/>
      <c r="B21" s="17"/>
      <c r="C21" s="63"/>
      <c r="D21" s="63"/>
      <c r="E21" s="63"/>
      <c r="F21" s="63"/>
      <c r="G21" s="64"/>
      <c r="H21" s="16"/>
      <c r="I21" s="16"/>
      <c r="J21" s="16" t="b">
        <f t="shared" si="21"/>
        <v>1</v>
      </c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</row>
    <row r="22" spans="1:23">
      <c r="A22" s="17"/>
      <c r="B22" s="17"/>
      <c r="C22" s="63"/>
      <c r="D22" s="63"/>
      <c r="E22" s="63"/>
      <c r="F22" s="63"/>
      <c r="G22" s="64"/>
      <c r="H22" s="16"/>
      <c r="I22" s="16"/>
      <c r="J22" s="16" t="b">
        <f t="shared" si="21"/>
        <v>1</v>
      </c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</row>
    <row r="23" spans="1:23">
      <c r="A23" s="17"/>
      <c r="B23" s="17"/>
      <c r="C23" s="63"/>
      <c r="D23" s="63"/>
      <c r="E23" s="63"/>
      <c r="F23" s="63"/>
      <c r="G23" s="64"/>
      <c r="H23" s="16"/>
      <c r="I23" s="16"/>
      <c r="J23" s="16" t="b">
        <f>N8</f>
        <v>1</v>
      </c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</row>
    <row r="24" spans="1:23">
      <c r="A24" s="17"/>
      <c r="B24" s="17"/>
      <c r="C24" s="63"/>
      <c r="D24" s="63"/>
      <c r="E24" s="63"/>
      <c r="F24" s="63"/>
      <c r="G24" s="64"/>
      <c r="H24" s="16"/>
      <c r="I24" s="16"/>
      <c r="J24" s="16" t="b">
        <f t="shared" ref="J24:J26" si="22">N9</f>
        <v>1</v>
      </c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</row>
    <row r="25" spans="1:23">
      <c r="A25" s="17"/>
      <c r="B25" s="17"/>
      <c r="C25" s="63"/>
      <c r="D25" s="63"/>
      <c r="E25" s="63"/>
      <c r="F25" s="63"/>
      <c r="G25" s="64"/>
      <c r="H25" s="16"/>
      <c r="I25" s="16"/>
      <c r="J25" s="16" t="b">
        <f t="shared" si="22"/>
        <v>1</v>
      </c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</row>
    <row r="26" spans="1:23" ht="18.75">
      <c r="A26" s="39"/>
      <c r="B26" s="39"/>
      <c r="C26" s="63"/>
      <c r="D26" s="63"/>
      <c r="E26" s="63"/>
      <c r="F26" s="63"/>
      <c r="G26" s="64"/>
      <c r="H26" s="16"/>
      <c r="I26" s="16"/>
      <c r="J26" s="16" t="b">
        <f t="shared" si="22"/>
        <v>1</v>
      </c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</row>
    <row r="27" spans="1:23" ht="18.75">
      <c r="A27" s="39"/>
      <c r="B27" s="39"/>
      <c r="C27" s="63"/>
      <c r="D27" s="63"/>
      <c r="E27" s="63"/>
      <c r="F27" s="63"/>
      <c r="G27" s="64"/>
      <c r="H27" s="16"/>
      <c r="I27" s="16"/>
      <c r="J27" s="16" t="b">
        <f>O8</f>
        <v>1</v>
      </c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</row>
    <row r="28" spans="1:23" ht="18.75">
      <c r="A28" s="39"/>
      <c r="B28" s="39"/>
      <c r="H28" s="16"/>
      <c r="I28" s="16"/>
      <c r="J28" s="16" t="b">
        <f t="shared" ref="J28:J30" si="23">O9</f>
        <v>1</v>
      </c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</row>
    <row r="29" spans="1:23" ht="18.75">
      <c r="A29" s="39"/>
      <c r="B29" s="39"/>
      <c r="J29" s="16" t="b">
        <f t="shared" si="23"/>
        <v>1</v>
      </c>
    </row>
    <row r="30" spans="1:23" ht="18.75">
      <c r="A30" s="39"/>
      <c r="B30" s="39"/>
      <c r="J30" s="16" t="b">
        <f t="shared" si="23"/>
        <v>1</v>
      </c>
    </row>
    <row r="31" spans="1:23" ht="18.75">
      <c r="A31" s="39"/>
      <c r="B31" s="39"/>
      <c r="J31" s="35" t="b">
        <f>R8</f>
        <v>1</v>
      </c>
    </row>
    <row r="32" spans="1:23" ht="18.75">
      <c r="A32" s="39"/>
      <c r="B32" s="39"/>
      <c r="J32" s="35" t="b">
        <f t="shared" ref="J32:J34" si="24">R9</f>
        <v>1</v>
      </c>
    </row>
    <row r="33" spans="1:10" ht="18.75">
      <c r="A33" s="39"/>
      <c r="B33" s="39"/>
      <c r="J33" s="35" t="b">
        <f t="shared" si="24"/>
        <v>1</v>
      </c>
    </row>
    <row r="34" spans="1:10" ht="18.75">
      <c r="A34" s="39"/>
      <c r="B34" s="39"/>
      <c r="J34" s="35" t="b">
        <f t="shared" si="24"/>
        <v>1</v>
      </c>
    </row>
    <row r="35" spans="1:10" ht="18.75">
      <c r="A35" s="39"/>
      <c r="B35" s="39"/>
      <c r="J35" s="35" t="b">
        <f>S8</f>
        <v>1</v>
      </c>
    </row>
    <row r="36" spans="1:10" ht="18.75">
      <c r="A36" s="39"/>
      <c r="B36" s="39"/>
      <c r="J36" s="35" t="b">
        <f t="shared" ref="J36:J38" si="25">S9</f>
        <v>1</v>
      </c>
    </row>
    <row r="37" spans="1:10" ht="18.75">
      <c r="A37" s="39"/>
      <c r="B37" s="39"/>
      <c r="J37" s="35" t="b">
        <f t="shared" si="25"/>
        <v>1</v>
      </c>
    </row>
    <row r="38" spans="1:10" ht="18.75">
      <c r="A38" s="39"/>
      <c r="B38" s="39"/>
      <c r="J38" s="35" t="b">
        <f t="shared" si="25"/>
        <v>1</v>
      </c>
    </row>
    <row r="39" spans="1:10" ht="18.75">
      <c r="A39" s="39"/>
      <c r="B39" s="39"/>
      <c r="J39" s="35" t="b">
        <f>V8</f>
        <v>1</v>
      </c>
    </row>
    <row r="40" spans="1:10" ht="18.75">
      <c r="A40" s="39"/>
      <c r="B40" s="39"/>
      <c r="J40" s="35" t="b">
        <f t="shared" ref="J40:J42" si="26">V9</f>
        <v>1</v>
      </c>
    </row>
    <row r="41" spans="1:10" ht="18.75">
      <c r="A41" s="39"/>
      <c r="B41" s="39"/>
      <c r="J41" s="35" t="b">
        <f t="shared" si="26"/>
        <v>1</v>
      </c>
    </row>
    <row r="42" spans="1:10" ht="18.75">
      <c r="A42" s="39"/>
      <c r="B42" s="39"/>
      <c r="J42" s="35" t="b">
        <f t="shared" si="26"/>
        <v>1</v>
      </c>
    </row>
    <row r="43" spans="1:10" ht="18.75">
      <c r="A43" s="39"/>
      <c r="B43" s="39"/>
      <c r="J43" s="35" t="b">
        <f>W8</f>
        <v>1</v>
      </c>
    </row>
    <row r="44" spans="1:10" ht="18.75">
      <c r="A44" s="39"/>
      <c r="B44" s="39"/>
      <c r="J44" s="35" t="b">
        <f t="shared" ref="J44:J46" si="27">W9</f>
        <v>1</v>
      </c>
    </row>
    <row r="45" spans="1:10" ht="18.75">
      <c r="A45" s="39"/>
      <c r="B45" s="39"/>
      <c r="J45" s="35" t="b">
        <f t="shared" si="27"/>
        <v>1</v>
      </c>
    </row>
    <row r="46" spans="1:10" ht="18.75">
      <c r="A46" s="39"/>
      <c r="B46" s="39"/>
      <c r="J46" s="35" t="b">
        <f t="shared" si="27"/>
        <v>1</v>
      </c>
    </row>
    <row r="47" spans="1:10" ht="18.75">
      <c r="A47" s="39"/>
      <c r="B47" s="39"/>
    </row>
    <row r="48" spans="1:10" ht="18.75">
      <c r="A48" s="39"/>
      <c r="B48" s="39"/>
    </row>
    <row r="49" spans="1:2" ht="18.75">
      <c r="A49" s="39"/>
      <c r="B49" s="39"/>
    </row>
    <row r="50" spans="1:2" ht="18.75">
      <c r="A50" s="39"/>
      <c r="B50" s="39"/>
    </row>
    <row r="51" spans="1:2" ht="18.75">
      <c r="A51" s="39"/>
      <c r="B51" s="39"/>
    </row>
    <row r="52" spans="1:2" ht="18.75">
      <c r="A52" s="39"/>
      <c r="B52" s="39"/>
    </row>
    <row r="53" spans="1:2" ht="18.75">
      <c r="A53" s="39"/>
      <c r="B53" s="39"/>
    </row>
    <row r="54" spans="1:2" ht="18.75">
      <c r="A54" s="39"/>
      <c r="B54" s="39"/>
    </row>
    <row r="55" spans="1:2" ht="18.75">
      <c r="A55" s="39"/>
      <c r="B55" s="39"/>
    </row>
    <row r="56" spans="1:2" ht="18.75">
      <c r="A56" s="39"/>
      <c r="B56" s="39"/>
    </row>
    <row r="57" spans="1:2" ht="18.75">
      <c r="A57" s="39"/>
      <c r="B57" s="39"/>
    </row>
    <row r="58" spans="1:2" ht="18.75">
      <c r="A58" s="39"/>
      <c r="B58" s="39"/>
    </row>
    <row r="59" spans="1:2" ht="18.75">
      <c r="A59" s="39"/>
      <c r="B59" s="39"/>
    </row>
    <row r="60" spans="1:2" ht="18.75">
      <c r="A60" s="39"/>
      <c r="B60" s="39"/>
    </row>
    <row r="61" spans="1:2" ht="18.75">
      <c r="A61" s="39"/>
      <c r="B61" s="39"/>
    </row>
    <row r="62" spans="1:2" ht="18.75">
      <c r="A62" s="39"/>
      <c r="B62" s="39"/>
    </row>
    <row r="63" spans="1:2" ht="18.75">
      <c r="A63" s="39"/>
      <c r="B63" s="39"/>
    </row>
    <row r="64" spans="1:2" ht="18.75">
      <c r="A64" s="39"/>
      <c r="B64" s="39"/>
    </row>
    <row r="65" spans="1:2" ht="18.75">
      <c r="A65" s="39"/>
      <c r="B65" s="39"/>
    </row>
    <row r="66" spans="1:2" ht="18.75">
      <c r="A66" s="39"/>
      <c r="B66" s="39"/>
    </row>
    <row r="67" spans="1:2" ht="18.75">
      <c r="A67" s="39"/>
      <c r="B67" s="39"/>
    </row>
    <row r="68" spans="1:2" ht="18.75">
      <c r="A68" s="39"/>
      <c r="B68" s="39"/>
    </row>
    <row r="69" spans="1:2" ht="18.75">
      <c r="A69" s="39"/>
      <c r="B69" s="39"/>
    </row>
    <row r="70" spans="1:2" ht="18.75">
      <c r="A70" s="39"/>
      <c r="B70" s="39"/>
    </row>
    <row r="71" spans="1:2" ht="18.75">
      <c r="A71" s="39"/>
      <c r="B71" s="39"/>
    </row>
    <row r="72" spans="1:2" ht="18.75">
      <c r="A72" s="39"/>
      <c r="B72" s="39"/>
    </row>
    <row r="73" spans="1:2" ht="18.75">
      <c r="A73" s="39"/>
      <c r="B73" s="39"/>
    </row>
    <row r="74" spans="1:2" ht="18.75">
      <c r="A74" s="39"/>
      <c r="B74" s="39"/>
    </row>
    <row r="75" spans="1:2" ht="18.75">
      <c r="A75" s="39"/>
      <c r="B75" s="39"/>
    </row>
    <row r="76" spans="1:2" ht="18.75">
      <c r="A76" s="39"/>
      <c r="B76" s="39"/>
    </row>
    <row r="77" spans="1:2" ht="18.75">
      <c r="A77" s="39"/>
      <c r="B77" s="39"/>
    </row>
    <row r="78" spans="1:2" ht="18.75">
      <c r="A78" s="39"/>
      <c r="B78" s="39"/>
    </row>
    <row r="79" spans="1:2" ht="18.75">
      <c r="A79" s="39"/>
      <c r="B79" s="39"/>
    </row>
    <row r="80" spans="1:2" ht="18.75">
      <c r="A80" s="39"/>
      <c r="B80" s="39"/>
    </row>
    <row r="81" spans="1:2" ht="18.75">
      <c r="A81" s="39"/>
      <c r="B81" s="39"/>
    </row>
    <row r="82" spans="1:2" ht="18.75">
      <c r="A82" s="39"/>
      <c r="B82" s="39"/>
    </row>
    <row r="83" spans="1:2" ht="18.75">
      <c r="A83" s="39"/>
      <c r="B83" s="39"/>
    </row>
    <row r="84" spans="1:2" ht="18.75">
      <c r="A84" s="39"/>
      <c r="B84" s="39"/>
    </row>
    <row r="85" spans="1:2" ht="18.75">
      <c r="A85" s="39"/>
      <c r="B85" s="39"/>
    </row>
    <row r="86" spans="1:2" ht="18.75">
      <c r="A86" s="39"/>
      <c r="B86" s="39"/>
    </row>
    <row r="87" spans="1:2" ht="18.75">
      <c r="A87" s="39"/>
      <c r="B87" s="39"/>
    </row>
    <row r="88" spans="1:2" ht="18.75">
      <c r="A88" s="39"/>
      <c r="B88" s="39"/>
    </row>
    <row r="89" spans="1:2" ht="18.75">
      <c r="A89" s="39"/>
      <c r="B89" s="39"/>
    </row>
    <row r="90" spans="1:2" ht="18.75">
      <c r="A90" s="39"/>
      <c r="B90" s="39"/>
    </row>
    <row r="91" spans="1:2" ht="18.75">
      <c r="A91" s="39"/>
      <c r="B91" s="39"/>
    </row>
    <row r="92" spans="1:2" ht="18.75">
      <c r="A92" s="39"/>
      <c r="B92" s="39"/>
    </row>
    <row r="93" spans="1:2" ht="18.75">
      <c r="A93" s="39"/>
      <c r="B93" s="39"/>
    </row>
    <row r="94" spans="1:2" ht="18.75">
      <c r="A94" s="39"/>
      <c r="B94" s="39"/>
    </row>
    <row r="95" spans="1:2" ht="18.75">
      <c r="A95" s="39"/>
      <c r="B95" s="39"/>
    </row>
    <row r="96" spans="1:2" ht="18.75">
      <c r="A96" s="39"/>
      <c r="B96" s="39"/>
    </row>
    <row r="97" spans="1:2" ht="18.75">
      <c r="A97" s="39"/>
      <c r="B97" s="39"/>
    </row>
    <row r="98" spans="1:2" ht="18.75">
      <c r="A98" s="39"/>
      <c r="B98" s="39"/>
    </row>
    <row r="99" spans="1:2" ht="18.75">
      <c r="A99" s="39"/>
      <c r="B99" s="39"/>
    </row>
    <row r="100" spans="1:2" ht="18.75">
      <c r="A100" s="39"/>
      <c r="B100" s="40"/>
    </row>
    <row r="101" spans="1:2" ht="18.75">
      <c r="A101" s="39"/>
      <c r="B101" s="39"/>
    </row>
    <row r="102" spans="1:2" ht="18.75">
      <c r="A102" s="39"/>
      <c r="B102" s="40"/>
    </row>
    <row r="103" spans="1:2" ht="18.75">
      <c r="A103" s="39"/>
      <c r="B103" s="40"/>
    </row>
    <row r="104" spans="1:2" ht="18.75">
      <c r="A104" s="39"/>
      <c r="B104" s="39"/>
    </row>
    <row r="105" spans="1:2" ht="18.75">
      <c r="A105" s="39"/>
      <c r="B105" s="39"/>
    </row>
    <row r="106" spans="1:2" ht="18.75">
      <c r="A106" s="39"/>
      <c r="B106" s="39"/>
    </row>
    <row r="107" spans="1:2" ht="18.75">
      <c r="A107" s="39"/>
      <c r="B107" s="39"/>
    </row>
    <row r="108" spans="1:2" ht="18.75">
      <c r="A108" s="39"/>
      <c r="B108" s="39"/>
    </row>
    <row r="109" spans="1:2" ht="18.75">
      <c r="A109" s="39"/>
      <c r="B109" s="39"/>
    </row>
    <row r="110" spans="1:2" ht="18.75">
      <c r="A110" s="39"/>
      <c r="B110" s="39"/>
    </row>
    <row r="111" spans="1:2" ht="18.75">
      <c r="A111" s="39"/>
      <c r="B111" s="39"/>
    </row>
    <row r="112" spans="1:2" ht="18.75">
      <c r="A112" s="39"/>
      <c r="B112" s="39"/>
    </row>
    <row r="113" spans="1:2" ht="18.75">
      <c r="A113" s="39"/>
      <c r="B113" s="39"/>
    </row>
    <row r="114" spans="1:2" ht="18.75">
      <c r="A114" s="39"/>
      <c r="B114" s="39"/>
    </row>
    <row r="115" spans="1:2" ht="18.75">
      <c r="A115" s="39"/>
      <c r="B115" s="40"/>
    </row>
    <row r="116" spans="1:2" ht="18.75">
      <c r="A116" s="39"/>
      <c r="B116" s="39"/>
    </row>
    <row r="117" spans="1:2" ht="18.75">
      <c r="A117" s="39"/>
      <c r="B117" s="39"/>
    </row>
    <row r="118" spans="1:2" ht="18.75">
      <c r="A118" s="39"/>
      <c r="B118" s="39"/>
    </row>
    <row r="119" spans="1:2" ht="18.75">
      <c r="A119" s="39"/>
      <c r="B119" s="40"/>
    </row>
    <row r="120" spans="1:2" ht="18.75">
      <c r="A120" s="39"/>
      <c r="B120" s="40"/>
    </row>
    <row r="121" spans="1:2" ht="18.75">
      <c r="A121" s="39"/>
      <c r="B121" s="39"/>
    </row>
    <row r="122" spans="1:2" ht="18.75">
      <c r="A122" s="39"/>
      <c r="B122" s="39"/>
    </row>
    <row r="123" spans="1:2" ht="18.75">
      <c r="A123" s="39"/>
      <c r="B123" s="39"/>
    </row>
    <row r="124" spans="1:2" ht="18.75">
      <c r="A124" s="39"/>
      <c r="B124" s="39"/>
    </row>
    <row r="125" spans="1:2" ht="18.75">
      <c r="A125" s="39"/>
      <c r="B125" s="39"/>
    </row>
    <row r="126" spans="1:2" ht="18.75">
      <c r="A126" s="39"/>
      <c r="B126" s="39"/>
    </row>
    <row r="127" spans="1:2" ht="18.75">
      <c r="A127" s="39"/>
      <c r="B127" s="39"/>
    </row>
    <row r="128" spans="1:2" ht="18.75">
      <c r="A128" s="39"/>
      <c r="B128" s="39"/>
    </row>
    <row r="129" spans="1:2" ht="18.75">
      <c r="A129" s="39"/>
      <c r="B129" s="39"/>
    </row>
    <row r="130" spans="1:2" ht="18.75">
      <c r="A130" s="39"/>
      <c r="B130" s="39"/>
    </row>
    <row r="131" spans="1:2" ht="18.75">
      <c r="A131" s="39"/>
      <c r="B131" s="39"/>
    </row>
    <row r="132" spans="1:2" ht="18.75">
      <c r="A132" s="39"/>
      <c r="B132" s="39"/>
    </row>
    <row r="133" spans="1:2" ht="18.75">
      <c r="A133" s="39"/>
      <c r="B133" s="39"/>
    </row>
    <row r="134" spans="1:2" ht="18.75">
      <c r="A134" s="39"/>
      <c r="B134" s="39"/>
    </row>
    <row r="135" spans="1:2" ht="18.75">
      <c r="A135" s="39"/>
      <c r="B135" s="39"/>
    </row>
    <row r="136" spans="1:2" ht="18.75">
      <c r="A136" s="39"/>
      <c r="B136" s="39"/>
    </row>
    <row r="137" spans="1:2" ht="18.75">
      <c r="A137" s="39"/>
      <c r="B137" s="39"/>
    </row>
    <row r="138" spans="1:2" ht="18.75">
      <c r="A138" s="39"/>
      <c r="B138" s="39"/>
    </row>
    <row r="139" spans="1:2" ht="18.75">
      <c r="A139" s="39"/>
      <c r="B139" s="39"/>
    </row>
    <row r="140" spans="1:2" ht="18.75">
      <c r="A140" s="39"/>
      <c r="B140" s="39"/>
    </row>
    <row r="141" spans="1:2" ht="18.75">
      <c r="A141" s="39"/>
      <c r="B141" s="39"/>
    </row>
    <row r="142" spans="1:2" ht="18.75">
      <c r="A142" s="39"/>
      <c r="B142" s="39"/>
    </row>
    <row r="143" spans="1:2" ht="18.75">
      <c r="A143" s="39"/>
      <c r="B143" s="39"/>
    </row>
    <row r="144" spans="1:2" ht="18.75">
      <c r="A144" s="39"/>
      <c r="B144" s="39"/>
    </row>
    <row r="145" spans="1:2" ht="18.75">
      <c r="A145" s="39"/>
      <c r="B145" s="39"/>
    </row>
    <row r="146" spans="1:2" ht="18.75">
      <c r="A146" s="39"/>
      <c r="B146" s="39"/>
    </row>
    <row r="147" spans="1:2" ht="18.75">
      <c r="A147" s="39"/>
      <c r="B147" s="39"/>
    </row>
    <row r="148" spans="1:2" ht="18.75">
      <c r="A148" s="39"/>
      <c r="B148" s="39"/>
    </row>
    <row r="149" spans="1:2" ht="18.75">
      <c r="A149" s="39"/>
      <c r="B149" s="39"/>
    </row>
    <row r="150" spans="1:2" ht="18.75">
      <c r="A150" s="39"/>
      <c r="B150" s="39"/>
    </row>
    <row r="151" spans="1:2" ht="18.75">
      <c r="A151" s="39"/>
      <c r="B151" s="40"/>
    </row>
    <row r="152" spans="1:2" ht="18.75">
      <c r="A152" s="39"/>
      <c r="B152" s="39"/>
    </row>
    <row r="153" spans="1:2" ht="18.75">
      <c r="A153" s="39"/>
      <c r="B153" s="39"/>
    </row>
    <row r="154" spans="1:2" ht="18.75">
      <c r="A154" s="39"/>
      <c r="B154" s="39"/>
    </row>
    <row r="155" spans="1:2" ht="18.75">
      <c r="A155" s="39"/>
      <c r="B155" s="39"/>
    </row>
    <row r="156" spans="1:2" ht="18.75">
      <c r="A156" s="39"/>
      <c r="B156" s="39"/>
    </row>
    <row r="157" spans="1:2" ht="18.75">
      <c r="A157" s="39"/>
      <c r="B157" s="39"/>
    </row>
    <row r="158" spans="1:2" ht="18.75">
      <c r="A158" s="39"/>
      <c r="B158" s="39"/>
    </row>
    <row r="159" spans="1:2" ht="18.75">
      <c r="A159" s="39"/>
      <c r="B159" s="39"/>
    </row>
    <row r="160" spans="1:2" ht="18.75">
      <c r="A160" s="39"/>
      <c r="B160" s="39"/>
    </row>
    <row r="161" spans="1:2" ht="18.75">
      <c r="A161" s="39"/>
      <c r="B161" s="39"/>
    </row>
    <row r="162" spans="1:2" ht="18.75">
      <c r="A162" s="39"/>
      <c r="B162" s="39"/>
    </row>
    <row r="163" spans="1:2" ht="18.75">
      <c r="A163" s="39"/>
      <c r="B163" s="39"/>
    </row>
    <row r="164" spans="1:2" ht="18.75">
      <c r="A164" s="39"/>
      <c r="B164" s="39"/>
    </row>
    <row r="165" spans="1:2" ht="18.75">
      <c r="A165" s="39"/>
      <c r="B165" s="39"/>
    </row>
    <row r="166" spans="1:2" ht="18.75">
      <c r="A166" s="39"/>
      <c r="B166" s="39"/>
    </row>
    <row r="167" spans="1:2" ht="18.75">
      <c r="A167" s="39"/>
      <c r="B167" s="39"/>
    </row>
    <row r="168" spans="1:2" ht="18.75">
      <c r="A168" s="39"/>
      <c r="B168" s="40"/>
    </row>
    <row r="169" spans="1:2" ht="18.75">
      <c r="A169" s="39"/>
      <c r="B169" s="39"/>
    </row>
    <row r="170" spans="1:2" ht="18.75">
      <c r="A170" s="39"/>
      <c r="B170" s="39"/>
    </row>
    <row r="171" spans="1:2" ht="18.75">
      <c r="A171" s="39"/>
      <c r="B171" s="39"/>
    </row>
    <row r="172" spans="1:2" ht="18.75">
      <c r="A172" s="39"/>
      <c r="B172" s="39"/>
    </row>
    <row r="173" spans="1:2" ht="18.75">
      <c r="A173" s="39"/>
      <c r="B173" s="39"/>
    </row>
    <row r="174" spans="1:2" ht="18.75">
      <c r="A174" s="39"/>
      <c r="B174" s="39"/>
    </row>
    <row r="175" spans="1:2" ht="18.75">
      <c r="A175" s="39"/>
      <c r="B175" s="39"/>
    </row>
    <row r="176" spans="1:2" ht="18.75">
      <c r="A176" s="39"/>
      <c r="B176" s="39"/>
    </row>
    <row r="177" spans="1:2" ht="18.75">
      <c r="A177" s="39"/>
      <c r="B177" s="39"/>
    </row>
    <row r="178" spans="1:2" ht="18.75">
      <c r="A178" s="39"/>
      <c r="B178" s="39"/>
    </row>
    <row r="179" spans="1:2" ht="18.75">
      <c r="A179" s="39"/>
      <c r="B179" s="39"/>
    </row>
    <row r="180" spans="1:2" ht="18.75">
      <c r="A180" s="39"/>
      <c r="B180" s="39"/>
    </row>
    <row r="181" spans="1:2" ht="18.75">
      <c r="A181" s="39"/>
      <c r="B181" s="39"/>
    </row>
    <row r="182" spans="1:2" ht="18.75">
      <c r="A182" s="39"/>
      <c r="B182" s="39"/>
    </row>
    <row r="183" spans="1:2" ht="18.75">
      <c r="A183" s="39"/>
      <c r="B183" s="39"/>
    </row>
    <row r="184" spans="1:2" ht="18.75">
      <c r="A184" s="39"/>
      <c r="B184" s="39"/>
    </row>
    <row r="185" spans="1:2" ht="18.75">
      <c r="A185" s="39"/>
      <c r="B185" s="39"/>
    </row>
    <row r="186" spans="1:2" ht="18.75">
      <c r="A186" s="39"/>
      <c r="B186" s="39"/>
    </row>
    <row r="187" spans="1:2" ht="18.75">
      <c r="A187" s="39"/>
      <c r="B187" s="39"/>
    </row>
    <row r="188" spans="1:2" ht="18.75">
      <c r="A188" s="39"/>
      <c r="B188" s="39"/>
    </row>
    <row r="189" spans="1:2" ht="18.75">
      <c r="A189" s="39"/>
      <c r="B189" s="39"/>
    </row>
    <row r="190" spans="1:2" ht="18.75">
      <c r="A190" s="39"/>
      <c r="B190" s="39"/>
    </row>
    <row r="191" spans="1:2" ht="18.75">
      <c r="A191" s="39"/>
      <c r="B191" s="39"/>
    </row>
    <row r="192" spans="1:2" ht="18.75">
      <c r="A192" s="39"/>
      <c r="B192" s="39"/>
    </row>
    <row r="193" spans="1:2" ht="18.75">
      <c r="A193" s="39"/>
      <c r="B193" s="39"/>
    </row>
    <row r="194" spans="1:2" ht="18.75">
      <c r="A194" s="39"/>
      <c r="B194" s="39"/>
    </row>
    <row r="195" spans="1:2" ht="18.75">
      <c r="A195" s="39"/>
      <c r="B195" s="39"/>
    </row>
    <row r="196" spans="1:2" ht="18.75">
      <c r="A196" s="39"/>
      <c r="B196" s="39"/>
    </row>
    <row r="197" spans="1:2" ht="18.75">
      <c r="A197" s="39"/>
      <c r="B197" s="39"/>
    </row>
    <row r="198" spans="1:2" ht="18.75">
      <c r="A198" s="39"/>
      <c r="B198" s="39"/>
    </row>
    <row r="199" spans="1:2" ht="18.75">
      <c r="A199" s="39"/>
      <c r="B199" s="39"/>
    </row>
    <row r="200" spans="1:2" ht="18.75">
      <c r="A200" s="39"/>
      <c r="B200" s="39"/>
    </row>
    <row r="201" spans="1:2" ht="18.75">
      <c r="A201" s="39"/>
      <c r="B201" s="39"/>
    </row>
    <row r="202" spans="1:2" ht="18.75">
      <c r="A202" s="39"/>
      <c r="B202" s="39"/>
    </row>
    <row r="203" spans="1:2" ht="18.75">
      <c r="A203" s="39"/>
      <c r="B203" s="39"/>
    </row>
    <row r="204" spans="1:2" ht="18.75">
      <c r="A204" s="39"/>
      <c r="B204" s="39"/>
    </row>
    <row r="205" spans="1:2" ht="18.75">
      <c r="A205" s="39"/>
      <c r="B205" s="39"/>
    </row>
    <row r="206" spans="1:2" ht="18.75">
      <c r="A206" s="39"/>
      <c r="B206" s="39"/>
    </row>
    <row r="207" spans="1:2" ht="18.75">
      <c r="A207" s="39"/>
      <c r="B207" s="39"/>
    </row>
    <row r="208" spans="1:2" ht="18.75">
      <c r="A208" s="39"/>
      <c r="B208" s="39"/>
    </row>
    <row r="209" spans="1:2" ht="18.75">
      <c r="A209" s="39"/>
      <c r="B209" s="39"/>
    </row>
    <row r="210" spans="1:2" ht="18.75">
      <c r="A210" s="39"/>
      <c r="B210" s="39"/>
    </row>
    <row r="211" spans="1:2" ht="18.75">
      <c r="A211" s="39"/>
      <c r="B211" s="39"/>
    </row>
    <row r="212" spans="1:2" ht="18.75">
      <c r="A212" s="39"/>
      <c r="B212" s="39"/>
    </row>
    <row r="213" spans="1:2" ht="18.75">
      <c r="A213" s="39"/>
      <c r="B213" s="39"/>
    </row>
    <row r="214" spans="1:2" ht="18.75">
      <c r="A214" s="39"/>
      <c r="B214" s="39"/>
    </row>
    <row r="215" spans="1:2" ht="18.75">
      <c r="A215" s="39"/>
      <c r="B215" s="40"/>
    </row>
    <row r="216" spans="1:2" ht="18.75">
      <c r="A216" s="39"/>
      <c r="B216" s="40"/>
    </row>
    <row r="217" spans="1:2" ht="18.75">
      <c r="A217" s="39"/>
      <c r="B217" s="40"/>
    </row>
    <row r="218" spans="1:2" ht="18.75">
      <c r="A218" s="39"/>
      <c r="B218" s="40"/>
    </row>
    <row r="219" spans="1:2" ht="18.75">
      <c r="A219" s="39"/>
      <c r="B219" s="39"/>
    </row>
    <row r="220" spans="1:2" ht="18.75">
      <c r="A220" s="39"/>
      <c r="B220" s="39"/>
    </row>
    <row r="221" spans="1:2" ht="18.75">
      <c r="A221" s="39"/>
      <c r="B221" s="39"/>
    </row>
    <row r="222" spans="1:2" ht="18.75">
      <c r="A222" s="39"/>
      <c r="B222" s="39"/>
    </row>
    <row r="223" spans="1:2" ht="18.75">
      <c r="A223" s="39"/>
      <c r="B223" s="39"/>
    </row>
    <row r="224" spans="1:2" ht="18.75">
      <c r="A224" s="39"/>
      <c r="B224" s="39"/>
    </row>
    <row r="225" spans="1:2" ht="18.75">
      <c r="A225" s="39"/>
      <c r="B225" s="39"/>
    </row>
    <row r="226" spans="1:2" ht="18.75">
      <c r="A226" s="39"/>
      <c r="B226" s="39"/>
    </row>
    <row r="227" spans="1:2" ht="18.75">
      <c r="A227" s="39"/>
      <c r="B227" s="39"/>
    </row>
    <row r="228" spans="1:2" ht="18.75">
      <c r="A228" s="39"/>
      <c r="B228" s="39"/>
    </row>
    <row r="229" spans="1:2" ht="18.75">
      <c r="A229" s="39"/>
      <c r="B229" s="39"/>
    </row>
    <row r="230" spans="1:2" ht="18.75">
      <c r="A230" s="39"/>
      <c r="B230" s="40"/>
    </row>
    <row r="231" spans="1:2" ht="18.75">
      <c r="A231" s="39"/>
      <c r="B231" s="40"/>
    </row>
    <row r="232" spans="1:2" ht="18.75">
      <c r="A232" s="39"/>
      <c r="B232" s="39"/>
    </row>
    <row r="233" spans="1:2" ht="18.75">
      <c r="A233" s="39"/>
      <c r="B233" s="39"/>
    </row>
    <row r="234" spans="1:2" ht="18.75">
      <c r="A234" s="39"/>
      <c r="B234" s="39"/>
    </row>
    <row r="235" spans="1:2" ht="18.75">
      <c r="A235" s="39"/>
      <c r="B235" s="40"/>
    </row>
    <row r="236" spans="1:2" ht="18.75">
      <c r="A236" s="39"/>
      <c r="B236" s="39"/>
    </row>
    <row r="237" spans="1:2" ht="18.75">
      <c r="A237" s="39"/>
      <c r="B237" s="39"/>
    </row>
    <row r="238" spans="1:2" ht="18.75">
      <c r="A238" s="39"/>
      <c r="B238" s="39"/>
    </row>
    <row r="239" spans="1:2" ht="18.75">
      <c r="A239" s="39"/>
      <c r="B239" s="39"/>
    </row>
    <row r="240" spans="1:2" ht="18.75">
      <c r="A240" s="39"/>
      <c r="B240" s="39"/>
    </row>
    <row r="241" spans="1:2" ht="18.75">
      <c r="A241" s="39"/>
      <c r="B241" s="39"/>
    </row>
    <row r="242" spans="1:2" ht="18.75">
      <c r="A242" s="39"/>
      <c r="B242" s="39"/>
    </row>
    <row r="243" spans="1:2" ht="18.75">
      <c r="A243" s="39"/>
      <c r="B243" s="39"/>
    </row>
    <row r="244" spans="1:2" ht="18.75">
      <c r="A244" s="39"/>
      <c r="B244" s="39"/>
    </row>
    <row r="245" spans="1:2" ht="18.75">
      <c r="A245" s="39"/>
      <c r="B245" s="39"/>
    </row>
    <row r="246" spans="1:2" ht="18.75">
      <c r="A246" s="39"/>
      <c r="B246" s="39"/>
    </row>
    <row r="247" spans="1:2" ht="18.75">
      <c r="A247" s="39"/>
      <c r="B247" s="39"/>
    </row>
    <row r="248" spans="1:2" ht="18.75">
      <c r="A248" s="39"/>
      <c r="B248" s="39"/>
    </row>
    <row r="249" spans="1:2" ht="18.75">
      <c r="A249" s="39"/>
      <c r="B249" s="39"/>
    </row>
    <row r="250" spans="1:2" ht="18.75">
      <c r="A250" s="39"/>
      <c r="B250" s="39"/>
    </row>
    <row r="251" spans="1:2" ht="18.75">
      <c r="A251" s="39"/>
      <c r="B251" s="39"/>
    </row>
    <row r="252" spans="1:2" ht="18.75">
      <c r="A252" s="39"/>
      <c r="B252" s="39"/>
    </row>
    <row r="253" spans="1:2" ht="18.75">
      <c r="A253" s="39"/>
      <c r="B253" s="39"/>
    </row>
    <row r="254" spans="1:2" ht="18.75">
      <c r="A254" s="39"/>
      <c r="B254" s="39"/>
    </row>
    <row r="255" spans="1:2" ht="18.75">
      <c r="A255" s="39"/>
      <c r="B255" s="39"/>
    </row>
    <row r="256" spans="1:2" ht="18.75">
      <c r="A256" s="39"/>
      <c r="B256" s="39"/>
    </row>
    <row r="257" spans="1:2" ht="18.75">
      <c r="A257" s="39"/>
      <c r="B257" s="39"/>
    </row>
    <row r="258" spans="1:2" ht="18.75">
      <c r="A258" s="39"/>
      <c r="B258" s="39"/>
    </row>
    <row r="259" spans="1:2" ht="18.75">
      <c r="A259" s="39"/>
      <c r="B259" s="39"/>
    </row>
    <row r="260" spans="1:2" ht="18.75">
      <c r="A260" s="39"/>
      <c r="B260" s="39"/>
    </row>
    <row r="261" spans="1:2" ht="18.75">
      <c r="A261" s="39"/>
      <c r="B261" s="39"/>
    </row>
    <row r="262" spans="1:2" ht="18.75">
      <c r="A262" s="39"/>
      <c r="B262" s="39"/>
    </row>
    <row r="263" spans="1:2" ht="18.75">
      <c r="A263" s="39"/>
      <c r="B263" s="39"/>
    </row>
    <row r="264" spans="1:2" ht="18.75">
      <c r="A264" s="39"/>
      <c r="B264" s="39"/>
    </row>
    <row r="265" spans="1:2" ht="18.75">
      <c r="A265" s="39"/>
      <c r="B265" s="39"/>
    </row>
    <row r="266" spans="1:2" ht="18.75">
      <c r="A266" s="39"/>
      <c r="B266" s="39"/>
    </row>
    <row r="267" spans="1:2" ht="18.75">
      <c r="A267" s="39"/>
      <c r="B267" s="39"/>
    </row>
    <row r="268" spans="1:2" ht="18.75">
      <c r="A268" s="39"/>
      <c r="B268" s="39"/>
    </row>
    <row r="269" spans="1:2" ht="18.75">
      <c r="A269" s="39"/>
      <c r="B269" s="39"/>
    </row>
    <row r="270" spans="1:2" ht="18.75">
      <c r="A270" s="39"/>
      <c r="B270" s="39"/>
    </row>
    <row r="271" spans="1:2" ht="18.75">
      <c r="A271" s="39"/>
      <c r="B271" s="39"/>
    </row>
    <row r="272" spans="1:2" ht="18.75">
      <c r="A272" s="39"/>
      <c r="B272" s="39"/>
    </row>
    <row r="273" spans="1:2" ht="18.75">
      <c r="A273" s="39"/>
      <c r="B273" s="39"/>
    </row>
    <row r="274" spans="1:2" ht="18.75">
      <c r="A274" s="39"/>
      <c r="B274" s="39"/>
    </row>
    <row r="275" spans="1:2" ht="18.75">
      <c r="A275" s="39"/>
      <c r="B275" s="39"/>
    </row>
    <row r="276" spans="1:2" ht="18.75">
      <c r="A276" s="39"/>
      <c r="B276" s="39"/>
    </row>
    <row r="277" spans="1:2" ht="18.75">
      <c r="A277" s="39"/>
      <c r="B277" s="39"/>
    </row>
    <row r="278" spans="1:2" ht="18.75">
      <c r="A278" s="39"/>
      <c r="B278" s="39"/>
    </row>
    <row r="279" spans="1:2" ht="18.75">
      <c r="A279" s="39"/>
      <c r="B279" s="39"/>
    </row>
    <row r="280" spans="1:2" ht="18.75">
      <c r="A280" s="39"/>
      <c r="B280" s="39"/>
    </row>
    <row r="281" spans="1:2" ht="18.75">
      <c r="A281" s="39"/>
      <c r="B281" s="39"/>
    </row>
    <row r="282" spans="1:2" ht="18.75">
      <c r="A282" s="39"/>
      <c r="B282" s="39"/>
    </row>
    <row r="283" spans="1:2" ht="18.75">
      <c r="A283" s="39"/>
      <c r="B283" s="39"/>
    </row>
    <row r="284" spans="1:2" ht="18.75">
      <c r="A284" s="39"/>
      <c r="B284" s="39"/>
    </row>
    <row r="285" spans="1:2" ht="18.75">
      <c r="A285" s="39"/>
      <c r="B285" s="39"/>
    </row>
    <row r="286" spans="1:2" ht="18.75">
      <c r="A286" s="39"/>
      <c r="B286" s="39"/>
    </row>
    <row r="287" spans="1:2" ht="18.75">
      <c r="A287" s="39"/>
      <c r="B287" s="39"/>
    </row>
    <row r="288" spans="1:2" ht="18.75">
      <c r="A288" s="39"/>
      <c r="B288" s="39"/>
    </row>
    <row r="289" spans="1:2" ht="18.75">
      <c r="A289" s="39"/>
      <c r="B289" s="39"/>
    </row>
    <row r="290" spans="1:2" ht="18.75">
      <c r="A290" s="39"/>
      <c r="B290" s="39"/>
    </row>
    <row r="291" spans="1:2" ht="18.75">
      <c r="A291" s="39"/>
      <c r="B291" s="39"/>
    </row>
    <row r="292" spans="1:2" ht="18.75">
      <c r="A292" s="39"/>
      <c r="B292" s="39"/>
    </row>
    <row r="293" spans="1:2" ht="18.75">
      <c r="A293" s="39"/>
      <c r="B293" s="39"/>
    </row>
    <row r="294" spans="1:2" ht="18.75">
      <c r="A294" s="39"/>
      <c r="B294" s="39"/>
    </row>
    <row r="295" spans="1:2" ht="18.75">
      <c r="A295" s="39"/>
      <c r="B295" s="39"/>
    </row>
    <row r="296" spans="1:2" ht="18.75">
      <c r="A296" s="39"/>
      <c r="B296" s="39"/>
    </row>
    <row r="297" spans="1:2" ht="18.75">
      <c r="A297" s="39"/>
      <c r="B297" s="39"/>
    </row>
    <row r="298" spans="1:2" ht="18.75">
      <c r="A298" s="39"/>
      <c r="B298" s="39"/>
    </row>
    <row r="299" spans="1:2" ht="18.75">
      <c r="A299" s="39"/>
      <c r="B299" s="39"/>
    </row>
    <row r="300" spans="1:2" ht="18.75">
      <c r="A300" s="39"/>
      <c r="B300" s="39"/>
    </row>
    <row r="301" spans="1:2" ht="18.75">
      <c r="A301" s="39"/>
      <c r="B301" s="39"/>
    </row>
    <row r="302" spans="1:2" ht="18.75">
      <c r="A302" s="39"/>
      <c r="B302" s="39"/>
    </row>
    <row r="303" spans="1:2" ht="18.75">
      <c r="A303" s="39"/>
      <c r="B303" s="39"/>
    </row>
    <row r="304" spans="1:2" ht="18.75">
      <c r="A304" s="39"/>
      <c r="B304" s="39"/>
    </row>
    <row r="305" spans="1:2" ht="18.75">
      <c r="A305" s="39"/>
      <c r="B305" s="39"/>
    </row>
    <row r="306" spans="1:2" ht="18.75">
      <c r="A306" s="39"/>
      <c r="B306" s="39"/>
    </row>
    <row r="307" spans="1:2" ht="18.75">
      <c r="A307" s="39"/>
      <c r="B307" s="39"/>
    </row>
    <row r="308" spans="1:2" ht="18.75">
      <c r="A308" s="39"/>
      <c r="B308" s="39"/>
    </row>
    <row r="309" spans="1:2" ht="18.75">
      <c r="A309" s="39"/>
      <c r="B309" s="39"/>
    </row>
    <row r="310" spans="1:2" ht="18.75">
      <c r="A310" s="39"/>
      <c r="B310" s="39"/>
    </row>
    <row r="311" spans="1:2" ht="18.75">
      <c r="A311" s="39"/>
      <c r="B311" s="39"/>
    </row>
    <row r="312" spans="1:2" ht="18.75">
      <c r="A312" s="39"/>
      <c r="B312" s="39"/>
    </row>
    <row r="313" spans="1:2" ht="18.75">
      <c r="A313" s="39"/>
      <c r="B313" s="39"/>
    </row>
    <row r="314" spans="1:2" ht="18.75">
      <c r="A314" s="39"/>
      <c r="B314" s="39"/>
    </row>
    <row r="315" spans="1:2" ht="18.75">
      <c r="A315" s="39"/>
      <c r="B315" s="39"/>
    </row>
    <row r="316" spans="1:2" ht="18.75">
      <c r="A316" s="39"/>
      <c r="B316" s="39"/>
    </row>
    <row r="317" spans="1:2" ht="18.75">
      <c r="A317" s="39"/>
      <c r="B317" s="39"/>
    </row>
    <row r="318" spans="1:2" ht="18.75">
      <c r="A318" s="39"/>
      <c r="B318" s="39"/>
    </row>
    <row r="319" spans="1:2" ht="18.75">
      <c r="A319" s="39"/>
      <c r="B319" s="39"/>
    </row>
    <row r="320" spans="1:2" ht="18.75">
      <c r="A320" s="39"/>
      <c r="B320" s="39"/>
    </row>
    <row r="321" spans="1:2" ht="18.75">
      <c r="A321" s="39"/>
      <c r="B321" s="39"/>
    </row>
    <row r="322" spans="1:2" ht="18.75">
      <c r="A322" s="39"/>
      <c r="B322" s="39"/>
    </row>
    <row r="323" spans="1:2" ht="18.75">
      <c r="A323" s="39"/>
      <c r="B323" s="39"/>
    </row>
    <row r="324" spans="1:2" ht="18.75">
      <c r="A324" s="39"/>
      <c r="B324" s="39"/>
    </row>
    <row r="325" spans="1:2" ht="18.75">
      <c r="A325" s="39"/>
      <c r="B325" s="39"/>
    </row>
    <row r="326" spans="1:2" ht="18.75">
      <c r="A326" s="39"/>
      <c r="B326" s="39"/>
    </row>
    <row r="327" spans="1:2" ht="18.75">
      <c r="A327" s="39"/>
      <c r="B327" s="39"/>
    </row>
    <row r="328" spans="1:2" ht="18.75">
      <c r="A328" s="39"/>
      <c r="B328" s="39"/>
    </row>
    <row r="329" spans="1:2" ht="18.75">
      <c r="A329" s="39"/>
      <c r="B329" s="39"/>
    </row>
    <row r="330" spans="1:2" ht="18.75">
      <c r="A330" s="39"/>
      <c r="B330" s="40"/>
    </row>
    <row r="331" spans="1:2" ht="18.75">
      <c r="A331" s="39"/>
      <c r="B331" s="40"/>
    </row>
    <row r="332" spans="1:2" ht="18.75">
      <c r="A332" s="39"/>
      <c r="B332" s="40"/>
    </row>
    <row r="333" spans="1:2" ht="18.75">
      <c r="A333" s="39"/>
      <c r="B333" s="40"/>
    </row>
    <row r="334" spans="1:2" ht="18.75">
      <c r="A334" s="39"/>
      <c r="B334" s="39"/>
    </row>
    <row r="335" spans="1:2" ht="18.75">
      <c r="A335" s="39"/>
      <c r="B335" s="39"/>
    </row>
    <row r="336" spans="1:2" ht="18.75">
      <c r="A336" s="39"/>
      <c r="B336" s="39"/>
    </row>
    <row r="337" spans="1:2" ht="18.75">
      <c r="A337" s="39"/>
      <c r="B337" s="39"/>
    </row>
    <row r="338" spans="1:2" ht="18.75">
      <c r="A338" s="39"/>
      <c r="B338" s="39"/>
    </row>
    <row r="339" spans="1:2" ht="18.75">
      <c r="A339" s="39"/>
      <c r="B339" s="39"/>
    </row>
    <row r="340" spans="1:2" ht="18.75">
      <c r="A340" s="39"/>
      <c r="B340" s="39"/>
    </row>
    <row r="341" spans="1:2" ht="18.75">
      <c r="A341" s="39"/>
      <c r="B341" s="39"/>
    </row>
    <row r="342" spans="1:2" ht="18.75">
      <c r="A342" s="39"/>
      <c r="B342" s="39"/>
    </row>
    <row r="343" spans="1:2" ht="18.75">
      <c r="A343" s="39"/>
      <c r="B343" s="39"/>
    </row>
    <row r="344" spans="1:2" ht="18.75">
      <c r="A344" s="39"/>
      <c r="B344" s="39"/>
    </row>
    <row r="345" spans="1:2" ht="18.75">
      <c r="A345" s="39"/>
      <c r="B345" s="40"/>
    </row>
    <row r="346" spans="1:2" ht="18.75">
      <c r="A346" s="39"/>
      <c r="B346" s="40"/>
    </row>
    <row r="347" spans="1:2" ht="18.75">
      <c r="A347" s="39"/>
      <c r="B347" s="39"/>
    </row>
    <row r="348" spans="1:2" ht="18.75">
      <c r="A348" s="39"/>
      <c r="B348" s="39"/>
    </row>
    <row r="349" spans="1:2" ht="18.75">
      <c r="A349" s="39"/>
      <c r="B349" s="40"/>
    </row>
    <row r="350" spans="1:2" ht="18.75">
      <c r="A350" s="39"/>
      <c r="B350" s="40"/>
    </row>
    <row r="351" spans="1:2" ht="18.75">
      <c r="A351" s="39"/>
      <c r="B351" s="39"/>
    </row>
    <row r="352" spans="1:2" ht="18.75">
      <c r="A352" s="39"/>
      <c r="B352" s="39"/>
    </row>
    <row r="353" spans="1:2" ht="18.75">
      <c r="A353" s="39"/>
      <c r="B353" s="39"/>
    </row>
    <row r="354" spans="1:2" ht="18.75">
      <c r="A354" s="39"/>
      <c r="B354" s="39"/>
    </row>
    <row r="355" spans="1:2" ht="18.75">
      <c r="A355" s="39"/>
      <c r="B355" s="39"/>
    </row>
    <row r="356" spans="1:2" ht="18.75">
      <c r="A356" s="39"/>
      <c r="B356" s="39"/>
    </row>
    <row r="357" spans="1:2" ht="18.75">
      <c r="A357" s="39"/>
      <c r="B357" s="39"/>
    </row>
    <row r="358" spans="1:2" ht="18.75">
      <c r="A358" s="39"/>
      <c r="B358" s="39"/>
    </row>
    <row r="359" spans="1:2" ht="18.75">
      <c r="A359" s="39"/>
      <c r="B359" s="39"/>
    </row>
    <row r="360" spans="1:2" ht="18.75">
      <c r="A360" s="39"/>
      <c r="B360" s="39"/>
    </row>
    <row r="361" spans="1:2" ht="18.75">
      <c r="A361" s="39"/>
      <c r="B361" s="39"/>
    </row>
    <row r="362" spans="1:2" ht="18.75">
      <c r="A362" s="39"/>
      <c r="B362" s="39"/>
    </row>
    <row r="363" spans="1:2" ht="18.75">
      <c r="A363" s="39"/>
      <c r="B363" s="39"/>
    </row>
    <row r="364" spans="1:2" ht="18.75">
      <c r="A364" s="39"/>
      <c r="B364" s="39"/>
    </row>
    <row r="365" spans="1:2" ht="18.75">
      <c r="A365" s="39"/>
      <c r="B365" s="39"/>
    </row>
    <row r="366" spans="1:2" ht="18.75">
      <c r="A366" s="39"/>
      <c r="B366" s="39"/>
    </row>
    <row r="367" spans="1:2" ht="18.75">
      <c r="A367" s="39"/>
      <c r="B367" s="39"/>
    </row>
    <row r="368" spans="1:2" ht="18.75">
      <c r="A368" s="39"/>
      <c r="B368" s="39"/>
    </row>
    <row r="369" spans="1:2" ht="18.75">
      <c r="A369" s="39"/>
      <c r="B369" s="39"/>
    </row>
    <row r="370" spans="1:2" ht="18.75">
      <c r="A370" s="39"/>
      <c r="B370" s="39"/>
    </row>
    <row r="371" spans="1:2" ht="18.75">
      <c r="A371" s="39"/>
      <c r="B371" s="39"/>
    </row>
    <row r="372" spans="1:2" ht="18.75">
      <c r="A372" s="39"/>
      <c r="B372" s="39"/>
    </row>
    <row r="373" spans="1:2" ht="18.75">
      <c r="A373" s="39"/>
      <c r="B373" s="39"/>
    </row>
    <row r="374" spans="1:2" ht="18.75">
      <c r="A374" s="39"/>
      <c r="B374" s="39"/>
    </row>
    <row r="375" spans="1:2" ht="18.75">
      <c r="A375" s="39"/>
      <c r="B375" s="39"/>
    </row>
    <row r="376" spans="1:2" ht="18.75">
      <c r="A376" s="39"/>
      <c r="B376" s="39"/>
    </row>
    <row r="377" spans="1:2" ht="18.75">
      <c r="A377" s="39"/>
      <c r="B377" s="39"/>
    </row>
    <row r="378" spans="1:2" ht="18.75">
      <c r="A378" s="39"/>
      <c r="B378" s="39"/>
    </row>
    <row r="379" spans="1:2" ht="18.75">
      <c r="A379" s="39"/>
      <c r="B379" s="39"/>
    </row>
    <row r="380" spans="1:2" ht="18.75">
      <c r="A380" s="39"/>
      <c r="B380" s="39"/>
    </row>
    <row r="381" spans="1:2" ht="18.75">
      <c r="A381" s="39"/>
      <c r="B381" s="39"/>
    </row>
    <row r="382" spans="1:2" ht="18.75">
      <c r="A382" s="39"/>
      <c r="B382" s="39"/>
    </row>
    <row r="383" spans="1:2" ht="18.75">
      <c r="A383" s="39"/>
      <c r="B383" s="39"/>
    </row>
    <row r="384" spans="1:2" ht="18.75">
      <c r="A384" s="39"/>
      <c r="B384" s="39"/>
    </row>
    <row r="385" spans="1:2" ht="18.75">
      <c r="A385" s="39"/>
      <c r="B385" s="39"/>
    </row>
    <row r="386" spans="1:2" ht="18.75">
      <c r="A386" s="39"/>
      <c r="B386" s="39"/>
    </row>
    <row r="387" spans="1:2" ht="18.75">
      <c r="A387" s="39"/>
      <c r="B387" s="39"/>
    </row>
    <row r="388" spans="1:2" ht="18.75">
      <c r="A388" s="39"/>
      <c r="B388" s="39"/>
    </row>
    <row r="389" spans="1:2" ht="18.75">
      <c r="A389" s="39"/>
      <c r="B389" s="39"/>
    </row>
    <row r="390" spans="1:2" ht="18.75">
      <c r="A390" s="39"/>
      <c r="B390" s="39"/>
    </row>
    <row r="391" spans="1:2" ht="18.75">
      <c r="A391" s="39"/>
      <c r="B391" s="39"/>
    </row>
    <row r="392" spans="1:2" ht="18.75">
      <c r="A392" s="39"/>
      <c r="B392" s="39"/>
    </row>
    <row r="393" spans="1:2" ht="18.75">
      <c r="A393" s="39"/>
      <c r="B393" s="39"/>
    </row>
    <row r="394" spans="1:2" ht="18.75">
      <c r="A394" s="39"/>
      <c r="B394" s="39"/>
    </row>
    <row r="395" spans="1:2" ht="18.75">
      <c r="A395" s="39"/>
      <c r="B395" s="39"/>
    </row>
    <row r="396" spans="1:2" ht="18.75">
      <c r="A396" s="39"/>
      <c r="B396" s="39"/>
    </row>
    <row r="397" spans="1:2" ht="18.75">
      <c r="A397" s="39"/>
      <c r="B397" s="39"/>
    </row>
    <row r="398" spans="1:2" ht="18.75">
      <c r="A398" s="39"/>
      <c r="B398" s="39"/>
    </row>
    <row r="399" spans="1:2" ht="18.75">
      <c r="A399" s="39"/>
      <c r="B399" s="39"/>
    </row>
    <row r="400" spans="1:2" ht="18.75">
      <c r="A400" s="39"/>
      <c r="B400" s="39"/>
    </row>
    <row r="401" spans="1:2" ht="18.75">
      <c r="A401" s="39"/>
      <c r="B401" s="39"/>
    </row>
    <row r="402" spans="1:2" ht="18.75">
      <c r="A402" s="39"/>
      <c r="B402" s="39"/>
    </row>
    <row r="403" spans="1:2" ht="18.75">
      <c r="A403" s="39"/>
      <c r="B403" s="39"/>
    </row>
    <row r="404" spans="1:2" ht="18.75">
      <c r="A404" s="39"/>
      <c r="B404" s="39"/>
    </row>
    <row r="405" spans="1:2" ht="18.75">
      <c r="A405" s="39"/>
      <c r="B405" s="39"/>
    </row>
    <row r="406" spans="1:2" ht="18.75">
      <c r="A406" s="39"/>
      <c r="B406" s="39"/>
    </row>
    <row r="407" spans="1:2" ht="18.75">
      <c r="A407" s="39"/>
      <c r="B407" s="39"/>
    </row>
    <row r="408" spans="1:2" ht="18.75">
      <c r="A408" s="39"/>
      <c r="B408" s="39"/>
    </row>
    <row r="409" spans="1:2" ht="18.75">
      <c r="A409" s="39"/>
      <c r="B409" s="39"/>
    </row>
    <row r="410" spans="1:2" ht="18.75">
      <c r="A410" s="39"/>
      <c r="B410" s="39"/>
    </row>
    <row r="411" spans="1:2" ht="18.75">
      <c r="A411" s="39"/>
      <c r="B411" s="39"/>
    </row>
    <row r="412" spans="1:2" ht="18.75">
      <c r="A412" s="39"/>
      <c r="B412" s="39"/>
    </row>
    <row r="413" spans="1:2" ht="18.75">
      <c r="A413" s="39"/>
      <c r="B413" s="39"/>
    </row>
    <row r="414" spans="1:2" ht="18.75">
      <c r="A414" s="39"/>
      <c r="B414" s="39"/>
    </row>
    <row r="415" spans="1:2" ht="18.75">
      <c r="A415" s="39"/>
      <c r="B415" s="39"/>
    </row>
    <row r="416" spans="1:2" ht="18.75">
      <c r="A416" s="39"/>
      <c r="B416" s="39"/>
    </row>
    <row r="417" spans="1:2" ht="18.75">
      <c r="A417" s="39"/>
      <c r="B417" s="39"/>
    </row>
    <row r="418" spans="1:2" ht="18.75">
      <c r="A418" s="39"/>
      <c r="B418" s="39"/>
    </row>
    <row r="419" spans="1:2" ht="18.75">
      <c r="A419" s="39"/>
      <c r="B419" s="39"/>
    </row>
    <row r="420" spans="1:2" ht="18.75">
      <c r="A420" s="39"/>
      <c r="B420" s="39"/>
    </row>
    <row r="421" spans="1:2" ht="18.75">
      <c r="A421" s="39"/>
      <c r="B421" s="39"/>
    </row>
    <row r="422" spans="1:2" ht="18.75">
      <c r="A422" s="39"/>
      <c r="B422" s="39"/>
    </row>
    <row r="423" spans="1:2" ht="18.75">
      <c r="A423" s="39"/>
      <c r="B423" s="39"/>
    </row>
    <row r="424" spans="1:2" ht="18.75">
      <c r="A424" s="39"/>
      <c r="B424" s="39"/>
    </row>
    <row r="425" spans="1:2" ht="18.75">
      <c r="A425" s="39"/>
      <c r="B425" s="39"/>
    </row>
    <row r="426" spans="1:2" ht="18.75">
      <c r="A426" s="39"/>
      <c r="B426" s="39"/>
    </row>
    <row r="427" spans="1:2" ht="18.75">
      <c r="A427" s="39"/>
      <c r="B427" s="39"/>
    </row>
    <row r="428" spans="1:2" ht="18.75">
      <c r="A428" s="39"/>
      <c r="B428" s="39"/>
    </row>
    <row r="429" spans="1:2" ht="18.75">
      <c r="A429" s="39"/>
      <c r="B429" s="39"/>
    </row>
    <row r="430" spans="1:2" ht="18.75">
      <c r="A430" s="39"/>
      <c r="B430" s="39"/>
    </row>
    <row r="431" spans="1:2" ht="18.75">
      <c r="A431" s="39"/>
      <c r="B431" s="39"/>
    </row>
    <row r="432" spans="1:2" ht="18.75">
      <c r="A432" s="39"/>
      <c r="B432" s="39"/>
    </row>
    <row r="433" spans="1:2" ht="18.75">
      <c r="A433" s="39"/>
      <c r="B433" s="39"/>
    </row>
    <row r="434" spans="1:2" ht="18.75">
      <c r="A434" s="39"/>
      <c r="B434" s="39"/>
    </row>
    <row r="435" spans="1:2" ht="18.75">
      <c r="A435" s="39"/>
      <c r="B435" s="39"/>
    </row>
    <row r="436" spans="1:2" ht="18.75">
      <c r="A436" s="39"/>
      <c r="B436" s="39"/>
    </row>
    <row r="437" spans="1:2" ht="18.75">
      <c r="A437" s="39"/>
      <c r="B437" s="39"/>
    </row>
    <row r="438" spans="1:2" ht="18.75">
      <c r="A438" s="39"/>
      <c r="B438" s="39"/>
    </row>
    <row r="439" spans="1:2" ht="18.75">
      <c r="A439" s="39"/>
      <c r="B439" s="39"/>
    </row>
    <row r="440" spans="1:2" ht="18.75">
      <c r="A440" s="39"/>
      <c r="B440" s="39"/>
    </row>
    <row r="441" spans="1:2" ht="18.75">
      <c r="A441" s="39"/>
      <c r="B441" s="39"/>
    </row>
    <row r="442" spans="1:2" ht="18.75">
      <c r="A442" s="39"/>
      <c r="B442" s="39"/>
    </row>
    <row r="443" spans="1:2" ht="18.75">
      <c r="A443" s="39"/>
      <c r="B443" s="39"/>
    </row>
    <row r="444" spans="1:2" ht="18.75">
      <c r="A444" s="39"/>
      <c r="B444" s="39"/>
    </row>
    <row r="445" spans="1:2" ht="18.75">
      <c r="A445" s="39"/>
      <c r="B445" s="40"/>
    </row>
    <row r="446" spans="1:2" ht="18.75">
      <c r="A446" s="39"/>
      <c r="B446" s="40"/>
    </row>
    <row r="447" spans="1:2" ht="18.75">
      <c r="A447" s="39"/>
      <c r="B447" s="40"/>
    </row>
    <row r="448" spans="1:2" ht="18.75">
      <c r="A448" s="39"/>
      <c r="B448" s="40"/>
    </row>
    <row r="449" spans="1:2" ht="18.75">
      <c r="A449" s="39"/>
      <c r="B449" s="39"/>
    </row>
    <row r="450" spans="1:2" ht="18.75">
      <c r="A450" s="39"/>
      <c r="B450" s="39"/>
    </row>
    <row r="451" spans="1:2" ht="18.75">
      <c r="A451" s="39"/>
      <c r="B451" s="39"/>
    </row>
    <row r="452" spans="1:2" ht="18.75">
      <c r="A452" s="39"/>
      <c r="B452" s="39"/>
    </row>
    <row r="453" spans="1:2" ht="18.75">
      <c r="A453" s="39"/>
      <c r="B453" s="39"/>
    </row>
    <row r="454" spans="1:2" ht="18.75">
      <c r="A454" s="39"/>
      <c r="B454" s="39"/>
    </row>
    <row r="455" spans="1:2" ht="18.75">
      <c r="A455" s="39"/>
      <c r="B455" s="39"/>
    </row>
    <row r="456" spans="1:2" ht="18.75">
      <c r="A456" s="39"/>
      <c r="B456" s="39"/>
    </row>
    <row r="457" spans="1:2" ht="18.75">
      <c r="A457" s="39"/>
      <c r="B457" s="39"/>
    </row>
    <row r="458" spans="1:2" ht="18.75">
      <c r="A458" s="39"/>
      <c r="B458" s="39"/>
    </row>
    <row r="459" spans="1:2" ht="18.75">
      <c r="A459" s="39"/>
      <c r="B459" s="39"/>
    </row>
    <row r="460" spans="1:2" ht="18.75">
      <c r="A460" s="39"/>
      <c r="B460" s="40"/>
    </row>
    <row r="461" spans="1:2" ht="18.75">
      <c r="A461" s="39"/>
      <c r="B461" s="39"/>
    </row>
    <row r="462" spans="1:2" ht="18.75">
      <c r="A462" s="39"/>
      <c r="B462" s="39"/>
    </row>
    <row r="463" spans="1:2" ht="18.75">
      <c r="A463" s="39"/>
      <c r="B463" s="39"/>
    </row>
    <row r="464" spans="1:2" ht="18.75">
      <c r="A464" s="39"/>
      <c r="B464" s="39"/>
    </row>
    <row r="465" spans="1:2" ht="18.75">
      <c r="A465" s="39"/>
      <c r="B465" s="39"/>
    </row>
    <row r="466" spans="1:2" ht="18.75">
      <c r="A466" s="39"/>
      <c r="B466" s="39"/>
    </row>
    <row r="467" spans="1:2" ht="18.75">
      <c r="A467" s="39"/>
      <c r="B467" s="39"/>
    </row>
    <row r="468" spans="1:2" ht="18.75">
      <c r="A468" s="39"/>
      <c r="B468" s="39"/>
    </row>
    <row r="469" spans="1:2" ht="18.75">
      <c r="A469" s="39"/>
      <c r="B469" s="39"/>
    </row>
    <row r="470" spans="1:2" ht="18.75">
      <c r="A470" s="39"/>
      <c r="B470" s="39"/>
    </row>
    <row r="471" spans="1:2" ht="18.75">
      <c r="A471" s="39"/>
      <c r="B471" s="39"/>
    </row>
    <row r="472" spans="1:2" ht="18.75">
      <c r="A472" s="39"/>
      <c r="B472" s="39"/>
    </row>
    <row r="473" spans="1:2" ht="18.75">
      <c r="A473" s="39"/>
      <c r="B473" s="39"/>
    </row>
    <row r="474" spans="1:2" ht="18.75">
      <c r="A474" s="39"/>
      <c r="B474" s="39"/>
    </row>
    <row r="475" spans="1:2" ht="18.75">
      <c r="A475" s="39"/>
      <c r="B475" s="39"/>
    </row>
    <row r="476" spans="1:2" ht="18.75">
      <c r="A476" s="39"/>
      <c r="B476" s="39"/>
    </row>
    <row r="477" spans="1:2" ht="18.75">
      <c r="A477" s="39"/>
      <c r="B477" s="39"/>
    </row>
    <row r="478" spans="1:2" ht="18.75">
      <c r="A478" s="39"/>
      <c r="B478" s="39"/>
    </row>
    <row r="479" spans="1:2" ht="18.75">
      <c r="A479" s="39"/>
      <c r="B479" s="39"/>
    </row>
    <row r="480" spans="1:2" ht="18.75">
      <c r="A480" s="39"/>
      <c r="B480" s="39"/>
    </row>
    <row r="481" spans="1:2" ht="18.75">
      <c r="A481" s="39"/>
      <c r="B481" s="39"/>
    </row>
    <row r="482" spans="1:2" ht="18.75">
      <c r="A482" s="39"/>
      <c r="B482" s="39"/>
    </row>
    <row r="483" spans="1:2" ht="18.75">
      <c r="A483" s="39"/>
      <c r="B483" s="39"/>
    </row>
    <row r="484" spans="1:2" ht="18.75">
      <c r="A484" s="39"/>
      <c r="B484" s="39"/>
    </row>
    <row r="485" spans="1:2" ht="18.75">
      <c r="A485" s="39"/>
      <c r="B485" s="39"/>
    </row>
    <row r="486" spans="1:2" ht="18.75">
      <c r="A486" s="39"/>
      <c r="B486" s="39"/>
    </row>
    <row r="487" spans="1:2" ht="18.75">
      <c r="A487" s="39"/>
      <c r="B487" s="39"/>
    </row>
    <row r="488" spans="1:2" ht="18.75">
      <c r="A488" s="39"/>
      <c r="B488" s="39"/>
    </row>
    <row r="489" spans="1:2" ht="18.75">
      <c r="A489" s="39"/>
      <c r="B489" s="39"/>
    </row>
    <row r="490" spans="1:2" ht="18.75">
      <c r="A490" s="39"/>
      <c r="B490" s="39"/>
    </row>
    <row r="491" spans="1:2" ht="18.75">
      <c r="A491" s="39"/>
      <c r="B491" s="39"/>
    </row>
    <row r="492" spans="1:2" ht="18.75">
      <c r="A492" s="39"/>
      <c r="B492" s="39"/>
    </row>
    <row r="493" spans="1:2" ht="18.75">
      <c r="A493" s="39"/>
      <c r="B493" s="39"/>
    </row>
    <row r="494" spans="1:2" ht="18.75">
      <c r="A494" s="39"/>
      <c r="B494" s="39"/>
    </row>
    <row r="495" spans="1:2" ht="18.75">
      <c r="A495" s="39"/>
      <c r="B495" s="39"/>
    </row>
    <row r="496" spans="1:2" ht="18.75">
      <c r="A496" s="39"/>
      <c r="B496" s="39"/>
    </row>
    <row r="497" spans="1:2" ht="18.75">
      <c r="A497" s="39"/>
      <c r="B497" s="39"/>
    </row>
    <row r="498" spans="1:2" ht="18.75">
      <c r="A498" s="39"/>
      <c r="B498" s="39"/>
    </row>
    <row r="499" spans="1:2" ht="18.75">
      <c r="A499" s="39"/>
      <c r="B499" s="39"/>
    </row>
    <row r="500" spans="1:2" ht="18.75">
      <c r="A500" s="39"/>
      <c r="B500" s="39"/>
    </row>
    <row r="501" spans="1:2" ht="18.75">
      <c r="A501" s="39"/>
      <c r="B501" s="39"/>
    </row>
    <row r="502" spans="1:2" ht="18.75">
      <c r="A502" s="39"/>
      <c r="B502" s="39"/>
    </row>
    <row r="503" spans="1:2" ht="18.75">
      <c r="A503" s="39"/>
      <c r="B503" s="39"/>
    </row>
    <row r="504" spans="1:2" ht="18.75">
      <c r="A504" s="39"/>
      <c r="B504" s="40"/>
    </row>
    <row r="505" spans="1:2" ht="18.75">
      <c r="A505" s="39"/>
      <c r="B505" s="40"/>
    </row>
    <row r="506" spans="1:2" ht="18.75">
      <c r="A506" s="39"/>
      <c r="B506" s="39"/>
    </row>
    <row r="507" spans="1:2" ht="18.75">
      <c r="A507" s="39"/>
      <c r="B507" s="39"/>
    </row>
    <row r="508" spans="1:2" ht="18.75">
      <c r="A508" s="39"/>
      <c r="B508" s="40"/>
    </row>
    <row r="509" spans="1:2" ht="18.75">
      <c r="A509" s="39"/>
      <c r="B509" s="40"/>
    </row>
    <row r="510" spans="1:2" ht="18.75">
      <c r="A510" s="39"/>
      <c r="B510" s="40"/>
    </row>
    <row r="511" spans="1:2" ht="18.75">
      <c r="A511" s="39"/>
      <c r="B511" s="40"/>
    </row>
    <row r="512" spans="1:2" ht="18.75">
      <c r="A512" s="39"/>
      <c r="B512" s="40"/>
    </row>
    <row r="513" spans="1:2" ht="18.75">
      <c r="A513" s="39"/>
      <c r="B513" s="39"/>
    </row>
    <row r="514" spans="1:2" ht="18.75">
      <c r="A514" s="39"/>
      <c r="B514" s="40"/>
    </row>
    <row r="515" spans="1:2" ht="18.75">
      <c r="A515" s="39"/>
      <c r="B515" s="40"/>
    </row>
    <row r="516" spans="1:2" ht="18.75">
      <c r="A516" s="39"/>
      <c r="B516" s="40"/>
    </row>
    <row r="517" spans="1:2" ht="18.75">
      <c r="A517" s="39"/>
      <c r="B517" s="40"/>
    </row>
    <row r="518" spans="1:2" ht="18.75">
      <c r="A518" s="39"/>
      <c r="B518" s="40"/>
    </row>
    <row r="519" spans="1:2" ht="18.75">
      <c r="A519" s="39"/>
      <c r="B519" s="40"/>
    </row>
    <row r="520" spans="1:2" ht="18.75">
      <c r="A520" s="39"/>
      <c r="B520" s="40"/>
    </row>
  </sheetData>
  <protectedRanges>
    <protectedRange sqref="A18" name="範圍1_1"/>
    <protectedRange sqref="A20" name="範圍1_2"/>
    <protectedRange sqref="A22" name="範圍1_3"/>
    <protectedRange sqref="A24" name="範圍1_4"/>
  </protectedRanges>
  <mergeCells count="2">
    <mergeCell ref="C14:G14"/>
    <mergeCell ref="C15:G27"/>
  </mergeCells>
  <phoneticPr fontId="1" type="noConversion"/>
  <conditionalFormatting sqref="A19">
    <cfRule type="duplicateValues" dxfId="39" priority="4"/>
  </conditionalFormatting>
  <conditionalFormatting sqref="A21">
    <cfRule type="duplicateValues" dxfId="38" priority="3"/>
  </conditionalFormatting>
  <conditionalFormatting sqref="A23">
    <cfRule type="duplicateValues" dxfId="37" priority="2"/>
  </conditionalFormatting>
  <conditionalFormatting sqref="A25">
    <cfRule type="duplicateValues" dxfId="36" priority="1"/>
  </conditionalFormatting>
  <conditionalFormatting sqref="B26:B519">
    <cfRule type="duplicateValues" dxfId="35" priority="13"/>
  </conditionalFormatting>
  <conditionalFormatting sqref="C15:G27">
    <cfRule type="cellIs" dxfId="34" priority="16" operator="equal">
      <formula>"PASS"</formula>
    </cfRule>
    <cfRule type="cellIs" dxfId="33" priority="17" operator="equal">
      <formula>TRUE</formula>
    </cfRule>
    <cfRule type="cellIs" dxfId="32" priority="18" operator="equal">
      <formula>"FAIL"</formula>
    </cfRule>
  </conditionalFormatting>
  <conditionalFormatting sqref="J8:K11">
    <cfRule type="cellIs" dxfId="31" priority="11" operator="equal">
      <formula>FALSE</formula>
    </cfRule>
    <cfRule type="cellIs" dxfId="30" priority="12" operator="equal">
      <formula>TRUE</formula>
    </cfRule>
  </conditionalFormatting>
  <conditionalFormatting sqref="N8:O11">
    <cfRule type="cellIs" dxfId="29" priority="9" operator="equal">
      <formula>FALSE</formula>
    </cfRule>
    <cfRule type="cellIs" dxfId="28" priority="10" operator="equal">
      <formula>TRUE</formula>
    </cfRule>
  </conditionalFormatting>
  <conditionalFormatting sqref="R8:S11">
    <cfRule type="cellIs" dxfId="27" priority="7" operator="equal">
      <formula>FALSE</formula>
    </cfRule>
    <cfRule type="cellIs" dxfId="26" priority="8" operator="equal">
      <formula>TRUE</formula>
    </cfRule>
  </conditionalFormatting>
  <conditionalFormatting sqref="V8:W11">
    <cfRule type="cellIs" dxfId="25" priority="5" operator="equal">
      <formula>FALSE</formula>
    </cfRule>
    <cfRule type="cellIs" dxfId="24" priority="6" operator="equal">
      <formula>TRUE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520"/>
  <sheetViews>
    <sheetView workbookViewId="0">
      <selection activeCell="H26" sqref="H26"/>
    </sheetView>
  </sheetViews>
  <sheetFormatPr defaultRowHeight="15.75"/>
  <cols>
    <col min="1" max="1" width="29.375" bestFit="1" customWidth="1"/>
    <col min="2" max="2" width="16.375" bestFit="1" customWidth="1"/>
    <col min="8" max="8" width="23.125" bestFit="1" customWidth="1"/>
    <col min="9" max="9" width="11.375" bestFit="1" customWidth="1"/>
    <col min="10" max="10" width="13.375" bestFit="1" customWidth="1"/>
    <col min="11" max="11" width="18.125" bestFit="1" customWidth="1"/>
    <col min="12" max="12" width="24.125" bestFit="1" customWidth="1"/>
    <col min="13" max="13" width="11.375" bestFit="1" customWidth="1"/>
    <col min="14" max="14" width="13.375" bestFit="1" customWidth="1"/>
    <col min="15" max="15" width="18.125" bestFit="1" customWidth="1"/>
    <col min="16" max="16" width="23.125" bestFit="1" customWidth="1"/>
    <col min="17" max="17" width="16.5" bestFit="1" customWidth="1"/>
    <col min="18" max="18" width="13.375" bestFit="1" customWidth="1"/>
    <col min="19" max="19" width="18.125" bestFit="1" customWidth="1"/>
    <col min="20" max="20" width="24.125" bestFit="1" customWidth="1"/>
    <col min="21" max="21" width="11.375" bestFit="1" customWidth="1"/>
    <col min="22" max="22" width="13.375" bestFit="1" customWidth="1"/>
    <col min="23" max="23" width="18.125" bestFit="1" customWidth="1"/>
  </cols>
  <sheetData>
    <row r="1" spans="1:24" ht="16.5" thickBot="1">
      <c r="A1" t="s">
        <v>1838</v>
      </c>
      <c r="B1" t="s">
        <v>1839</v>
      </c>
      <c r="C1" s="52" t="s">
        <v>1809</v>
      </c>
      <c r="D1" s="53"/>
      <c r="E1" s="54"/>
      <c r="F1" s="54"/>
      <c r="G1" s="14"/>
      <c r="H1" t="s">
        <v>1828</v>
      </c>
      <c r="J1" s="16" t="s">
        <v>1829</v>
      </c>
      <c r="K1" s="16" t="s">
        <v>1830</v>
      </c>
      <c r="L1" s="16"/>
      <c r="M1" s="16"/>
      <c r="N1" s="16" t="s">
        <v>1829</v>
      </c>
      <c r="O1" s="16" t="s">
        <v>1830</v>
      </c>
      <c r="P1" s="16"/>
      <c r="Q1" s="16"/>
      <c r="R1" s="16" t="s">
        <v>1829</v>
      </c>
      <c r="S1" s="16" t="s">
        <v>1830</v>
      </c>
      <c r="T1" s="16"/>
      <c r="U1" s="16"/>
      <c r="V1" s="16" t="s">
        <v>1829</v>
      </c>
      <c r="W1" s="16" t="s">
        <v>1830</v>
      </c>
    </row>
    <row r="2" spans="1:24">
      <c r="A2" s="17" t="s">
        <v>538</v>
      </c>
      <c r="B2" s="59" t="s">
        <v>127</v>
      </c>
      <c r="C2" s="5" t="s">
        <v>0</v>
      </c>
      <c r="D2" s="18"/>
      <c r="G2" s="10"/>
      <c r="H2" t="s">
        <v>1831</v>
      </c>
      <c r="I2" s="19" t="s">
        <v>1827</v>
      </c>
      <c r="J2" s="16"/>
      <c r="K2" s="16"/>
      <c r="L2" s="16" t="s">
        <v>1836</v>
      </c>
      <c r="M2" s="16" t="s">
        <v>1837</v>
      </c>
      <c r="N2" s="16"/>
      <c r="O2" s="16"/>
      <c r="P2" s="16" t="s">
        <v>1832</v>
      </c>
      <c r="Q2" s="16" t="s">
        <v>1835</v>
      </c>
      <c r="R2" s="16"/>
      <c r="S2" s="16"/>
      <c r="T2" s="16" t="s">
        <v>1833</v>
      </c>
      <c r="U2" s="16" t="s">
        <v>1834</v>
      </c>
      <c r="V2" s="16"/>
      <c r="W2" s="16"/>
    </row>
    <row r="3" spans="1:24">
      <c r="A3" s="17" t="s">
        <v>1820</v>
      </c>
      <c r="B3" s="17" t="s">
        <v>128</v>
      </c>
      <c r="C3" s="6" t="s">
        <v>1</v>
      </c>
      <c r="D3" s="18"/>
      <c r="G3" s="10"/>
      <c r="H3" s="22" t="s">
        <v>538</v>
      </c>
      <c r="I3" s="19" t="str">
        <f>VLOOKUP(H3,A:B,2,0)</f>
        <v>SLOT0.CH119</v>
      </c>
      <c r="J3" s="51" t="str">
        <f>LEFT(I3,5)</f>
        <v>SLOT0</v>
      </c>
      <c r="K3" s="51" t="str">
        <f>MID(I3,9,10)</f>
        <v>119</v>
      </c>
      <c r="L3" s="16" t="s">
        <v>1824</v>
      </c>
      <c r="M3" s="16" t="str">
        <f>VLOOKUP(L3,A:B,2,0)</f>
        <v>SLOT0.CH33</v>
      </c>
      <c r="N3" s="51" t="str">
        <f>LEFT(M3,5)</f>
        <v>SLOT0</v>
      </c>
      <c r="O3" s="51" t="str">
        <f>MID(M3,9,10)</f>
        <v>33</v>
      </c>
      <c r="P3" s="16" t="s">
        <v>1825</v>
      </c>
      <c r="Q3" s="16" t="str">
        <f>VLOOKUP(P3,A:B,2,0)</f>
        <v>SLOT1.CH84</v>
      </c>
      <c r="R3" s="51" t="str">
        <f>LEFT(Q3,5)</f>
        <v>SLOT1</v>
      </c>
      <c r="S3" s="51" t="str">
        <f>MID(Q3,9,10)</f>
        <v>84</v>
      </c>
      <c r="T3" s="16" t="s">
        <v>1826</v>
      </c>
      <c r="U3" s="16" t="str">
        <f>VLOOKUP(T3,A:B,2,0)</f>
        <v>SLOT1.CH0</v>
      </c>
      <c r="V3" s="51" t="str">
        <f>LEFT(U3,5)</f>
        <v>SLOT1</v>
      </c>
      <c r="W3" s="51" t="str">
        <f>MID(U3,9,10)</f>
        <v>0</v>
      </c>
    </row>
    <row r="4" spans="1:24">
      <c r="A4" s="17" t="s">
        <v>1824</v>
      </c>
      <c r="B4" s="59" t="s">
        <v>42</v>
      </c>
      <c r="C4" s="6" t="s">
        <v>2</v>
      </c>
      <c r="D4" s="18"/>
      <c r="G4" s="10"/>
      <c r="H4" s="22" t="s">
        <v>1820</v>
      </c>
      <c r="I4" s="19" t="str">
        <f>VLOOKUP(H4,A:B,2,0)</f>
        <v>SLOT0.CH120</v>
      </c>
      <c r="J4" s="51" t="str">
        <f t="shared" ref="J4" si="0">LEFT(I4,5)</f>
        <v>SLOT0</v>
      </c>
      <c r="K4" s="51" t="str">
        <f t="shared" ref="K4" si="1">MID(I4,9,10)</f>
        <v>120</v>
      </c>
      <c r="L4" s="16" t="s">
        <v>1821</v>
      </c>
      <c r="M4" s="16" t="str">
        <f>VLOOKUP(L4,A:B,2,0)</f>
        <v>SLOT0.CH35</v>
      </c>
      <c r="N4" s="51" t="str">
        <f t="shared" ref="N4" si="2">LEFT(M4,5)</f>
        <v>SLOT0</v>
      </c>
      <c r="O4" s="51" t="str">
        <f t="shared" ref="O4" si="3">MID(M4,9,10)</f>
        <v>35</v>
      </c>
      <c r="P4" s="16" t="s">
        <v>1822</v>
      </c>
      <c r="Q4" s="16" t="str">
        <f>VLOOKUP(P4,A:B,2,0)</f>
        <v>SLOT1.CH88</v>
      </c>
      <c r="R4" s="51" t="str">
        <f t="shared" ref="R4" si="4">LEFT(Q4,5)</f>
        <v>SLOT1</v>
      </c>
      <c r="S4" s="51" t="str">
        <f t="shared" ref="S4" si="5">MID(Q4,9,10)</f>
        <v>88</v>
      </c>
      <c r="T4" s="16" t="s">
        <v>1823</v>
      </c>
      <c r="U4" s="16" t="str">
        <f>VLOOKUP(T4,A:B,2,0)</f>
        <v>SLOT1.CH4</v>
      </c>
      <c r="V4" s="51" t="str">
        <f t="shared" ref="V4" si="6">LEFT(U4,5)</f>
        <v>SLOT1</v>
      </c>
      <c r="W4" s="51" t="str">
        <f t="shared" ref="W4" si="7">MID(U4,9,10)</f>
        <v>4</v>
      </c>
    </row>
    <row r="5" spans="1:24">
      <c r="A5" s="17" t="s">
        <v>1821</v>
      </c>
      <c r="B5" s="59" t="s">
        <v>44</v>
      </c>
      <c r="C5" s="6" t="s">
        <v>3</v>
      </c>
      <c r="D5" s="18"/>
      <c r="G5" s="10"/>
      <c r="H5" s="22"/>
      <c r="I5" s="16"/>
      <c r="J5" s="51"/>
      <c r="K5" s="51"/>
      <c r="L5" s="16"/>
      <c r="M5" s="16"/>
      <c r="N5" s="51"/>
      <c r="O5" s="51"/>
      <c r="P5" s="16"/>
      <c r="Q5" s="16"/>
      <c r="R5" s="51"/>
      <c r="S5" s="51"/>
      <c r="T5" s="16"/>
      <c r="U5" s="16"/>
      <c r="V5" s="51"/>
      <c r="W5" s="51"/>
      <c r="X5" s="16"/>
    </row>
    <row r="6" spans="1:24">
      <c r="A6" s="17" t="s">
        <v>1825</v>
      </c>
      <c r="B6" s="59" t="s">
        <v>218</v>
      </c>
      <c r="C6" s="6"/>
      <c r="D6" s="18"/>
      <c r="G6" s="10"/>
      <c r="H6" s="22"/>
      <c r="I6" s="16"/>
      <c r="J6" s="51"/>
      <c r="K6" s="51"/>
      <c r="L6" s="16"/>
      <c r="M6" s="16"/>
      <c r="N6" s="51"/>
      <c r="O6" s="51"/>
      <c r="P6" s="16"/>
      <c r="Q6" s="16"/>
      <c r="R6" s="51"/>
      <c r="S6" s="51"/>
      <c r="T6" s="16"/>
      <c r="U6" s="16"/>
      <c r="V6" s="51"/>
      <c r="W6" s="51"/>
      <c r="X6" s="16"/>
    </row>
    <row r="7" spans="1:24">
      <c r="A7" s="17" t="s">
        <v>1822</v>
      </c>
      <c r="B7" s="59" t="s">
        <v>222</v>
      </c>
      <c r="C7" s="6" t="s">
        <v>4</v>
      </c>
      <c r="D7" s="18"/>
      <c r="G7" s="10"/>
      <c r="I7" s="50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</row>
    <row r="8" spans="1:24">
      <c r="A8" s="17" t="s">
        <v>1826</v>
      </c>
      <c r="B8" s="59" t="s">
        <v>1847</v>
      </c>
      <c r="C8" s="6" t="s">
        <v>5</v>
      </c>
      <c r="D8" s="18"/>
      <c r="G8" s="10"/>
      <c r="H8" s="22" t="str">
        <f>"RULE: "&amp; MID(C7,24,99)</f>
        <v>RULE: SLOT0 CH64~CH127</v>
      </c>
      <c r="I8" s="21"/>
      <c r="J8" s="16" t="b">
        <f>J3=MID($H$8,7,5)</f>
        <v>1</v>
      </c>
      <c r="K8" s="16" t="b">
        <f>IF(AND(VALUE(K3)&gt;=64,VALUE(K3)&lt;=127),TRUE,FALSE)</f>
        <v>1</v>
      </c>
      <c r="L8" s="16" t="str">
        <f>"RULE: "&amp; MID(C8,24,99)</f>
        <v>RULE: SLOT0 CH0~CH63</v>
      </c>
      <c r="M8" s="16"/>
      <c r="N8" s="16" t="b">
        <f>N3=MID($L$8,7,5)</f>
        <v>1</v>
      </c>
      <c r="O8" s="16" t="b">
        <f>IF(AND(VALUE(O3)&gt;=0,VALUE(O3)&lt;=63),TRUE,FALSE)</f>
        <v>1</v>
      </c>
      <c r="P8" s="16" t="str">
        <f>"RULE: "&amp; MID(C9,24,99)</f>
        <v>RULE: SLOT1 CH64~CH127</v>
      </c>
      <c r="Q8" s="16"/>
      <c r="R8" s="16" t="b">
        <f>R3=MID($P$8,7,5)</f>
        <v>1</v>
      </c>
      <c r="S8" s="16" t="b">
        <f>IF(AND(VALUE(S3)&gt;=64,VALUE(S3)&lt;=127),TRUE,FALSE)</f>
        <v>1</v>
      </c>
      <c r="T8" s="16" t="str">
        <f>"RULE: "&amp; MID(C10,24,99)</f>
        <v>RULE: SLOT1 CH0~CH63</v>
      </c>
      <c r="U8" s="16"/>
      <c r="V8" s="16" t="b">
        <f>V3=MID($T$8,7,5)</f>
        <v>1</v>
      </c>
      <c r="W8" s="16" t="b">
        <f>IF(AND(VALUE(W3)&gt;=0,VALUE(W3)&lt;=63),TRUE,FALSE)</f>
        <v>1</v>
      </c>
      <c r="X8" s="16"/>
    </row>
    <row r="9" spans="1:24">
      <c r="A9" s="17" t="s">
        <v>1823</v>
      </c>
      <c r="B9" s="17" t="s">
        <v>139</v>
      </c>
      <c r="C9" s="57" t="s">
        <v>1843</v>
      </c>
      <c r="D9" s="18"/>
      <c r="G9" s="10"/>
      <c r="H9" s="22"/>
      <c r="I9" s="21"/>
      <c r="J9" s="16" t="b">
        <f t="shared" ref="J9" si="8">J4=MID($H$8,7,5)</f>
        <v>1</v>
      </c>
      <c r="K9" s="16" t="b">
        <f t="shared" ref="K9" si="9">IF(AND(VALUE(K4)&gt;=64,VALUE(K4)&lt;=127),TRUE,FALSE)</f>
        <v>1</v>
      </c>
      <c r="L9" s="16"/>
      <c r="M9" s="16"/>
      <c r="N9" s="16" t="b">
        <f>N4=MID($L$8,7,5)</f>
        <v>1</v>
      </c>
      <c r="O9" s="16" t="b">
        <f t="shared" ref="O9" si="10">IF(AND(VALUE(O4)&gt;=0,VALUE(O4)&lt;=63),TRUE,FALSE)</f>
        <v>1</v>
      </c>
      <c r="P9" s="16"/>
      <c r="Q9" s="16"/>
      <c r="R9" s="16" t="b">
        <f t="shared" ref="R9" si="11">R4=MID($P$8,7,5)</f>
        <v>1</v>
      </c>
      <c r="S9" s="16" t="b">
        <f>IF(AND(VALUE(S4)&gt;=64,VALUE(S4)&lt;=127),TRUE,FALSE)</f>
        <v>1</v>
      </c>
      <c r="T9" s="16"/>
      <c r="U9" s="16"/>
      <c r="V9" s="16" t="b">
        <f t="shared" ref="V9" si="12">V4=MID($T$8,7,5)</f>
        <v>1</v>
      </c>
      <c r="W9" s="16" t="b">
        <f>IF(AND(VALUE(W4)&gt;=0,VALUE(W4)&lt;=63),TRUE,FALSE)</f>
        <v>1</v>
      </c>
      <c r="X9" s="16"/>
    </row>
    <row r="10" spans="1:24" ht="16.5" thickBot="1">
      <c r="A10" s="1"/>
      <c r="B10" s="1"/>
      <c r="C10" s="58" t="s">
        <v>1846</v>
      </c>
      <c r="D10" s="55"/>
      <c r="E10" s="56"/>
      <c r="F10" s="56"/>
      <c r="G10" s="15"/>
      <c r="H10" s="22"/>
      <c r="I10" s="21"/>
    </row>
    <row r="11" spans="1:24">
      <c r="A11" s="1"/>
      <c r="B11" s="1"/>
      <c r="C11" s="41"/>
      <c r="H11" s="16"/>
      <c r="I11" s="21"/>
    </row>
    <row r="12" spans="1:24">
      <c r="A12" s="1"/>
      <c r="B12" s="1"/>
      <c r="C12" s="18"/>
      <c r="H12" s="16"/>
      <c r="I12" s="16"/>
      <c r="J12" s="23"/>
      <c r="K12" s="23"/>
      <c r="L12" s="16"/>
      <c r="M12" s="16"/>
      <c r="N12" s="23"/>
      <c r="O12" s="23"/>
      <c r="P12" s="16"/>
      <c r="Q12" s="16"/>
      <c r="R12" s="23"/>
      <c r="S12" s="23"/>
      <c r="T12" s="16"/>
      <c r="U12" s="16"/>
      <c r="V12" s="23"/>
      <c r="W12" s="23"/>
    </row>
    <row r="13" spans="1:24" ht="16.5" thickBot="1">
      <c r="A13" s="1"/>
      <c r="B13" s="1"/>
      <c r="I13" s="16"/>
      <c r="J13" s="16"/>
      <c r="K13" s="16"/>
      <c r="L13" s="36"/>
      <c r="M13" s="36"/>
      <c r="N13" s="16"/>
      <c r="O13" s="16"/>
      <c r="P13" s="16"/>
      <c r="Q13" s="16"/>
      <c r="R13" s="16"/>
      <c r="S13" s="16"/>
      <c r="T13" s="16"/>
      <c r="U13" s="16"/>
      <c r="V13" s="16"/>
      <c r="W13" s="16"/>
    </row>
    <row r="14" spans="1:24" ht="16.5" thickBot="1">
      <c r="A14" s="1"/>
      <c r="B14" s="1"/>
      <c r="C14" s="60" t="s">
        <v>1840</v>
      </c>
      <c r="D14" s="60"/>
      <c r="E14" s="60"/>
      <c r="F14" s="60"/>
      <c r="G14" s="62"/>
      <c r="I14" s="16"/>
      <c r="J14" s="16" t="s">
        <v>1841</v>
      </c>
      <c r="L14" s="37" t="s">
        <v>1842</v>
      </c>
      <c r="M14" s="38" t="b">
        <f>COUNTIF(J15:J46,"TRUE")=COUNTA(J15:J46)</f>
        <v>1</v>
      </c>
      <c r="N14" s="22"/>
      <c r="O14" s="16"/>
      <c r="P14" s="16"/>
      <c r="Q14" s="16"/>
      <c r="R14" s="16"/>
      <c r="S14" s="16"/>
      <c r="T14" s="16"/>
      <c r="U14" s="16"/>
      <c r="V14" s="16"/>
      <c r="W14" s="16"/>
    </row>
    <row r="15" spans="1:24">
      <c r="A15" s="1"/>
      <c r="B15" s="1"/>
      <c r="C15" s="63" t="str">
        <f>IF(M14=TRUE,"PASS","FAIL")</f>
        <v>PASS</v>
      </c>
      <c r="D15" s="63"/>
      <c r="E15" s="63"/>
      <c r="F15" s="63"/>
      <c r="G15" s="64"/>
      <c r="I15" s="21"/>
      <c r="J15" s="16" t="b">
        <f>J8</f>
        <v>1</v>
      </c>
      <c r="K15" s="22"/>
      <c r="L15" s="23"/>
      <c r="M15" s="23"/>
      <c r="N15" s="16"/>
      <c r="O15" s="16"/>
      <c r="P15" s="16"/>
      <c r="Q15" s="16"/>
      <c r="R15" s="16"/>
      <c r="S15" s="16"/>
      <c r="T15" s="16"/>
      <c r="U15" s="16"/>
      <c r="V15" s="16"/>
      <c r="W15" s="16"/>
    </row>
    <row r="16" spans="1:24">
      <c r="A16" s="1"/>
      <c r="B16" s="1"/>
      <c r="C16" s="63"/>
      <c r="D16" s="63"/>
      <c r="E16" s="63"/>
      <c r="F16" s="63"/>
      <c r="G16" s="64"/>
      <c r="I16" s="21"/>
      <c r="J16" s="16" t="b">
        <f t="shared" ref="J16" si="13">J9</f>
        <v>1</v>
      </c>
      <c r="K16" s="22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</row>
    <row r="17" spans="1:23">
      <c r="A17" s="1"/>
      <c r="B17" s="1"/>
      <c r="C17" s="63"/>
      <c r="D17" s="63"/>
      <c r="E17" s="63"/>
      <c r="F17" s="63"/>
      <c r="G17" s="64"/>
      <c r="I17" s="21"/>
      <c r="J17" s="16" t="b">
        <f>K8</f>
        <v>1</v>
      </c>
      <c r="K17" s="22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</row>
    <row r="18" spans="1:23">
      <c r="A18" s="17"/>
      <c r="B18" s="17"/>
      <c r="C18" s="63"/>
      <c r="D18" s="63"/>
      <c r="E18" s="63"/>
      <c r="F18" s="63"/>
      <c r="G18" s="64"/>
      <c r="I18" s="21"/>
      <c r="J18" s="16" t="b">
        <f>K9</f>
        <v>1</v>
      </c>
      <c r="K18" s="22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</row>
    <row r="19" spans="1:23">
      <c r="A19" s="17"/>
      <c r="B19" s="17"/>
      <c r="C19" s="63"/>
      <c r="D19" s="63"/>
      <c r="E19" s="63"/>
      <c r="F19" s="63"/>
      <c r="G19" s="64"/>
      <c r="I19" s="21"/>
      <c r="J19" s="16" t="b">
        <f>N8</f>
        <v>1</v>
      </c>
      <c r="K19" s="22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</row>
    <row r="20" spans="1:23">
      <c r="A20" s="17"/>
      <c r="B20" s="17"/>
      <c r="C20" s="63"/>
      <c r="D20" s="63"/>
      <c r="E20" s="63"/>
      <c r="F20" s="63"/>
      <c r="G20" s="64"/>
      <c r="I20" s="21"/>
      <c r="J20" s="16" t="b">
        <f>N9</f>
        <v>1</v>
      </c>
      <c r="K20" s="22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</row>
    <row r="21" spans="1:23">
      <c r="A21" s="17"/>
      <c r="B21" s="17"/>
      <c r="C21" s="63"/>
      <c r="D21" s="63"/>
      <c r="E21" s="63"/>
      <c r="F21" s="63"/>
      <c r="G21" s="64"/>
      <c r="H21" s="16"/>
      <c r="I21" s="21"/>
      <c r="J21" s="16" t="b">
        <f>O8</f>
        <v>1</v>
      </c>
      <c r="K21" s="22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</row>
    <row r="22" spans="1:23">
      <c r="A22" s="17"/>
      <c r="B22" s="17"/>
      <c r="C22" s="63"/>
      <c r="D22" s="63"/>
      <c r="E22" s="63"/>
      <c r="F22" s="63"/>
      <c r="G22" s="64"/>
      <c r="H22" s="16"/>
      <c r="I22" s="21"/>
      <c r="J22" s="16" t="b">
        <f>O9</f>
        <v>1</v>
      </c>
      <c r="K22" s="22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</row>
    <row r="23" spans="1:23">
      <c r="A23" s="17"/>
      <c r="B23" s="17"/>
      <c r="C23" s="63"/>
      <c r="D23" s="63"/>
      <c r="E23" s="63"/>
      <c r="F23" s="63"/>
      <c r="G23" s="64"/>
      <c r="H23" s="16"/>
      <c r="I23" s="21"/>
      <c r="J23" s="16" t="b">
        <f>R8</f>
        <v>1</v>
      </c>
      <c r="K23" s="22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</row>
    <row r="24" spans="1:23">
      <c r="A24" s="17"/>
      <c r="B24" s="17"/>
      <c r="C24" s="63"/>
      <c r="D24" s="63"/>
      <c r="E24" s="63"/>
      <c r="F24" s="63"/>
      <c r="G24" s="64"/>
      <c r="H24" s="16"/>
      <c r="I24" s="21"/>
      <c r="J24" s="16" t="b">
        <f>R9</f>
        <v>1</v>
      </c>
      <c r="K24" s="22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</row>
    <row r="25" spans="1:23">
      <c r="A25" s="17"/>
      <c r="B25" s="17"/>
      <c r="C25" s="63"/>
      <c r="D25" s="63"/>
      <c r="E25" s="63"/>
      <c r="F25" s="63"/>
      <c r="G25" s="64"/>
      <c r="H25" s="16"/>
      <c r="I25" s="21"/>
      <c r="J25" s="16" t="b">
        <f>S8</f>
        <v>1</v>
      </c>
      <c r="K25" s="22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</row>
    <row r="26" spans="1:23" ht="18.75">
      <c r="A26" s="39"/>
      <c r="B26" s="39"/>
      <c r="C26" s="63"/>
      <c r="D26" s="63"/>
      <c r="E26" s="63"/>
      <c r="F26" s="63"/>
      <c r="G26" s="64"/>
      <c r="H26" s="16"/>
      <c r="I26" s="21"/>
      <c r="J26" s="16" t="b">
        <f>S9</f>
        <v>1</v>
      </c>
      <c r="K26" s="22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</row>
    <row r="27" spans="1:23" ht="18.75">
      <c r="A27" s="39"/>
      <c r="B27" s="39"/>
      <c r="C27" s="63"/>
      <c r="D27" s="63"/>
      <c r="E27" s="63"/>
      <c r="F27" s="63"/>
      <c r="G27" s="64"/>
      <c r="H27" s="16"/>
      <c r="I27" s="21"/>
      <c r="J27" s="16" t="b">
        <f>V8</f>
        <v>1</v>
      </c>
      <c r="K27" s="22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</row>
    <row r="28" spans="1:23" ht="18.75">
      <c r="A28" s="39"/>
      <c r="B28" s="39"/>
      <c r="H28" s="16"/>
      <c r="I28" s="21"/>
      <c r="J28" s="16" t="b">
        <f>V9</f>
        <v>1</v>
      </c>
      <c r="K28" s="22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</row>
    <row r="29" spans="1:23" ht="18.75">
      <c r="A29" s="39"/>
      <c r="B29" s="39"/>
      <c r="J29" s="16" t="b">
        <f>W8</f>
        <v>1</v>
      </c>
    </row>
    <row r="30" spans="1:23" ht="18.75">
      <c r="A30" s="39"/>
      <c r="B30" s="39"/>
      <c r="J30" s="16" t="b">
        <f>W9</f>
        <v>1</v>
      </c>
    </row>
    <row r="31" spans="1:23" ht="18.75">
      <c r="A31" s="39"/>
      <c r="B31" s="39"/>
      <c r="J31" s="18"/>
    </row>
    <row r="32" spans="1:23" ht="18.75">
      <c r="A32" s="39"/>
      <c r="B32" s="39"/>
      <c r="J32" s="18"/>
    </row>
    <row r="33" spans="1:10" ht="18.75">
      <c r="A33" s="39"/>
      <c r="B33" s="39"/>
      <c r="J33" s="16"/>
    </row>
    <row r="34" spans="1:10" ht="18.75">
      <c r="A34" s="39"/>
      <c r="B34" s="39"/>
      <c r="J34" s="16"/>
    </row>
    <row r="35" spans="1:10" ht="18.75">
      <c r="A35" s="39"/>
      <c r="B35" s="39"/>
      <c r="J35" s="18"/>
    </row>
    <row r="36" spans="1:10" ht="18.75">
      <c r="A36" s="39"/>
      <c r="B36" s="39"/>
      <c r="J36" s="18"/>
    </row>
    <row r="37" spans="1:10" ht="18.75">
      <c r="A37" s="39"/>
      <c r="B37" s="39"/>
      <c r="J37" s="16"/>
    </row>
    <row r="38" spans="1:10" ht="18.75">
      <c r="A38" s="39"/>
      <c r="B38" s="39"/>
      <c r="J38" s="16"/>
    </row>
    <row r="39" spans="1:10" ht="18.75">
      <c r="A39" s="39"/>
      <c r="B39" s="39"/>
      <c r="J39" s="18"/>
    </row>
    <row r="40" spans="1:10" ht="18.75">
      <c r="A40" s="39"/>
      <c r="B40" s="39"/>
      <c r="J40" s="18"/>
    </row>
    <row r="41" spans="1:10" ht="18.75">
      <c r="A41" s="39"/>
      <c r="B41" s="39"/>
      <c r="J41" s="16"/>
    </row>
    <row r="42" spans="1:10" ht="18.75">
      <c r="A42" s="39"/>
      <c r="B42" s="39"/>
      <c r="J42" s="16"/>
    </row>
    <row r="43" spans="1:10" ht="18.75">
      <c r="A43" s="39"/>
      <c r="B43" s="39"/>
      <c r="J43" s="18"/>
    </row>
    <row r="44" spans="1:10" ht="18.75">
      <c r="A44" s="39"/>
      <c r="B44" s="39"/>
      <c r="J44" s="18"/>
    </row>
    <row r="45" spans="1:10" ht="18.75">
      <c r="A45" s="39"/>
      <c r="B45" s="39"/>
      <c r="J45" s="16"/>
    </row>
    <row r="46" spans="1:10" ht="18.75">
      <c r="A46" s="39"/>
      <c r="B46" s="39"/>
      <c r="J46" s="16"/>
    </row>
    <row r="47" spans="1:10" ht="18.75">
      <c r="A47" s="39"/>
      <c r="B47" s="39"/>
      <c r="J47" s="18"/>
    </row>
    <row r="48" spans="1:10" ht="18.75">
      <c r="A48" s="39"/>
      <c r="B48" s="39"/>
      <c r="J48" s="18"/>
    </row>
    <row r="49" spans="1:10" ht="18.75">
      <c r="A49" s="39"/>
      <c r="B49" s="39"/>
      <c r="J49" s="18"/>
    </row>
    <row r="50" spans="1:10" ht="18.75">
      <c r="A50" s="39"/>
      <c r="B50" s="39"/>
      <c r="J50" s="18"/>
    </row>
    <row r="51" spans="1:10" ht="18.75">
      <c r="A51" s="39"/>
      <c r="B51" s="39"/>
      <c r="J51" s="18"/>
    </row>
    <row r="52" spans="1:10" ht="18.75">
      <c r="A52" s="39"/>
      <c r="B52" s="39"/>
      <c r="J52" s="18"/>
    </row>
    <row r="53" spans="1:10" ht="18.75">
      <c r="A53" s="39"/>
      <c r="B53" s="39"/>
      <c r="J53" s="18"/>
    </row>
    <row r="54" spans="1:10" ht="18.75">
      <c r="A54" s="39"/>
      <c r="B54" s="39"/>
      <c r="J54" s="18"/>
    </row>
    <row r="55" spans="1:10" ht="18.75">
      <c r="A55" s="39"/>
      <c r="B55" s="39"/>
      <c r="J55" s="18"/>
    </row>
    <row r="56" spans="1:10" ht="18.75">
      <c r="A56" s="39"/>
      <c r="B56" s="39"/>
      <c r="J56" s="18"/>
    </row>
    <row r="57" spans="1:10" ht="18.75">
      <c r="A57" s="39"/>
      <c r="B57" s="39"/>
      <c r="J57" s="18"/>
    </row>
    <row r="58" spans="1:10" ht="18.75">
      <c r="A58" s="39"/>
      <c r="B58" s="39"/>
      <c r="J58" s="18"/>
    </row>
    <row r="59" spans="1:10" ht="18.75">
      <c r="A59" s="39"/>
      <c r="B59" s="39"/>
      <c r="J59" s="18"/>
    </row>
    <row r="60" spans="1:10" ht="18.75">
      <c r="A60" s="39"/>
      <c r="B60" s="39"/>
      <c r="J60" s="18"/>
    </row>
    <row r="61" spans="1:10" ht="18.75">
      <c r="A61" s="39"/>
      <c r="B61" s="39"/>
      <c r="J61" s="18"/>
    </row>
    <row r="62" spans="1:10" ht="18.75">
      <c r="A62" s="39"/>
      <c r="B62" s="39"/>
      <c r="J62" s="18"/>
    </row>
    <row r="63" spans="1:10" ht="18.75">
      <c r="A63" s="39"/>
      <c r="B63" s="39"/>
      <c r="J63" s="18"/>
    </row>
    <row r="64" spans="1:10" ht="18.75">
      <c r="A64" s="39"/>
      <c r="B64" s="39"/>
      <c r="J64" s="18"/>
    </row>
    <row r="65" spans="1:10" ht="18.75">
      <c r="A65" s="39"/>
      <c r="B65" s="39"/>
      <c r="J65" s="18"/>
    </row>
    <row r="66" spans="1:10" ht="18.75">
      <c r="A66" s="39"/>
      <c r="B66" s="39"/>
      <c r="J66" s="18"/>
    </row>
    <row r="67" spans="1:10" ht="18.75">
      <c r="A67" s="39"/>
      <c r="B67" s="39"/>
      <c r="J67" s="18"/>
    </row>
    <row r="68" spans="1:10" ht="18.75">
      <c r="A68" s="39"/>
      <c r="B68" s="39"/>
      <c r="J68" s="18"/>
    </row>
    <row r="69" spans="1:10" ht="18.75">
      <c r="A69" s="39"/>
      <c r="B69" s="39"/>
      <c r="J69" s="18"/>
    </row>
    <row r="70" spans="1:10" ht="18.75">
      <c r="A70" s="39"/>
      <c r="B70" s="39"/>
      <c r="J70" s="18"/>
    </row>
    <row r="71" spans="1:10" ht="18.75">
      <c r="A71" s="39"/>
      <c r="B71" s="39"/>
      <c r="J71" s="18"/>
    </row>
    <row r="72" spans="1:10" ht="18.75">
      <c r="A72" s="39"/>
      <c r="B72" s="39"/>
      <c r="J72" s="18"/>
    </row>
    <row r="73" spans="1:10" ht="18.75">
      <c r="A73" s="39"/>
      <c r="B73" s="39"/>
      <c r="J73" s="18"/>
    </row>
    <row r="74" spans="1:10" ht="18.75">
      <c r="A74" s="39"/>
      <c r="B74" s="39"/>
      <c r="J74" s="18"/>
    </row>
    <row r="75" spans="1:10" ht="18.75">
      <c r="A75" s="39"/>
      <c r="B75" s="39"/>
      <c r="J75" s="18"/>
    </row>
    <row r="76" spans="1:10" ht="18.75">
      <c r="A76" s="39"/>
      <c r="B76" s="39"/>
      <c r="J76" s="18"/>
    </row>
    <row r="77" spans="1:10" ht="18.75">
      <c r="A77" s="39"/>
      <c r="B77" s="39"/>
      <c r="J77" s="18"/>
    </row>
    <row r="78" spans="1:10" ht="18.75">
      <c r="A78" s="39"/>
      <c r="B78" s="39"/>
      <c r="J78" s="18"/>
    </row>
    <row r="79" spans="1:10" ht="18.75">
      <c r="A79" s="39"/>
      <c r="B79" s="39"/>
      <c r="J79" s="18"/>
    </row>
    <row r="80" spans="1:10" ht="18.75">
      <c r="A80" s="39"/>
      <c r="B80" s="39"/>
      <c r="J80" s="18"/>
    </row>
    <row r="81" spans="1:10" ht="18.75">
      <c r="A81" s="39"/>
      <c r="B81" s="39"/>
      <c r="J81" s="18"/>
    </row>
    <row r="82" spans="1:10" ht="18.75">
      <c r="A82" s="39"/>
      <c r="B82" s="39"/>
      <c r="J82" s="18"/>
    </row>
    <row r="83" spans="1:10" ht="18.75">
      <c r="A83" s="39"/>
      <c r="B83" s="39"/>
      <c r="J83" s="18"/>
    </row>
    <row r="84" spans="1:10" ht="18.75">
      <c r="A84" s="39"/>
      <c r="B84" s="39"/>
      <c r="J84" s="18"/>
    </row>
    <row r="85" spans="1:10" ht="18.75">
      <c r="A85" s="39"/>
      <c r="B85" s="39"/>
      <c r="J85" s="18"/>
    </row>
    <row r="86" spans="1:10" ht="18.75">
      <c r="A86" s="39"/>
      <c r="B86" s="39"/>
      <c r="J86" s="18"/>
    </row>
    <row r="87" spans="1:10" ht="18.75">
      <c r="A87" s="39"/>
      <c r="B87" s="39"/>
      <c r="J87" s="18"/>
    </row>
    <row r="88" spans="1:10" ht="18.75">
      <c r="A88" s="39"/>
      <c r="B88" s="39"/>
      <c r="J88" s="18"/>
    </row>
    <row r="89" spans="1:10" ht="18.75">
      <c r="A89" s="39"/>
      <c r="B89" s="39"/>
      <c r="J89" s="18"/>
    </row>
    <row r="90" spans="1:10" ht="18.75">
      <c r="A90" s="39"/>
      <c r="B90" s="39"/>
      <c r="J90" s="18"/>
    </row>
    <row r="91" spans="1:10" ht="18.75">
      <c r="A91" s="39"/>
      <c r="B91" s="39"/>
      <c r="J91" s="18"/>
    </row>
    <row r="92" spans="1:10" ht="18.75">
      <c r="A92" s="39"/>
      <c r="B92" s="39"/>
    </row>
    <row r="93" spans="1:10" ht="18.75">
      <c r="A93" s="39"/>
      <c r="B93" s="39"/>
    </row>
    <row r="94" spans="1:10" ht="18.75">
      <c r="A94" s="39"/>
      <c r="B94" s="39"/>
    </row>
    <row r="95" spans="1:10" ht="18.75">
      <c r="A95" s="39"/>
      <c r="B95" s="39"/>
    </row>
    <row r="96" spans="1:10" ht="18.75">
      <c r="A96" s="39"/>
      <c r="B96" s="39"/>
    </row>
    <row r="97" spans="1:2" ht="18.75">
      <c r="A97" s="39"/>
      <c r="B97" s="39"/>
    </row>
    <row r="98" spans="1:2" ht="18.75">
      <c r="A98" s="39"/>
      <c r="B98" s="39"/>
    </row>
    <row r="99" spans="1:2" ht="18.75">
      <c r="A99" s="39"/>
      <c r="B99" s="39"/>
    </row>
    <row r="100" spans="1:2" ht="18.75">
      <c r="A100" s="39"/>
      <c r="B100" s="40"/>
    </row>
    <row r="101" spans="1:2" ht="18.75">
      <c r="A101" s="39"/>
      <c r="B101" s="39"/>
    </row>
    <row r="102" spans="1:2" ht="18.75">
      <c r="A102" s="39"/>
      <c r="B102" s="40"/>
    </row>
    <row r="103" spans="1:2" ht="18.75">
      <c r="A103" s="39"/>
      <c r="B103" s="40"/>
    </row>
    <row r="104" spans="1:2" ht="18.75">
      <c r="A104" s="39"/>
      <c r="B104" s="39"/>
    </row>
    <row r="105" spans="1:2" ht="18.75">
      <c r="A105" s="39"/>
      <c r="B105" s="39"/>
    </row>
    <row r="106" spans="1:2" ht="18.75">
      <c r="A106" s="39"/>
      <c r="B106" s="39"/>
    </row>
    <row r="107" spans="1:2" ht="18.75">
      <c r="A107" s="39"/>
      <c r="B107" s="39"/>
    </row>
    <row r="108" spans="1:2" ht="18.75">
      <c r="A108" s="39"/>
      <c r="B108" s="39"/>
    </row>
    <row r="109" spans="1:2" ht="18.75">
      <c r="A109" s="39"/>
      <c r="B109" s="39"/>
    </row>
    <row r="110" spans="1:2" ht="18.75">
      <c r="A110" s="39"/>
      <c r="B110" s="39"/>
    </row>
    <row r="111" spans="1:2" ht="18.75">
      <c r="A111" s="39"/>
      <c r="B111" s="39"/>
    </row>
    <row r="112" spans="1:2" ht="18.75">
      <c r="A112" s="39"/>
      <c r="B112" s="39"/>
    </row>
    <row r="113" spans="1:2" ht="18.75">
      <c r="A113" s="39"/>
      <c r="B113" s="39"/>
    </row>
    <row r="114" spans="1:2" ht="18.75">
      <c r="A114" s="39"/>
      <c r="B114" s="39"/>
    </row>
    <row r="115" spans="1:2" ht="18.75">
      <c r="A115" s="39"/>
      <c r="B115" s="40"/>
    </row>
    <row r="116" spans="1:2" ht="18.75">
      <c r="A116" s="39"/>
      <c r="B116" s="39"/>
    </row>
    <row r="117" spans="1:2" ht="18.75">
      <c r="A117" s="39"/>
      <c r="B117" s="39"/>
    </row>
    <row r="118" spans="1:2" ht="18.75">
      <c r="A118" s="39"/>
      <c r="B118" s="39"/>
    </row>
    <row r="119" spans="1:2" ht="18.75">
      <c r="A119" s="39"/>
      <c r="B119" s="40"/>
    </row>
    <row r="120" spans="1:2" ht="18.75">
      <c r="A120" s="39"/>
      <c r="B120" s="40"/>
    </row>
    <row r="121" spans="1:2" ht="18.75">
      <c r="A121" s="39"/>
      <c r="B121" s="39"/>
    </row>
    <row r="122" spans="1:2" ht="18.75">
      <c r="A122" s="39"/>
      <c r="B122" s="39"/>
    </row>
    <row r="123" spans="1:2" ht="18.75">
      <c r="A123" s="39"/>
      <c r="B123" s="39"/>
    </row>
    <row r="124" spans="1:2" ht="18.75">
      <c r="A124" s="39"/>
      <c r="B124" s="39"/>
    </row>
    <row r="125" spans="1:2" ht="18.75">
      <c r="A125" s="39"/>
      <c r="B125" s="39"/>
    </row>
    <row r="126" spans="1:2" ht="18.75">
      <c r="A126" s="39"/>
      <c r="B126" s="39"/>
    </row>
    <row r="127" spans="1:2" ht="18.75">
      <c r="A127" s="39"/>
      <c r="B127" s="39"/>
    </row>
    <row r="128" spans="1:2" ht="18.75">
      <c r="A128" s="39"/>
      <c r="B128" s="39"/>
    </row>
    <row r="129" spans="1:2" ht="18.75">
      <c r="A129" s="39"/>
      <c r="B129" s="39"/>
    </row>
    <row r="130" spans="1:2" ht="18.75">
      <c r="A130" s="39"/>
      <c r="B130" s="39"/>
    </row>
    <row r="131" spans="1:2" ht="18.75">
      <c r="A131" s="39"/>
      <c r="B131" s="39"/>
    </row>
    <row r="132" spans="1:2" ht="18.75">
      <c r="A132" s="39"/>
      <c r="B132" s="39"/>
    </row>
    <row r="133" spans="1:2" ht="18.75">
      <c r="A133" s="39"/>
      <c r="B133" s="39"/>
    </row>
    <row r="134" spans="1:2" ht="18.75">
      <c r="A134" s="39"/>
      <c r="B134" s="39"/>
    </row>
    <row r="135" spans="1:2" ht="18.75">
      <c r="A135" s="39"/>
      <c r="B135" s="39"/>
    </row>
    <row r="136" spans="1:2" ht="18.75">
      <c r="A136" s="39"/>
      <c r="B136" s="39"/>
    </row>
    <row r="137" spans="1:2" ht="18.75">
      <c r="A137" s="39"/>
      <c r="B137" s="39"/>
    </row>
    <row r="138" spans="1:2" ht="18.75">
      <c r="A138" s="39"/>
      <c r="B138" s="39"/>
    </row>
    <row r="139" spans="1:2" ht="18.75">
      <c r="A139" s="39"/>
      <c r="B139" s="39"/>
    </row>
    <row r="140" spans="1:2" ht="18.75">
      <c r="A140" s="39"/>
      <c r="B140" s="39"/>
    </row>
    <row r="141" spans="1:2" ht="18.75">
      <c r="A141" s="39"/>
      <c r="B141" s="39"/>
    </row>
    <row r="142" spans="1:2" ht="18.75">
      <c r="A142" s="39"/>
      <c r="B142" s="39"/>
    </row>
    <row r="143" spans="1:2" ht="18.75">
      <c r="A143" s="39"/>
      <c r="B143" s="39"/>
    </row>
    <row r="144" spans="1:2" ht="18.75">
      <c r="A144" s="39"/>
      <c r="B144" s="39"/>
    </row>
    <row r="145" spans="1:2" ht="18.75">
      <c r="A145" s="39"/>
      <c r="B145" s="39"/>
    </row>
    <row r="146" spans="1:2" ht="18.75">
      <c r="A146" s="39"/>
      <c r="B146" s="39"/>
    </row>
    <row r="147" spans="1:2" ht="18.75">
      <c r="A147" s="39"/>
      <c r="B147" s="39"/>
    </row>
    <row r="148" spans="1:2" ht="18.75">
      <c r="A148" s="39"/>
      <c r="B148" s="39"/>
    </row>
    <row r="149" spans="1:2" ht="18.75">
      <c r="A149" s="39"/>
      <c r="B149" s="39"/>
    </row>
    <row r="150" spans="1:2" ht="18.75">
      <c r="A150" s="39"/>
      <c r="B150" s="39"/>
    </row>
    <row r="151" spans="1:2" ht="18.75">
      <c r="A151" s="39"/>
      <c r="B151" s="40"/>
    </row>
    <row r="152" spans="1:2" ht="18.75">
      <c r="A152" s="39"/>
      <c r="B152" s="39"/>
    </row>
    <row r="153" spans="1:2" ht="18.75">
      <c r="A153" s="39"/>
      <c r="B153" s="39"/>
    </row>
    <row r="154" spans="1:2" ht="18.75">
      <c r="A154" s="39"/>
      <c r="B154" s="39"/>
    </row>
    <row r="155" spans="1:2" ht="18.75">
      <c r="A155" s="39"/>
      <c r="B155" s="39"/>
    </row>
    <row r="156" spans="1:2" ht="18.75">
      <c r="A156" s="39"/>
      <c r="B156" s="39"/>
    </row>
    <row r="157" spans="1:2" ht="18.75">
      <c r="A157" s="39"/>
      <c r="B157" s="39"/>
    </row>
    <row r="158" spans="1:2" ht="18.75">
      <c r="A158" s="39"/>
      <c r="B158" s="39"/>
    </row>
    <row r="159" spans="1:2" ht="18.75">
      <c r="A159" s="39"/>
      <c r="B159" s="39"/>
    </row>
    <row r="160" spans="1:2" ht="18.75">
      <c r="A160" s="39"/>
      <c r="B160" s="39"/>
    </row>
    <row r="161" spans="1:2" ht="18.75">
      <c r="A161" s="39"/>
      <c r="B161" s="39"/>
    </row>
    <row r="162" spans="1:2" ht="18.75">
      <c r="A162" s="39"/>
      <c r="B162" s="39"/>
    </row>
    <row r="163" spans="1:2" ht="18.75">
      <c r="A163" s="39"/>
      <c r="B163" s="39"/>
    </row>
    <row r="164" spans="1:2" ht="18.75">
      <c r="A164" s="39"/>
      <c r="B164" s="39"/>
    </row>
    <row r="165" spans="1:2" ht="18.75">
      <c r="A165" s="39"/>
      <c r="B165" s="39"/>
    </row>
    <row r="166" spans="1:2" ht="18.75">
      <c r="A166" s="39"/>
      <c r="B166" s="39"/>
    </row>
    <row r="167" spans="1:2" ht="18.75">
      <c r="A167" s="39"/>
      <c r="B167" s="39"/>
    </row>
    <row r="168" spans="1:2" ht="18.75">
      <c r="A168" s="39"/>
      <c r="B168" s="40"/>
    </row>
    <row r="169" spans="1:2" ht="18.75">
      <c r="A169" s="39"/>
      <c r="B169" s="39"/>
    </row>
    <row r="170" spans="1:2" ht="18.75">
      <c r="A170" s="39"/>
      <c r="B170" s="39"/>
    </row>
    <row r="171" spans="1:2" ht="18.75">
      <c r="A171" s="39"/>
      <c r="B171" s="39"/>
    </row>
    <row r="172" spans="1:2" ht="18.75">
      <c r="A172" s="39"/>
      <c r="B172" s="39"/>
    </row>
    <row r="173" spans="1:2" ht="18.75">
      <c r="A173" s="39"/>
      <c r="B173" s="39"/>
    </row>
    <row r="174" spans="1:2" ht="18.75">
      <c r="A174" s="39"/>
      <c r="B174" s="39"/>
    </row>
    <row r="175" spans="1:2" ht="18.75">
      <c r="A175" s="39"/>
      <c r="B175" s="39"/>
    </row>
    <row r="176" spans="1:2" ht="18.75">
      <c r="A176" s="39"/>
      <c r="B176" s="39"/>
    </row>
    <row r="177" spans="1:2" ht="18.75">
      <c r="A177" s="39"/>
      <c r="B177" s="39"/>
    </row>
    <row r="178" spans="1:2" ht="18.75">
      <c r="A178" s="39"/>
      <c r="B178" s="39"/>
    </row>
    <row r="179" spans="1:2" ht="18.75">
      <c r="A179" s="39"/>
      <c r="B179" s="39"/>
    </row>
    <row r="180" spans="1:2" ht="18.75">
      <c r="A180" s="39"/>
      <c r="B180" s="39"/>
    </row>
    <row r="181" spans="1:2" ht="18.75">
      <c r="A181" s="39"/>
      <c r="B181" s="39"/>
    </row>
    <row r="182" spans="1:2" ht="18.75">
      <c r="A182" s="39"/>
      <c r="B182" s="39"/>
    </row>
    <row r="183" spans="1:2" ht="18.75">
      <c r="A183" s="39"/>
      <c r="B183" s="39"/>
    </row>
    <row r="184" spans="1:2" ht="18.75">
      <c r="A184" s="39"/>
      <c r="B184" s="39"/>
    </row>
    <row r="185" spans="1:2" ht="18.75">
      <c r="A185" s="39"/>
      <c r="B185" s="39"/>
    </row>
    <row r="186" spans="1:2" ht="18.75">
      <c r="A186" s="39"/>
      <c r="B186" s="39"/>
    </row>
    <row r="187" spans="1:2" ht="18.75">
      <c r="A187" s="39"/>
      <c r="B187" s="39"/>
    </row>
    <row r="188" spans="1:2" ht="18.75">
      <c r="A188" s="39"/>
      <c r="B188" s="39"/>
    </row>
    <row r="189" spans="1:2" ht="18.75">
      <c r="A189" s="39"/>
      <c r="B189" s="39"/>
    </row>
    <row r="190" spans="1:2" ht="18.75">
      <c r="A190" s="39"/>
      <c r="B190" s="39"/>
    </row>
    <row r="191" spans="1:2" ht="18.75">
      <c r="A191" s="39"/>
      <c r="B191" s="39"/>
    </row>
    <row r="192" spans="1:2" ht="18.75">
      <c r="A192" s="39"/>
      <c r="B192" s="39"/>
    </row>
    <row r="193" spans="1:2" ht="18.75">
      <c r="A193" s="39"/>
      <c r="B193" s="39"/>
    </row>
    <row r="194" spans="1:2" ht="18.75">
      <c r="A194" s="39"/>
      <c r="B194" s="39"/>
    </row>
    <row r="195" spans="1:2" ht="18.75">
      <c r="A195" s="39"/>
      <c r="B195" s="39"/>
    </row>
    <row r="196" spans="1:2" ht="18.75">
      <c r="A196" s="39"/>
      <c r="B196" s="39"/>
    </row>
    <row r="197" spans="1:2" ht="18.75">
      <c r="A197" s="39"/>
      <c r="B197" s="39"/>
    </row>
    <row r="198" spans="1:2" ht="18.75">
      <c r="A198" s="39"/>
      <c r="B198" s="39"/>
    </row>
    <row r="199" spans="1:2" ht="18.75">
      <c r="A199" s="39"/>
      <c r="B199" s="39"/>
    </row>
    <row r="200" spans="1:2" ht="18.75">
      <c r="A200" s="39"/>
      <c r="B200" s="39"/>
    </row>
    <row r="201" spans="1:2" ht="18.75">
      <c r="A201" s="39"/>
      <c r="B201" s="39"/>
    </row>
    <row r="202" spans="1:2" ht="18.75">
      <c r="A202" s="39"/>
      <c r="B202" s="39"/>
    </row>
    <row r="203" spans="1:2" ht="18.75">
      <c r="A203" s="39"/>
      <c r="B203" s="39"/>
    </row>
    <row r="204" spans="1:2" ht="18.75">
      <c r="A204" s="39"/>
      <c r="B204" s="39"/>
    </row>
    <row r="205" spans="1:2" ht="18.75">
      <c r="A205" s="39"/>
      <c r="B205" s="39"/>
    </row>
    <row r="206" spans="1:2" ht="18.75">
      <c r="A206" s="39"/>
      <c r="B206" s="39"/>
    </row>
    <row r="207" spans="1:2" ht="18.75">
      <c r="A207" s="39"/>
      <c r="B207" s="39"/>
    </row>
    <row r="208" spans="1:2" ht="18.75">
      <c r="A208" s="39"/>
      <c r="B208" s="39"/>
    </row>
    <row r="209" spans="1:2" ht="18.75">
      <c r="A209" s="39"/>
      <c r="B209" s="39"/>
    </row>
    <row r="210" spans="1:2" ht="18.75">
      <c r="A210" s="39"/>
      <c r="B210" s="39"/>
    </row>
    <row r="211" spans="1:2" ht="18.75">
      <c r="A211" s="39"/>
      <c r="B211" s="39"/>
    </row>
    <row r="212" spans="1:2" ht="18.75">
      <c r="A212" s="39"/>
      <c r="B212" s="39"/>
    </row>
    <row r="213" spans="1:2" ht="18.75">
      <c r="A213" s="39"/>
      <c r="B213" s="39"/>
    </row>
    <row r="214" spans="1:2" ht="18.75">
      <c r="A214" s="39"/>
      <c r="B214" s="39"/>
    </row>
    <row r="215" spans="1:2" ht="18.75">
      <c r="A215" s="39"/>
      <c r="B215" s="40"/>
    </row>
    <row r="216" spans="1:2" ht="18.75">
      <c r="A216" s="39"/>
      <c r="B216" s="40"/>
    </row>
    <row r="217" spans="1:2" ht="18.75">
      <c r="A217" s="39"/>
      <c r="B217" s="40"/>
    </row>
    <row r="218" spans="1:2" ht="18.75">
      <c r="A218" s="39"/>
      <c r="B218" s="40"/>
    </row>
    <row r="219" spans="1:2" ht="18.75">
      <c r="A219" s="39"/>
      <c r="B219" s="39"/>
    </row>
    <row r="220" spans="1:2" ht="18.75">
      <c r="A220" s="39"/>
      <c r="B220" s="39"/>
    </row>
    <row r="221" spans="1:2" ht="18.75">
      <c r="A221" s="39"/>
      <c r="B221" s="39"/>
    </row>
    <row r="222" spans="1:2" ht="18.75">
      <c r="A222" s="39"/>
      <c r="B222" s="39"/>
    </row>
    <row r="223" spans="1:2" ht="18.75">
      <c r="A223" s="39"/>
      <c r="B223" s="39"/>
    </row>
    <row r="224" spans="1:2" ht="18.75">
      <c r="A224" s="39"/>
      <c r="B224" s="39"/>
    </row>
    <row r="225" spans="1:2" ht="18.75">
      <c r="A225" s="39"/>
      <c r="B225" s="39"/>
    </row>
    <row r="226" spans="1:2" ht="18.75">
      <c r="A226" s="39"/>
      <c r="B226" s="39"/>
    </row>
    <row r="227" spans="1:2" ht="18.75">
      <c r="A227" s="39"/>
      <c r="B227" s="39"/>
    </row>
    <row r="228" spans="1:2" ht="18.75">
      <c r="A228" s="39"/>
      <c r="B228" s="39"/>
    </row>
    <row r="229" spans="1:2" ht="18.75">
      <c r="A229" s="39"/>
      <c r="B229" s="39"/>
    </row>
    <row r="230" spans="1:2" ht="18.75">
      <c r="A230" s="39"/>
      <c r="B230" s="40"/>
    </row>
    <row r="231" spans="1:2" ht="18.75">
      <c r="A231" s="39"/>
      <c r="B231" s="40"/>
    </row>
    <row r="232" spans="1:2" ht="18.75">
      <c r="A232" s="39"/>
      <c r="B232" s="39"/>
    </row>
    <row r="233" spans="1:2" ht="18.75">
      <c r="A233" s="39"/>
      <c r="B233" s="39"/>
    </row>
    <row r="234" spans="1:2" ht="18.75">
      <c r="A234" s="39"/>
      <c r="B234" s="39"/>
    </row>
    <row r="235" spans="1:2" ht="18.75">
      <c r="A235" s="39"/>
      <c r="B235" s="40"/>
    </row>
    <row r="236" spans="1:2" ht="18.75">
      <c r="A236" s="39"/>
      <c r="B236" s="39"/>
    </row>
    <row r="237" spans="1:2" ht="18.75">
      <c r="A237" s="39"/>
      <c r="B237" s="39"/>
    </row>
    <row r="238" spans="1:2" ht="18.75">
      <c r="A238" s="39"/>
      <c r="B238" s="39"/>
    </row>
    <row r="239" spans="1:2" ht="18.75">
      <c r="A239" s="39"/>
      <c r="B239" s="39"/>
    </row>
    <row r="240" spans="1:2" ht="18.75">
      <c r="A240" s="39"/>
      <c r="B240" s="39"/>
    </row>
    <row r="241" spans="1:2" ht="18.75">
      <c r="A241" s="39"/>
      <c r="B241" s="39"/>
    </row>
    <row r="242" spans="1:2" ht="18.75">
      <c r="A242" s="39"/>
      <c r="B242" s="39"/>
    </row>
    <row r="243" spans="1:2" ht="18.75">
      <c r="A243" s="39"/>
      <c r="B243" s="39"/>
    </row>
    <row r="244" spans="1:2" ht="18.75">
      <c r="A244" s="39"/>
      <c r="B244" s="39"/>
    </row>
    <row r="245" spans="1:2" ht="18.75">
      <c r="A245" s="39"/>
      <c r="B245" s="39"/>
    </row>
    <row r="246" spans="1:2" ht="18.75">
      <c r="A246" s="39"/>
      <c r="B246" s="39"/>
    </row>
    <row r="247" spans="1:2" ht="18.75">
      <c r="A247" s="39"/>
      <c r="B247" s="39"/>
    </row>
    <row r="248" spans="1:2" ht="18.75">
      <c r="A248" s="39"/>
      <c r="B248" s="39"/>
    </row>
    <row r="249" spans="1:2" ht="18.75">
      <c r="A249" s="39"/>
      <c r="B249" s="39"/>
    </row>
    <row r="250" spans="1:2" ht="18.75">
      <c r="A250" s="39"/>
      <c r="B250" s="39"/>
    </row>
    <row r="251" spans="1:2" ht="18.75">
      <c r="A251" s="39"/>
      <c r="B251" s="39"/>
    </row>
    <row r="252" spans="1:2" ht="18.75">
      <c r="A252" s="39"/>
      <c r="B252" s="39"/>
    </row>
    <row r="253" spans="1:2" ht="18.75">
      <c r="A253" s="39"/>
      <c r="B253" s="39"/>
    </row>
    <row r="254" spans="1:2" ht="18.75">
      <c r="A254" s="39"/>
      <c r="B254" s="39"/>
    </row>
    <row r="255" spans="1:2" ht="18.75">
      <c r="A255" s="39"/>
      <c r="B255" s="39"/>
    </row>
    <row r="256" spans="1:2" ht="18.75">
      <c r="A256" s="39"/>
      <c r="B256" s="39"/>
    </row>
    <row r="257" spans="1:2" ht="18.75">
      <c r="A257" s="39"/>
      <c r="B257" s="39"/>
    </row>
    <row r="258" spans="1:2" ht="18.75">
      <c r="A258" s="39"/>
      <c r="B258" s="39"/>
    </row>
    <row r="259" spans="1:2" ht="18.75">
      <c r="A259" s="39"/>
      <c r="B259" s="39"/>
    </row>
    <row r="260" spans="1:2" ht="18.75">
      <c r="A260" s="39"/>
      <c r="B260" s="39"/>
    </row>
    <row r="261" spans="1:2" ht="18.75">
      <c r="A261" s="39"/>
      <c r="B261" s="39"/>
    </row>
    <row r="262" spans="1:2" ht="18.75">
      <c r="A262" s="39"/>
      <c r="B262" s="39"/>
    </row>
    <row r="263" spans="1:2" ht="18.75">
      <c r="A263" s="39"/>
      <c r="B263" s="39"/>
    </row>
    <row r="264" spans="1:2" ht="18.75">
      <c r="A264" s="39"/>
      <c r="B264" s="39"/>
    </row>
    <row r="265" spans="1:2" ht="18.75">
      <c r="A265" s="39"/>
      <c r="B265" s="39"/>
    </row>
    <row r="266" spans="1:2" ht="18.75">
      <c r="A266" s="39"/>
      <c r="B266" s="39"/>
    </row>
    <row r="267" spans="1:2" ht="18.75">
      <c r="A267" s="39"/>
      <c r="B267" s="39"/>
    </row>
    <row r="268" spans="1:2" ht="18.75">
      <c r="A268" s="39"/>
      <c r="B268" s="39"/>
    </row>
    <row r="269" spans="1:2" ht="18.75">
      <c r="A269" s="39"/>
      <c r="B269" s="39"/>
    </row>
    <row r="270" spans="1:2" ht="18.75">
      <c r="A270" s="39"/>
      <c r="B270" s="39"/>
    </row>
    <row r="271" spans="1:2" ht="18.75">
      <c r="A271" s="39"/>
      <c r="B271" s="39"/>
    </row>
    <row r="272" spans="1:2" ht="18.75">
      <c r="A272" s="39"/>
      <c r="B272" s="39"/>
    </row>
    <row r="273" spans="1:2" ht="18.75">
      <c r="A273" s="39"/>
      <c r="B273" s="39"/>
    </row>
    <row r="274" spans="1:2" ht="18.75">
      <c r="A274" s="39"/>
      <c r="B274" s="39"/>
    </row>
    <row r="275" spans="1:2" ht="18.75">
      <c r="A275" s="39"/>
      <c r="B275" s="39"/>
    </row>
    <row r="276" spans="1:2" ht="18.75">
      <c r="A276" s="39"/>
      <c r="B276" s="39"/>
    </row>
    <row r="277" spans="1:2" ht="18.75">
      <c r="A277" s="39"/>
      <c r="B277" s="39"/>
    </row>
    <row r="278" spans="1:2" ht="18.75">
      <c r="A278" s="39"/>
      <c r="B278" s="39"/>
    </row>
    <row r="279" spans="1:2" ht="18.75">
      <c r="A279" s="39"/>
      <c r="B279" s="39"/>
    </row>
    <row r="280" spans="1:2" ht="18.75">
      <c r="A280" s="39"/>
      <c r="B280" s="39"/>
    </row>
    <row r="281" spans="1:2" ht="18.75">
      <c r="A281" s="39"/>
      <c r="B281" s="39"/>
    </row>
    <row r="282" spans="1:2" ht="18.75">
      <c r="A282" s="39"/>
      <c r="B282" s="39"/>
    </row>
    <row r="283" spans="1:2" ht="18.75">
      <c r="A283" s="39"/>
      <c r="B283" s="39"/>
    </row>
    <row r="284" spans="1:2" ht="18.75">
      <c r="A284" s="39"/>
      <c r="B284" s="39"/>
    </row>
    <row r="285" spans="1:2" ht="18.75">
      <c r="A285" s="39"/>
      <c r="B285" s="39"/>
    </row>
    <row r="286" spans="1:2" ht="18.75">
      <c r="A286" s="39"/>
      <c r="B286" s="39"/>
    </row>
    <row r="287" spans="1:2" ht="18.75">
      <c r="A287" s="39"/>
      <c r="B287" s="39"/>
    </row>
    <row r="288" spans="1:2" ht="18.75">
      <c r="A288" s="39"/>
      <c r="B288" s="39"/>
    </row>
    <row r="289" spans="1:2" ht="18.75">
      <c r="A289" s="39"/>
      <c r="B289" s="39"/>
    </row>
    <row r="290" spans="1:2" ht="18.75">
      <c r="A290" s="39"/>
      <c r="B290" s="39"/>
    </row>
    <row r="291" spans="1:2" ht="18.75">
      <c r="A291" s="39"/>
      <c r="B291" s="39"/>
    </row>
    <row r="292" spans="1:2" ht="18.75">
      <c r="A292" s="39"/>
      <c r="B292" s="39"/>
    </row>
    <row r="293" spans="1:2" ht="18.75">
      <c r="A293" s="39"/>
      <c r="B293" s="39"/>
    </row>
    <row r="294" spans="1:2" ht="18.75">
      <c r="A294" s="39"/>
      <c r="B294" s="39"/>
    </row>
    <row r="295" spans="1:2" ht="18.75">
      <c r="A295" s="39"/>
      <c r="B295" s="39"/>
    </row>
    <row r="296" spans="1:2" ht="18.75">
      <c r="A296" s="39"/>
      <c r="B296" s="39"/>
    </row>
    <row r="297" spans="1:2" ht="18.75">
      <c r="A297" s="39"/>
      <c r="B297" s="39"/>
    </row>
    <row r="298" spans="1:2" ht="18.75">
      <c r="A298" s="39"/>
      <c r="B298" s="39"/>
    </row>
    <row r="299" spans="1:2" ht="18.75">
      <c r="A299" s="39"/>
      <c r="B299" s="39"/>
    </row>
    <row r="300" spans="1:2" ht="18.75">
      <c r="A300" s="39"/>
      <c r="B300" s="39"/>
    </row>
    <row r="301" spans="1:2" ht="18.75">
      <c r="A301" s="39"/>
      <c r="B301" s="39"/>
    </row>
    <row r="302" spans="1:2" ht="18.75">
      <c r="A302" s="39"/>
      <c r="B302" s="39"/>
    </row>
    <row r="303" spans="1:2" ht="18.75">
      <c r="A303" s="39"/>
      <c r="B303" s="39"/>
    </row>
    <row r="304" spans="1:2" ht="18.75">
      <c r="A304" s="39"/>
      <c r="B304" s="39"/>
    </row>
    <row r="305" spans="1:2" ht="18.75">
      <c r="A305" s="39"/>
      <c r="B305" s="39"/>
    </row>
    <row r="306" spans="1:2" ht="18.75">
      <c r="A306" s="39"/>
      <c r="B306" s="39"/>
    </row>
    <row r="307" spans="1:2" ht="18.75">
      <c r="A307" s="39"/>
      <c r="B307" s="39"/>
    </row>
    <row r="308" spans="1:2" ht="18.75">
      <c r="A308" s="39"/>
      <c r="B308" s="39"/>
    </row>
    <row r="309" spans="1:2" ht="18.75">
      <c r="A309" s="39"/>
      <c r="B309" s="39"/>
    </row>
    <row r="310" spans="1:2" ht="18.75">
      <c r="A310" s="39"/>
      <c r="B310" s="39"/>
    </row>
    <row r="311" spans="1:2" ht="18.75">
      <c r="A311" s="39"/>
      <c r="B311" s="39"/>
    </row>
    <row r="312" spans="1:2" ht="18.75">
      <c r="A312" s="39"/>
      <c r="B312" s="39"/>
    </row>
    <row r="313" spans="1:2" ht="18.75">
      <c r="A313" s="39"/>
      <c r="B313" s="39"/>
    </row>
    <row r="314" spans="1:2" ht="18.75">
      <c r="A314" s="39"/>
      <c r="B314" s="39"/>
    </row>
    <row r="315" spans="1:2" ht="18.75">
      <c r="A315" s="39"/>
      <c r="B315" s="39"/>
    </row>
    <row r="316" spans="1:2" ht="18.75">
      <c r="A316" s="39"/>
      <c r="B316" s="39"/>
    </row>
    <row r="317" spans="1:2" ht="18.75">
      <c r="A317" s="39"/>
      <c r="B317" s="39"/>
    </row>
    <row r="318" spans="1:2" ht="18.75">
      <c r="A318" s="39"/>
      <c r="B318" s="39"/>
    </row>
    <row r="319" spans="1:2" ht="18.75">
      <c r="A319" s="39"/>
      <c r="B319" s="39"/>
    </row>
    <row r="320" spans="1:2" ht="18.75">
      <c r="A320" s="39"/>
      <c r="B320" s="39"/>
    </row>
    <row r="321" spans="1:2" ht="18.75">
      <c r="A321" s="39"/>
      <c r="B321" s="39"/>
    </row>
    <row r="322" spans="1:2" ht="18.75">
      <c r="A322" s="39"/>
      <c r="B322" s="39"/>
    </row>
    <row r="323" spans="1:2" ht="18.75">
      <c r="A323" s="39"/>
      <c r="B323" s="39"/>
    </row>
    <row r="324" spans="1:2" ht="18.75">
      <c r="A324" s="39"/>
      <c r="B324" s="39"/>
    </row>
    <row r="325" spans="1:2" ht="18.75">
      <c r="A325" s="39"/>
      <c r="B325" s="39"/>
    </row>
    <row r="326" spans="1:2" ht="18.75">
      <c r="A326" s="39"/>
      <c r="B326" s="39"/>
    </row>
    <row r="327" spans="1:2" ht="18.75">
      <c r="A327" s="39"/>
      <c r="B327" s="39"/>
    </row>
    <row r="328" spans="1:2" ht="18.75">
      <c r="A328" s="39"/>
      <c r="B328" s="39"/>
    </row>
    <row r="329" spans="1:2" ht="18.75">
      <c r="A329" s="39"/>
      <c r="B329" s="39"/>
    </row>
    <row r="330" spans="1:2" ht="18.75">
      <c r="A330" s="39"/>
      <c r="B330" s="40"/>
    </row>
    <row r="331" spans="1:2" ht="18.75">
      <c r="A331" s="39"/>
      <c r="B331" s="40"/>
    </row>
    <row r="332" spans="1:2" ht="18.75">
      <c r="A332" s="39"/>
      <c r="B332" s="40"/>
    </row>
    <row r="333" spans="1:2" ht="18.75">
      <c r="A333" s="39"/>
      <c r="B333" s="40"/>
    </row>
    <row r="334" spans="1:2" ht="18.75">
      <c r="A334" s="39"/>
      <c r="B334" s="39"/>
    </row>
    <row r="335" spans="1:2" ht="18.75">
      <c r="A335" s="39"/>
      <c r="B335" s="39"/>
    </row>
    <row r="336" spans="1:2" ht="18.75">
      <c r="A336" s="39"/>
      <c r="B336" s="39"/>
    </row>
    <row r="337" spans="1:2" ht="18.75">
      <c r="A337" s="39"/>
      <c r="B337" s="39"/>
    </row>
    <row r="338" spans="1:2" ht="18.75">
      <c r="A338" s="39"/>
      <c r="B338" s="39"/>
    </row>
    <row r="339" spans="1:2" ht="18.75">
      <c r="A339" s="39"/>
      <c r="B339" s="39"/>
    </row>
    <row r="340" spans="1:2" ht="18.75">
      <c r="A340" s="39"/>
      <c r="B340" s="39"/>
    </row>
    <row r="341" spans="1:2" ht="18.75">
      <c r="A341" s="39"/>
      <c r="B341" s="39"/>
    </row>
    <row r="342" spans="1:2" ht="18.75">
      <c r="A342" s="39"/>
      <c r="B342" s="39"/>
    </row>
    <row r="343" spans="1:2" ht="18.75">
      <c r="A343" s="39"/>
      <c r="B343" s="39"/>
    </row>
    <row r="344" spans="1:2" ht="18.75">
      <c r="A344" s="39"/>
      <c r="B344" s="39"/>
    </row>
    <row r="345" spans="1:2" ht="18.75">
      <c r="A345" s="39"/>
      <c r="B345" s="40"/>
    </row>
    <row r="346" spans="1:2" ht="18.75">
      <c r="A346" s="39"/>
      <c r="B346" s="40"/>
    </row>
    <row r="347" spans="1:2" ht="18.75">
      <c r="A347" s="39"/>
      <c r="B347" s="39"/>
    </row>
    <row r="348" spans="1:2" ht="18.75">
      <c r="A348" s="39"/>
      <c r="B348" s="39"/>
    </row>
    <row r="349" spans="1:2" ht="18.75">
      <c r="A349" s="39"/>
      <c r="B349" s="40"/>
    </row>
    <row r="350" spans="1:2" ht="18.75">
      <c r="A350" s="39"/>
      <c r="B350" s="40"/>
    </row>
    <row r="351" spans="1:2" ht="18.75">
      <c r="A351" s="39"/>
      <c r="B351" s="39"/>
    </row>
    <row r="352" spans="1:2" ht="18.75">
      <c r="A352" s="39"/>
      <c r="B352" s="39"/>
    </row>
    <row r="353" spans="1:2" ht="18.75">
      <c r="A353" s="39"/>
      <c r="B353" s="39"/>
    </row>
    <row r="354" spans="1:2" ht="18.75">
      <c r="A354" s="39"/>
      <c r="B354" s="39"/>
    </row>
    <row r="355" spans="1:2" ht="18.75">
      <c r="A355" s="39"/>
      <c r="B355" s="39"/>
    </row>
    <row r="356" spans="1:2" ht="18.75">
      <c r="A356" s="39"/>
      <c r="B356" s="39"/>
    </row>
    <row r="357" spans="1:2" ht="18.75">
      <c r="A357" s="39"/>
      <c r="B357" s="39"/>
    </row>
    <row r="358" spans="1:2" ht="18.75">
      <c r="A358" s="39"/>
      <c r="B358" s="39"/>
    </row>
    <row r="359" spans="1:2" ht="18.75">
      <c r="A359" s="39"/>
      <c r="B359" s="39"/>
    </row>
    <row r="360" spans="1:2" ht="18.75">
      <c r="A360" s="39"/>
      <c r="B360" s="39"/>
    </row>
    <row r="361" spans="1:2" ht="18.75">
      <c r="A361" s="39"/>
      <c r="B361" s="39"/>
    </row>
    <row r="362" spans="1:2" ht="18.75">
      <c r="A362" s="39"/>
      <c r="B362" s="39"/>
    </row>
    <row r="363" spans="1:2" ht="18.75">
      <c r="A363" s="39"/>
      <c r="B363" s="39"/>
    </row>
    <row r="364" spans="1:2" ht="18.75">
      <c r="A364" s="39"/>
      <c r="B364" s="39"/>
    </row>
    <row r="365" spans="1:2" ht="18.75">
      <c r="A365" s="39"/>
      <c r="B365" s="39"/>
    </row>
    <row r="366" spans="1:2" ht="18.75">
      <c r="A366" s="39"/>
      <c r="B366" s="39"/>
    </row>
    <row r="367" spans="1:2" ht="18.75">
      <c r="A367" s="39"/>
      <c r="B367" s="39"/>
    </row>
    <row r="368" spans="1:2" ht="18.75">
      <c r="A368" s="39"/>
      <c r="B368" s="39"/>
    </row>
    <row r="369" spans="1:2" ht="18.75">
      <c r="A369" s="39"/>
      <c r="B369" s="39"/>
    </row>
    <row r="370" spans="1:2" ht="18.75">
      <c r="A370" s="39"/>
      <c r="B370" s="39"/>
    </row>
    <row r="371" spans="1:2" ht="18.75">
      <c r="A371" s="39"/>
      <c r="B371" s="39"/>
    </row>
    <row r="372" spans="1:2" ht="18.75">
      <c r="A372" s="39"/>
      <c r="B372" s="39"/>
    </row>
    <row r="373" spans="1:2" ht="18.75">
      <c r="A373" s="39"/>
      <c r="B373" s="39"/>
    </row>
    <row r="374" spans="1:2" ht="18.75">
      <c r="A374" s="39"/>
      <c r="B374" s="39"/>
    </row>
    <row r="375" spans="1:2" ht="18.75">
      <c r="A375" s="39"/>
      <c r="B375" s="39"/>
    </row>
    <row r="376" spans="1:2" ht="18.75">
      <c r="A376" s="39"/>
      <c r="B376" s="39"/>
    </row>
    <row r="377" spans="1:2" ht="18.75">
      <c r="A377" s="39"/>
      <c r="B377" s="39"/>
    </row>
    <row r="378" spans="1:2" ht="18.75">
      <c r="A378" s="39"/>
      <c r="B378" s="39"/>
    </row>
    <row r="379" spans="1:2" ht="18.75">
      <c r="A379" s="39"/>
      <c r="B379" s="39"/>
    </row>
    <row r="380" spans="1:2" ht="18.75">
      <c r="A380" s="39"/>
      <c r="B380" s="39"/>
    </row>
    <row r="381" spans="1:2" ht="18.75">
      <c r="A381" s="39"/>
      <c r="B381" s="39"/>
    </row>
    <row r="382" spans="1:2" ht="18.75">
      <c r="A382" s="39"/>
      <c r="B382" s="39"/>
    </row>
    <row r="383" spans="1:2" ht="18.75">
      <c r="A383" s="39"/>
      <c r="B383" s="39"/>
    </row>
    <row r="384" spans="1:2" ht="18.75">
      <c r="A384" s="39"/>
      <c r="B384" s="39"/>
    </row>
    <row r="385" spans="1:2" ht="18.75">
      <c r="A385" s="39"/>
      <c r="B385" s="39"/>
    </row>
    <row r="386" spans="1:2" ht="18.75">
      <c r="A386" s="39"/>
      <c r="B386" s="39"/>
    </row>
    <row r="387" spans="1:2" ht="18.75">
      <c r="A387" s="39"/>
      <c r="B387" s="39"/>
    </row>
    <row r="388" spans="1:2" ht="18.75">
      <c r="A388" s="39"/>
      <c r="B388" s="39"/>
    </row>
    <row r="389" spans="1:2" ht="18.75">
      <c r="A389" s="39"/>
      <c r="B389" s="39"/>
    </row>
    <row r="390" spans="1:2" ht="18.75">
      <c r="A390" s="39"/>
      <c r="B390" s="39"/>
    </row>
    <row r="391" spans="1:2" ht="18.75">
      <c r="A391" s="39"/>
      <c r="B391" s="39"/>
    </row>
    <row r="392" spans="1:2" ht="18.75">
      <c r="A392" s="39"/>
      <c r="B392" s="39"/>
    </row>
    <row r="393" spans="1:2" ht="18.75">
      <c r="A393" s="39"/>
      <c r="B393" s="39"/>
    </row>
    <row r="394" spans="1:2" ht="18.75">
      <c r="A394" s="39"/>
      <c r="B394" s="39"/>
    </row>
    <row r="395" spans="1:2" ht="18.75">
      <c r="A395" s="39"/>
      <c r="B395" s="39"/>
    </row>
    <row r="396" spans="1:2" ht="18.75">
      <c r="A396" s="39"/>
      <c r="B396" s="39"/>
    </row>
    <row r="397" spans="1:2" ht="18.75">
      <c r="A397" s="39"/>
      <c r="B397" s="39"/>
    </row>
    <row r="398" spans="1:2" ht="18.75">
      <c r="A398" s="39"/>
      <c r="B398" s="39"/>
    </row>
    <row r="399" spans="1:2" ht="18.75">
      <c r="A399" s="39"/>
      <c r="B399" s="39"/>
    </row>
    <row r="400" spans="1:2" ht="18.75">
      <c r="A400" s="39"/>
      <c r="B400" s="39"/>
    </row>
    <row r="401" spans="1:2" ht="18.75">
      <c r="A401" s="39"/>
      <c r="B401" s="39"/>
    </row>
    <row r="402" spans="1:2" ht="18.75">
      <c r="A402" s="39"/>
      <c r="B402" s="39"/>
    </row>
    <row r="403" spans="1:2" ht="18.75">
      <c r="A403" s="39"/>
      <c r="B403" s="39"/>
    </row>
    <row r="404" spans="1:2" ht="18.75">
      <c r="A404" s="39"/>
      <c r="B404" s="39"/>
    </row>
    <row r="405" spans="1:2" ht="18.75">
      <c r="A405" s="39"/>
      <c r="B405" s="39"/>
    </row>
    <row r="406" spans="1:2" ht="18.75">
      <c r="A406" s="39"/>
      <c r="B406" s="39"/>
    </row>
    <row r="407" spans="1:2" ht="18.75">
      <c r="A407" s="39"/>
      <c r="B407" s="39"/>
    </row>
    <row r="408" spans="1:2" ht="18.75">
      <c r="A408" s="39"/>
      <c r="B408" s="39"/>
    </row>
    <row r="409" spans="1:2" ht="18.75">
      <c r="A409" s="39"/>
      <c r="B409" s="39"/>
    </row>
    <row r="410" spans="1:2" ht="18.75">
      <c r="A410" s="39"/>
      <c r="B410" s="39"/>
    </row>
    <row r="411" spans="1:2" ht="18.75">
      <c r="A411" s="39"/>
      <c r="B411" s="39"/>
    </row>
    <row r="412" spans="1:2" ht="18.75">
      <c r="A412" s="39"/>
      <c r="B412" s="39"/>
    </row>
    <row r="413" spans="1:2" ht="18.75">
      <c r="A413" s="39"/>
      <c r="B413" s="39"/>
    </row>
    <row r="414" spans="1:2" ht="18.75">
      <c r="A414" s="39"/>
      <c r="B414" s="39"/>
    </row>
    <row r="415" spans="1:2" ht="18.75">
      <c r="A415" s="39"/>
      <c r="B415" s="39"/>
    </row>
    <row r="416" spans="1:2" ht="18.75">
      <c r="A416" s="39"/>
      <c r="B416" s="39"/>
    </row>
    <row r="417" spans="1:2" ht="18.75">
      <c r="A417" s="39"/>
      <c r="B417" s="39"/>
    </row>
    <row r="418" spans="1:2" ht="18.75">
      <c r="A418" s="39"/>
      <c r="B418" s="39"/>
    </row>
    <row r="419" spans="1:2" ht="18.75">
      <c r="A419" s="39"/>
      <c r="B419" s="39"/>
    </row>
    <row r="420" spans="1:2" ht="18.75">
      <c r="A420" s="39"/>
      <c r="B420" s="39"/>
    </row>
    <row r="421" spans="1:2" ht="18.75">
      <c r="A421" s="39"/>
      <c r="B421" s="39"/>
    </row>
    <row r="422" spans="1:2" ht="18.75">
      <c r="A422" s="39"/>
      <c r="B422" s="39"/>
    </row>
    <row r="423" spans="1:2" ht="18.75">
      <c r="A423" s="39"/>
      <c r="B423" s="39"/>
    </row>
    <row r="424" spans="1:2" ht="18.75">
      <c r="A424" s="39"/>
      <c r="B424" s="39"/>
    </row>
    <row r="425" spans="1:2" ht="18.75">
      <c r="A425" s="39"/>
      <c r="B425" s="39"/>
    </row>
    <row r="426" spans="1:2" ht="18.75">
      <c r="A426" s="39"/>
      <c r="B426" s="39"/>
    </row>
    <row r="427" spans="1:2" ht="18.75">
      <c r="A427" s="39"/>
      <c r="B427" s="39"/>
    </row>
    <row r="428" spans="1:2" ht="18.75">
      <c r="A428" s="39"/>
      <c r="B428" s="39"/>
    </row>
    <row r="429" spans="1:2" ht="18.75">
      <c r="A429" s="39"/>
      <c r="B429" s="39"/>
    </row>
    <row r="430" spans="1:2" ht="18.75">
      <c r="A430" s="39"/>
      <c r="B430" s="39"/>
    </row>
    <row r="431" spans="1:2" ht="18.75">
      <c r="A431" s="39"/>
      <c r="B431" s="39"/>
    </row>
    <row r="432" spans="1:2" ht="18.75">
      <c r="A432" s="39"/>
      <c r="B432" s="39"/>
    </row>
    <row r="433" spans="1:2" ht="18.75">
      <c r="A433" s="39"/>
      <c r="B433" s="39"/>
    </row>
    <row r="434" spans="1:2" ht="18.75">
      <c r="A434" s="39"/>
      <c r="B434" s="39"/>
    </row>
    <row r="435" spans="1:2" ht="18.75">
      <c r="A435" s="39"/>
      <c r="B435" s="39"/>
    </row>
    <row r="436" spans="1:2" ht="18.75">
      <c r="A436" s="39"/>
      <c r="B436" s="39"/>
    </row>
    <row r="437" spans="1:2" ht="18.75">
      <c r="A437" s="39"/>
      <c r="B437" s="39"/>
    </row>
    <row r="438" spans="1:2" ht="18.75">
      <c r="A438" s="39"/>
      <c r="B438" s="39"/>
    </row>
    <row r="439" spans="1:2" ht="18.75">
      <c r="A439" s="39"/>
      <c r="B439" s="39"/>
    </row>
    <row r="440" spans="1:2" ht="18.75">
      <c r="A440" s="39"/>
      <c r="B440" s="39"/>
    </row>
    <row r="441" spans="1:2" ht="18.75">
      <c r="A441" s="39"/>
      <c r="B441" s="39"/>
    </row>
    <row r="442" spans="1:2" ht="18.75">
      <c r="A442" s="39"/>
      <c r="B442" s="39"/>
    </row>
    <row r="443" spans="1:2" ht="18.75">
      <c r="A443" s="39"/>
      <c r="B443" s="39"/>
    </row>
    <row r="444" spans="1:2" ht="18.75">
      <c r="A444" s="39"/>
      <c r="B444" s="39"/>
    </row>
    <row r="445" spans="1:2" ht="18.75">
      <c r="A445" s="39"/>
      <c r="B445" s="40"/>
    </row>
    <row r="446" spans="1:2" ht="18.75">
      <c r="A446" s="39"/>
      <c r="B446" s="40"/>
    </row>
    <row r="447" spans="1:2" ht="18.75">
      <c r="A447" s="39"/>
      <c r="B447" s="40"/>
    </row>
    <row r="448" spans="1:2" ht="18.75">
      <c r="A448" s="39"/>
      <c r="B448" s="40"/>
    </row>
    <row r="449" spans="1:2" ht="18.75">
      <c r="A449" s="39"/>
      <c r="B449" s="39"/>
    </row>
    <row r="450" spans="1:2" ht="18.75">
      <c r="A450" s="39"/>
      <c r="B450" s="39"/>
    </row>
    <row r="451" spans="1:2" ht="18.75">
      <c r="A451" s="39"/>
      <c r="B451" s="39"/>
    </row>
    <row r="452" spans="1:2" ht="18.75">
      <c r="A452" s="39"/>
      <c r="B452" s="39"/>
    </row>
    <row r="453" spans="1:2" ht="18.75">
      <c r="A453" s="39"/>
      <c r="B453" s="39"/>
    </row>
    <row r="454" spans="1:2" ht="18.75">
      <c r="A454" s="39"/>
      <c r="B454" s="39"/>
    </row>
    <row r="455" spans="1:2" ht="18.75">
      <c r="A455" s="39"/>
      <c r="B455" s="39"/>
    </row>
    <row r="456" spans="1:2" ht="18.75">
      <c r="A456" s="39"/>
      <c r="B456" s="39"/>
    </row>
    <row r="457" spans="1:2" ht="18.75">
      <c r="A457" s="39"/>
      <c r="B457" s="39"/>
    </row>
    <row r="458" spans="1:2" ht="18.75">
      <c r="A458" s="39"/>
      <c r="B458" s="39"/>
    </row>
    <row r="459" spans="1:2" ht="18.75">
      <c r="A459" s="39"/>
      <c r="B459" s="39"/>
    </row>
    <row r="460" spans="1:2" ht="18.75">
      <c r="A460" s="39"/>
      <c r="B460" s="40"/>
    </row>
    <row r="461" spans="1:2" ht="18.75">
      <c r="A461" s="39"/>
      <c r="B461" s="39"/>
    </row>
    <row r="462" spans="1:2" ht="18.75">
      <c r="A462" s="39"/>
      <c r="B462" s="39"/>
    </row>
    <row r="463" spans="1:2" ht="18.75">
      <c r="A463" s="39"/>
      <c r="B463" s="39"/>
    </row>
    <row r="464" spans="1:2" ht="18.75">
      <c r="A464" s="39"/>
      <c r="B464" s="39"/>
    </row>
    <row r="465" spans="1:2" ht="18.75">
      <c r="A465" s="39"/>
      <c r="B465" s="39"/>
    </row>
    <row r="466" spans="1:2" ht="18.75">
      <c r="A466" s="39"/>
      <c r="B466" s="39"/>
    </row>
    <row r="467" spans="1:2" ht="18.75">
      <c r="A467" s="39"/>
      <c r="B467" s="39"/>
    </row>
    <row r="468" spans="1:2" ht="18.75">
      <c r="A468" s="39"/>
      <c r="B468" s="39"/>
    </row>
    <row r="469" spans="1:2" ht="18.75">
      <c r="A469" s="39"/>
      <c r="B469" s="39"/>
    </row>
    <row r="470" spans="1:2" ht="18.75">
      <c r="A470" s="39"/>
      <c r="B470" s="39"/>
    </row>
    <row r="471" spans="1:2" ht="18.75">
      <c r="A471" s="39"/>
      <c r="B471" s="39"/>
    </row>
    <row r="472" spans="1:2" ht="18.75">
      <c r="A472" s="39"/>
      <c r="B472" s="39"/>
    </row>
    <row r="473" spans="1:2" ht="18.75">
      <c r="A473" s="39"/>
      <c r="B473" s="39"/>
    </row>
    <row r="474" spans="1:2" ht="18.75">
      <c r="A474" s="39"/>
      <c r="B474" s="39"/>
    </row>
    <row r="475" spans="1:2" ht="18.75">
      <c r="A475" s="39"/>
      <c r="B475" s="39"/>
    </row>
    <row r="476" spans="1:2" ht="18.75">
      <c r="A476" s="39"/>
      <c r="B476" s="39"/>
    </row>
    <row r="477" spans="1:2" ht="18.75">
      <c r="A477" s="39"/>
      <c r="B477" s="39"/>
    </row>
    <row r="478" spans="1:2" ht="18.75">
      <c r="A478" s="39"/>
      <c r="B478" s="39"/>
    </row>
    <row r="479" spans="1:2" ht="18.75">
      <c r="A479" s="39"/>
      <c r="B479" s="39"/>
    </row>
    <row r="480" spans="1:2" ht="18.75">
      <c r="A480" s="39"/>
      <c r="B480" s="39"/>
    </row>
    <row r="481" spans="1:2" ht="18.75">
      <c r="A481" s="39"/>
      <c r="B481" s="39"/>
    </row>
    <row r="482" spans="1:2" ht="18.75">
      <c r="A482" s="39"/>
      <c r="B482" s="39"/>
    </row>
    <row r="483" spans="1:2" ht="18.75">
      <c r="A483" s="39"/>
      <c r="B483" s="39"/>
    </row>
    <row r="484" spans="1:2" ht="18.75">
      <c r="A484" s="39"/>
      <c r="B484" s="39"/>
    </row>
    <row r="485" spans="1:2" ht="18.75">
      <c r="A485" s="39"/>
      <c r="B485" s="39"/>
    </row>
    <row r="486" spans="1:2" ht="18.75">
      <c r="A486" s="39"/>
      <c r="B486" s="39"/>
    </row>
    <row r="487" spans="1:2" ht="18.75">
      <c r="A487" s="39"/>
      <c r="B487" s="39"/>
    </row>
    <row r="488" spans="1:2" ht="18.75">
      <c r="A488" s="39"/>
      <c r="B488" s="39"/>
    </row>
    <row r="489" spans="1:2" ht="18.75">
      <c r="A489" s="39"/>
      <c r="B489" s="39"/>
    </row>
    <row r="490" spans="1:2" ht="18.75">
      <c r="A490" s="39"/>
      <c r="B490" s="39"/>
    </row>
    <row r="491" spans="1:2" ht="18.75">
      <c r="A491" s="39"/>
      <c r="B491" s="39"/>
    </row>
    <row r="492" spans="1:2" ht="18.75">
      <c r="A492" s="39"/>
      <c r="B492" s="39"/>
    </row>
    <row r="493" spans="1:2" ht="18.75">
      <c r="A493" s="39"/>
      <c r="B493" s="39"/>
    </row>
    <row r="494" spans="1:2" ht="18.75">
      <c r="A494" s="39"/>
      <c r="B494" s="39"/>
    </row>
    <row r="495" spans="1:2" ht="18.75">
      <c r="A495" s="39"/>
      <c r="B495" s="39"/>
    </row>
    <row r="496" spans="1:2" ht="18.75">
      <c r="A496" s="39"/>
      <c r="B496" s="39"/>
    </row>
    <row r="497" spans="1:2" ht="18.75">
      <c r="A497" s="39"/>
      <c r="B497" s="39"/>
    </row>
    <row r="498" spans="1:2" ht="18.75">
      <c r="A498" s="39"/>
      <c r="B498" s="39"/>
    </row>
    <row r="499" spans="1:2" ht="18.75">
      <c r="A499" s="39"/>
      <c r="B499" s="39"/>
    </row>
    <row r="500" spans="1:2" ht="18.75">
      <c r="A500" s="39"/>
      <c r="B500" s="39"/>
    </row>
    <row r="501" spans="1:2" ht="18.75">
      <c r="A501" s="39"/>
      <c r="B501" s="39"/>
    </row>
    <row r="502" spans="1:2" ht="18.75">
      <c r="A502" s="39"/>
      <c r="B502" s="39"/>
    </row>
    <row r="503" spans="1:2" ht="18.75">
      <c r="A503" s="39"/>
      <c r="B503" s="39"/>
    </row>
    <row r="504" spans="1:2" ht="18.75">
      <c r="A504" s="39"/>
      <c r="B504" s="40"/>
    </row>
    <row r="505" spans="1:2" ht="18.75">
      <c r="A505" s="39"/>
      <c r="B505" s="40"/>
    </row>
    <row r="506" spans="1:2" ht="18.75">
      <c r="A506" s="39"/>
      <c r="B506" s="39"/>
    </row>
    <row r="507" spans="1:2" ht="18.75">
      <c r="A507" s="39"/>
      <c r="B507" s="39"/>
    </row>
    <row r="508" spans="1:2" ht="18.75">
      <c r="A508" s="39"/>
      <c r="B508" s="40"/>
    </row>
    <row r="509" spans="1:2" ht="18.75">
      <c r="A509" s="39"/>
      <c r="B509" s="40"/>
    </row>
    <row r="510" spans="1:2" ht="18.75">
      <c r="A510" s="39"/>
      <c r="B510" s="40"/>
    </row>
    <row r="511" spans="1:2" ht="18.75">
      <c r="A511" s="39"/>
      <c r="B511" s="40"/>
    </row>
    <row r="512" spans="1:2" ht="18.75">
      <c r="A512" s="39"/>
      <c r="B512" s="40"/>
    </row>
    <row r="513" spans="1:2" ht="18.75">
      <c r="A513" s="39"/>
      <c r="B513" s="39"/>
    </row>
    <row r="514" spans="1:2" ht="18.75">
      <c r="A514" s="39"/>
      <c r="B514" s="40"/>
    </row>
    <row r="515" spans="1:2" ht="18.75">
      <c r="A515" s="39"/>
      <c r="B515" s="40"/>
    </row>
    <row r="516" spans="1:2" ht="18.75">
      <c r="A516" s="39"/>
      <c r="B516" s="40"/>
    </row>
    <row r="517" spans="1:2" ht="18.75">
      <c r="A517" s="39"/>
      <c r="B517" s="40"/>
    </row>
    <row r="518" spans="1:2" ht="18.75">
      <c r="A518" s="39"/>
      <c r="B518" s="40"/>
    </row>
    <row r="519" spans="1:2" ht="18.75">
      <c r="A519" s="39"/>
      <c r="B519" s="40"/>
    </row>
    <row r="520" spans="1:2" ht="18.75">
      <c r="A520" s="39"/>
      <c r="B520" s="40"/>
    </row>
  </sheetData>
  <protectedRanges>
    <protectedRange sqref="H3" name="範圍1_1"/>
    <protectedRange sqref="L3" name="範圍1_2"/>
    <protectedRange sqref="P3" name="範圍1_3"/>
    <protectedRange sqref="T3" name="範圍1_4"/>
    <protectedRange sqref="A18" name="範圍1_1_2"/>
    <protectedRange sqref="A20" name="範圍1_2_2"/>
    <protectedRange sqref="A22" name="範圍1_3_2"/>
    <protectedRange sqref="A24" name="範圍1_4_2"/>
    <protectedRange sqref="A2" name="範圍1_1_3"/>
    <protectedRange sqref="A4" name="範圍1_2_3"/>
    <protectedRange sqref="A6" name="範圍1_3_3"/>
    <protectedRange sqref="A8" name="範圍1_4_3"/>
  </protectedRanges>
  <mergeCells count="2">
    <mergeCell ref="C14:G14"/>
    <mergeCell ref="C15:G27"/>
  </mergeCells>
  <phoneticPr fontId="1" type="noConversion"/>
  <conditionalFormatting sqref="A3">
    <cfRule type="duplicateValues" dxfId="23" priority="4"/>
  </conditionalFormatting>
  <conditionalFormatting sqref="A5">
    <cfRule type="duplicateValues" dxfId="22" priority="3"/>
  </conditionalFormatting>
  <conditionalFormatting sqref="A7">
    <cfRule type="duplicateValues" dxfId="21" priority="2"/>
  </conditionalFormatting>
  <conditionalFormatting sqref="A9">
    <cfRule type="duplicateValues" dxfId="20" priority="1"/>
  </conditionalFormatting>
  <conditionalFormatting sqref="A19">
    <cfRule type="duplicateValues" dxfId="19" priority="8"/>
  </conditionalFormatting>
  <conditionalFormatting sqref="A21">
    <cfRule type="duplicateValues" dxfId="18" priority="7"/>
  </conditionalFormatting>
  <conditionalFormatting sqref="A23">
    <cfRule type="duplicateValues" dxfId="17" priority="6"/>
  </conditionalFormatting>
  <conditionalFormatting sqref="A25">
    <cfRule type="duplicateValues" dxfId="16" priority="5"/>
  </conditionalFormatting>
  <conditionalFormatting sqref="B26:B519">
    <cfRule type="duplicateValues" dxfId="15" priority="25"/>
  </conditionalFormatting>
  <conditionalFormatting sqref="C15:G27">
    <cfRule type="cellIs" dxfId="14" priority="26" operator="equal">
      <formula>"PASS"</formula>
    </cfRule>
    <cfRule type="cellIs" dxfId="13" priority="27" operator="equal">
      <formula>TRUE</formula>
    </cfRule>
    <cfRule type="cellIs" dxfId="12" priority="28" operator="equal">
      <formula>"FAIL"</formula>
    </cfRule>
  </conditionalFormatting>
  <conditionalFormatting sqref="H4">
    <cfRule type="duplicateValues" dxfId="11" priority="16"/>
  </conditionalFormatting>
  <conditionalFormatting sqref="J8:K9">
    <cfRule type="cellIs" dxfId="10" priority="23" operator="equal">
      <formula>FALSE</formula>
    </cfRule>
    <cfRule type="cellIs" dxfId="9" priority="24" operator="equal">
      <formula>TRUE</formula>
    </cfRule>
  </conditionalFormatting>
  <conditionalFormatting sqref="L4">
    <cfRule type="duplicateValues" dxfId="8" priority="15"/>
  </conditionalFormatting>
  <conditionalFormatting sqref="N8:O9">
    <cfRule type="cellIs" dxfId="7" priority="21" operator="equal">
      <formula>FALSE</formula>
    </cfRule>
    <cfRule type="cellIs" dxfId="6" priority="22" operator="equal">
      <formula>TRUE</formula>
    </cfRule>
  </conditionalFormatting>
  <conditionalFormatting sqref="P4">
    <cfRule type="duplicateValues" dxfId="5" priority="14"/>
  </conditionalFormatting>
  <conditionalFormatting sqref="R8:S9">
    <cfRule type="cellIs" dxfId="4" priority="19" operator="equal">
      <formula>FALSE</formula>
    </cfRule>
    <cfRule type="cellIs" dxfId="3" priority="20" operator="equal">
      <formula>TRUE</formula>
    </cfRule>
  </conditionalFormatting>
  <conditionalFormatting sqref="T4">
    <cfRule type="duplicateValues" dxfId="2" priority="13"/>
  </conditionalFormatting>
  <conditionalFormatting sqref="V8:W9">
    <cfRule type="cellIs" dxfId="1" priority="17" operator="equal">
      <formula>FALSE</formula>
    </cfRule>
    <cfRule type="cellIs" dxfId="0" priority="18" operator="equal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DSIO RULE</vt:lpstr>
      <vt:lpstr>CHANNEL</vt:lpstr>
      <vt:lpstr>DUT DSIO RULE CHECK</vt:lpstr>
      <vt:lpstr>GOLDEN DSIO RULE 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ksmtadmin</dc:creator>
  <cp:lastModifiedBy>Md. Ashik Billah</cp:lastModifiedBy>
  <dcterms:created xsi:type="dcterms:W3CDTF">2026-09-24T01:42:07Z</dcterms:created>
  <dcterms:modified xsi:type="dcterms:W3CDTF">2026-09-27T11:56:38Z</dcterms:modified>
</cp:coreProperties>
</file>